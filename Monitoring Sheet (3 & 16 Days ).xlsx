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activeTab="1"/>
  </bookViews>
  <sheets>
    <sheet name="16 -Days Monitoring Sheet " sheetId="8" r:id="rId1"/>
    <sheet name="03-Days Monitoring Sheet " sheetId="2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c">#REF!</definedName>
    <definedName name="\d">#REF!</definedName>
    <definedName name="\e">#REF!</definedName>
    <definedName name="\f">#REF!</definedName>
    <definedName name="\h">#REF!</definedName>
    <definedName name="\i">#REF!</definedName>
    <definedName name="\j">#REF!</definedName>
    <definedName name="\k">#REF!</definedName>
    <definedName name="\m">#REF!</definedName>
    <definedName name="\p">#REF!</definedName>
    <definedName name="\PP">#REF!</definedName>
    <definedName name="\PPP">#REF!</definedName>
    <definedName name="\PPP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DAT1">[1]Sheet1!$A$2:$A$41</definedName>
    <definedName name="___DAT10">[1]Sheet1!$J$2:$J$41</definedName>
    <definedName name="___DAT11">[1]Sheet1!$K$2:$K$41</definedName>
    <definedName name="___DAT12">[1]Sheet1!$L$2:$L$41</definedName>
    <definedName name="___DAT13">[1]Sheet1!$M$2:$M$41</definedName>
    <definedName name="___DAT2">[1]Sheet1!$B$2:$B$41</definedName>
    <definedName name="___DAT3">[1]Sheet1!$C$2:$C$41</definedName>
    <definedName name="___DAT4">[1]Sheet1!$D$2:$D$41</definedName>
    <definedName name="___DAT5">[1]Sheet1!$E$2:$E$41</definedName>
    <definedName name="___DAT6">[1]Sheet1!$F$2:$F$41</definedName>
    <definedName name="___DAT7">[1]Sheet1!$G$2:$G$41</definedName>
    <definedName name="___DAT8">[1]Sheet1!$H$2:$H$41</definedName>
    <definedName name="___DAT9">[1]Sheet1!$I$2:$I$41</definedName>
    <definedName name="__123Graph_A" hidden="1">'[2]SPC-OC'!$F$20:$O$20</definedName>
    <definedName name="__123Graph_LBL_A" hidden="1">'[2]SPC-OC'!#REF!</definedName>
    <definedName name="__123Graph_X" hidden="1">'[2]SPC-OC'!$F$9:$O$9</definedName>
    <definedName name="__CHT1">[3]dashboard!$A$5:$D$35</definedName>
    <definedName name="__CHT2">'[3]score trends'!$A$5:$D$35</definedName>
    <definedName name="__CHT3">'[3]priority analysis'!$A$6:$H$29</definedName>
    <definedName name="__CHT4">'[3]standards trend'!$A$5:$J$35</definedName>
    <definedName name="__CHT5">'[3]service timing'!$A$5:$D$35</definedName>
    <definedName name="__CHT6">'[3]Fix it First Time'!$A$5:$D$35</definedName>
    <definedName name="__CHT7">'[3]Product Problems'!$A$5:$D$35</definedName>
    <definedName name="__CHT8">[3]Parts!$A$5:$C$35</definedName>
    <definedName name="__DAT1">[1]Sheet1!$A$2:$A$41</definedName>
    <definedName name="__DAT10">[1]Sheet1!$J$2:$J$41</definedName>
    <definedName name="__DAT11">[1]Sheet1!$K$2:$K$41</definedName>
    <definedName name="__DAT12">[1]Sheet1!$L$2:$L$41</definedName>
    <definedName name="__DAT13">[1]Sheet1!$M$2:$M$41</definedName>
    <definedName name="__DAT2">[1]Sheet1!$B$2:$B$41</definedName>
    <definedName name="__DAT3">[1]Sheet1!$C$2:$C$41</definedName>
    <definedName name="__DAT4">[1]Sheet1!$D$2:$D$41</definedName>
    <definedName name="__DAT5">[1]Sheet1!$E$2:$E$41</definedName>
    <definedName name="__DAT6">[1]Sheet1!$F$2:$F$41</definedName>
    <definedName name="__DAT7">[1]Sheet1!$G$2:$G$41</definedName>
    <definedName name="__DAT8">[1]Sheet1!$H$2:$H$41</definedName>
    <definedName name="__DAT9">[1]Sheet1!$I$2:$I$41</definedName>
    <definedName name="__dlr1">'[4]Topline trends'!$A$4:$H$50</definedName>
    <definedName name="__Std1">OFFSET('[5]standards trend (4)'!$P$8,0,0,COUNT('[5]standards trend (4)'!$P$8:$P$25),1)</definedName>
    <definedName name="__Std2">OFFSET('[5]standards trend (4)'!$Q$8,0,0,COUNT('[5]standards trend (4)'!$P$8:$P$25),1)</definedName>
    <definedName name="__Std3">OFFSET('[5]standards trend (4)'!$T$8,0,0,COUNT('[5]standards trend (4)'!$P$8:$P$25),1)</definedName>
    <definedName name="__Std4">OFFSET('[5]standards trend (4)'!$M$8,0,0,COUNT('[5]standards trend (4)'!$P$8:$P$25),1)</definedName>
    <definedName name="__Std5">OFFSET('[5]standards trend (4)'!$V$8,0,0,COUNT('[5]standards trend (4)'!$P$8:$P$25),1)</definedName>
    <definedName name="__tt1">'[4]Topline trends'!$H$2</definedName>
    <definedName name="_1">#REF!</definedName>
    <definedName name="_1__123Graph_Aｸﾞﾗﾌ_1" hidden="1">[6]工数集計!$H$13:$U$13</definedName>
    <definedName name="_10__123Graph_Bｸﾞﾗﾌ_3" hidden="1">[6]工数集計!$H$78:$U$78</definedName>
    <definedName name="_11__123Graph_Bｸﾞﾗﾌ_4" hidden="1">[6]工数集計!$H$80:$U$80</definedName>
    <definedName name="_12__123Graph_Bｸﾞﾗﾌ_5" hidden="1">[6]工数集計!$H$81:$U$81</definedName>
    <definedName name="_13__123Graph_Bｸﾞﾗﾌ_6" hidden="1">[6]工数集計!$H$82:$U$82</definedName>
    <definedName name="_14__123Graph_Bｸﾞﾗﾌ_7" hidden="1">[6]工数集計!$H$83:$U$83</definedName>
    <definedName name="_15__123Graph_Bｸﾞﾗﾌ_8" hidden="1">[6]工数集計!$H$77:$U$77</definedName>
    <definedName name="_16__123Graph_Xｸﾞﾗﾌ_2" hidden="1">[6]工数集計!$H$12:$U$12</definedName>
    <definedName name="_17__123Graph_Xｸﾞﾗﾌ_3" hidden="1">[6]工数集計!$H$12:$U$12</definedName>
    <definedName name="_18__123Graph_Xｸﾞﾗﾌ_4" hidden="1">[6]工数集計!$H$12:$U$12</definedName>
    <definedName name="_19__123Graph_Xｸﾞﾗﾌ_5" hidden="1">[6]工数集計!$H$12:$U$12</definedName>
    <definedName name="_2">#REF!</definedName>
    <definedName name="_2__123Graph_Aｸﾞﾗﾌ_2" hidden="1">[6]工数集計!$H$16:$U$16</definedName>
    <definedName name="_20__123Graph_Xｸﾞﾗﾌ_6" hidden="1">[6]工数集計!$H$12:$U$12</definedName>
    <definedName name="_21__123Graph_Xｸﾞﾗﾌ_7" hidden="1">[6]工数集計!$H$12:$U$12</definedName>
    <definedName name="_22__123Graph_Xｸﾞﾗﾌ_8" hidden="1">[6]工数集計!$H$12:$U$12</definedName>
    <definedName name="_26_1生_CROSS_クエリー1">#REF!</definedName>
    <definedName name="_28_出庫リスト_クエリー">#REF!</definedName>
    <definedName name="_3">#REF!</definedName>
    <definedName name="_3__123Graph_Aｸﾞﾗﾌ_3" hidden="1">[6]工数集計!$H$15:$U$15</definedName>
    <definedName name="_4__123Graph_Aｸﾞﾗﾌ_4" hidden="1">[6]工数集計!$H$17:$U$17</definedName>
    <definedName name="_5__123Graph_Aｸﾞﾗﾌ_5" hidden="1">[6]工数集計!$H$18:$U$18</definedName>
    <definedName name="_5_18">#REF!</definedName>
    <definedName name="_6__123Graph_Aｸﾞﾗﾌ_6" hidden="1">[6]工数集計!$H$19:$U$19</definedName>
    <definedName name="_7__123Graph_Aｸﾞﾗﾌ_7" hidden="1">[6]工数集計!$H$20:$U$20</definedName>
    <definedName name="_701">#REF!</definedName>
    <definedName name="_8__123Graph_Aｸﾞﾗﾌ_8" hidden="1">[6]工数集計!$H$14:$U$14</definedName>
    <definedName name="_8_97382_671">#REF!</definedName>
    <definedName name="_9__123Graph_Bｸﾞﾗﾌ_2" hidden="1">[6]工数集計!$H$79:$U$79</definedName>
    <definedName name="_cdr1">#REF!</definedName>
    <definedName name="_cdr3">#REF!</definedName>
    <definedName name="_cdr4">#REF!</definedName>
    <definedName name="_cdr5">#REF!</definedName>
    <definedName name="_cdr6">#REF!</definedName>
    <definedName name="_CHT1">[3]dashboard!$A$5:$D$35</definedName>
    <definedName name="_CHT2">'[3]score trends'!$A$5:$D$35</definedName>
    <definedName name="_CHT3">'[3]priority analysis'!$A$6:$H$29</definedName>
    <definedName name="_CHT4">'[3]standards trend'!$A$5:$J$35</definedName>
    <definedName name="_CHT5">'[3]service timing'!$A$5:$D$35</definedName>
    <definedName name="_CHT6">'[3]Fix it First Time'!$A$5:$D$35</definedName>
    <definedName name="_CHT7">'[3]Product Problems'!$A$5:$D$35</definedName>
    <definedName name="_CHT8">[3]Parts!$A$5:$C$35</definedName>
    <definedName name="_crd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lr1">'[4]Topline trends'!$A$4:$H$50</definedName>
    <definedName name="_F1000000">'[7]ghorpade '!$F$50020</definedName>
    <definedName name="_F500000">'[7]ghorpade '!$F$50020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R50">#REF!</definedName>
    <definedName name="_Q">[8]_MISSION!$T$1:$BI$245</definedName>
    <definedName name="_Sort" hidden="1">#REF!</definedName>
    <definedName name="_Std1">OFFSET('[5]standards trend (4)'!$P$8,0,0,COUNT('[5]standards trend (4)'!$P$8:$P$25),1)</definedName>
    <definedName name="_Std2">OFFSET('[5]standards trend (4)'!$Q$8,0,0,COUNT('[5]standards trend (4)'!$P$8:$P$25),1)</definedName>
    <definedName name="_Std3">OFFSET('[5]standards trend (4)'!$T$8,0,0,COUNT('[5]standards trend (4)'!$P$8:$P$25),1)</definedName>
    <definedName name="_Std4">OFFSET('[5]standards trend (4)'!$M$8,0,0,COUNT('[5]standards trend (4)'!$P$8:$P$25),1)</definedName>
    <definedName name="_Std5">OFFSET('[5]standards trend (4)'!$V$8,0,0,COUNT('[5]standards trend (4)'!$P$8:$P$25),1)</definedName>
    <definedName name="_Table1_In1" hidden="1">#REF!</definedName>
    <definedName name="_Table1_Out" hidden="1">#REF!</definedName>
    <definedName name="_tt1">'[4]Topline trends'!$H$2</definedName>
    <definedName name="_生新規部品ﾘｽﾄ_クエリー">#REF!</definedName>
    <definedName name="a" hidden="1">#REF!</definedName>
    <definedName name="A_K1出庫リスト">#REF!</definedName>
    <definedName name="A7_UPL">#REF!</definedName>
    <definedName name="AAAAAAAAAA">#REF!</definedName>
    <definedName name="AAAAAAAAAAAA">#REF!</definedName>
    <definedName name="AAAAAAAAAAAAAAAAAAAAAAAAA">#REF!</definedName>
    <definedName name="AfterSalesGridText">'[4]Grid Descriptions'!$D$2:$E$21</definedName>
    <definedName name="AIR_A0">[4]SuperGroupRank!$R$2</definedName>
    <definedName name="AIR_A1">[4]SuperGroupRank!$U$2</definedName>
    <definedName name="AIR_A2">[4]SuperGroupRank!$X$2</definedName>
    <definedName name="AIR_O0">[4]SuperGroupRank!$P$2</definedName>
    <definedName name="AIR_O1">[4]SuperGroupRank!$S$2</definedName>
    <definedName name="AIR_O2">[4]SuperGroupRank!$V$2</definedName>
    <definedName name="AIR_S0">[4]SuperGroupRank!$Q$2</definedName>
    <definedName name="AIR_S1">[4]SuperGroupRank!$T$2</definedName>
    <definedName name="AIR_S2">[4]SuperGroupRank!$W$2</definedName>
    <definedName name="AJAY">#REF!</definedName>
    <definedName name="All">[4]TOC!$A$14:$B$42</definedName>
    <definedName name="ANOOP">#REF!</definedName>
    <definedName name="anoop1">#REF!</definedName>
    <definedName name="anoop1___0">#REF!</definedName>
    <definedName name="anoop1___23">#REF!</definedName>
    <definedName name="anoop1___28">#REF!</definedName>
    <definedName name="anoop1___29">#REF!</definedName>
    <definedName name="anoop1___31">#REF!</definedName>
    <definedName name="anoop1___37">#REF!</definedName>
    <definedName name="anoop1___45">#REF!</definedName>
    <definedName name="anoop1___5">#REF!</definedName>
    <definedName name="anoop1___51">#REF!</definedName>
    <definedName name="anoop10">#REF!</definedName>
    <definedName name="anoop10___0">#REF!</definedName>
    <definedName name="anoop10___23">#REF!</definedName>
    <definedName name="anoop10___28">#REF!</definedName>
    <definedName name="anoop10___29">#REF!</definedName>
    <definedName name="anoop10___31">#REF!</definedName>
    <definedName name="anoop10___37">#REF!</definedName>
    <definedName name="anoop10___45">#REF!</definedName>
    <definedName name="anoop10___5">#REF!</definedName>
    <definedName name="anoop10___51">#REF!</definedName>
    <definedName name="anoop11">#REF!</definedName>
    <definedName name="anoop11___0">#REF!</definedName>
    <definedName name="anoop11___23">#REF!</definedName>
    <definedName name="anoop11___28">#REF!</definedName>
    <definedName name="anoop11___29">#REF!</definedName>
    <definedName name="anoop11___31">#REF!</definedName>
    <definedName name="anoop11___37">#REF!</definedName>
    <definedName name="anoop11___45">#REF!</definedName>
    <definedName name="anoop11___5">#REF!</definedName>
    <definedName name="anoop11___51">#REF!</definedName>
    <definedName name="anoop12">#REF!</definedName>
    <definedName name="anoop12___0">#REF!</definedName>
    <definedName name="anoop12___23">#REF!</definedName>
    <definedName name="anoop12___28">#REF!</definedName>
    <definedName name="anoop12___29">#REF!</definedName>
    <definedName name="anoop12___31">#REF!</definedName>
    <definedName name="anoop12___37">#REF!</definedName>
    <definedName name="anoop12___45">#REF!</definedName>
    <definedName name="anoop12___5">#REF!</definedName>
    <definedName name="anoop12___51">#REF!</definedName>
    <definedName name="anoop13">#REF!</definedName>
    <definedName name="anoop13___0">#REF!</definedName>
    <definedName name="anoop13___23">#REF!</definedName>
    <definedName name="anoop13___28">#REF!</definedName>
    <definedName name="anoop13___29">#REF!</definedName>
    <definedName name="anoop13___31">#REF!</definedName>
    <definedName name="anoop13___37">#REF!</definedName>
    <definedName name="anoop13___45">#REF!</definedName>
    <definedName name="anoop13___5">#REF!</definedName>
    <definedName name="anoop13___51">#REF!</definedName>
    <definedName name="anoop14">#REF!</definedName>
    <definedName name="anoop14___0">#REF!</definedName>
    <definedName name="anoop14___23">#REF!</definedName>
    <definedName name="anoop14___28">#REF!</definedName>
    <definedName name="anoop14___29">#REF!</definedName>
    <definedName name="anoop14___31">#REF!</definedName>
    <definedName name="anoop14___37">#REF!</definedName>
    <definedName name="anoop14___45">#REF!</definedName>
    <definedName name="anoop14___5">#REF!</definedName>
    <definedName name="anoop14___51">#REF!</definedName>
    <definedName name="ANOOP15">#REF!</definedName>
    <definedName name="ANOOP15___0">#REF!</definedName>
    <definedName name="ANOOP15___23">#REF!</definedName>
    <definedName name="ANOOP15___28">#REF!</definedName>
    <definedName name="ANOOP15___29">#REF!</definedName>
    <definedName name="ANOOP15___31">#REF!</definedName>
    <definedName name="ANOOP15___37">#REF!</definedName>
    <definedName name="ANOOP15___45">#REF!</definedName>
    <definedName name="ANOOP15___5">#REF!</definedName>
    <definedName name="ANOOP15___51">#REF!</definedName>
    <definedName name="ANOOP16">#REF!</definedName>
    <definedName name="ANOOP16___0">#REF!</definedName>
    <definedName name="ANOOP16___23">#REF!</definedName>
    <definedName name="ANOOP16___28">#REF!</definedName>
    <definedName name="ANOOP16___29">#REF!</definedName>
    <definedName name="ANOOP16___31">#REF!</definedName>
    <definedName name="ANOOP16___37">#REF!</definedName>
    <definedName name="ANOOP16___45">#REF!</definedName>
    <definedName name="ANOOP16___5">#REF!</definedName>
    <definedName name="ANOOP16___51">#REF!</definedName>
    <definedName name="ANOOP17">#REF!</definedName>
    <definedName name="ANOOP17___0">#REF!</definedName>
    <definedName name="ANOOP17___23">#REF!</definedName>
    <definedName name="ANOOP17___28">#REF!</definedName>
    <definedName name="ANOOP17___29">#REF!</definedName>
    <definedName name="ANOOP17___31">#REF!</definedName>
    <definedName name="ANOOP17___37">#REF!</definedName>
    <definedName name="ANOOP17___45">#REF!</definedName>
    <definedName name="ANOOP17___5">#REF!</definedName>
    <definedName name="ANOOP17___51">#REF!</definedName>
    <definedName name="ANOOP18">#REF!</definedName>
    <definedName name="ANOOP18.1">#REF!</definedName>
    <definedName name="ANOOP18___0">#REF!</definedName>
    <definedName name="ANOOP18___23">#REF!</definedName>
    <definedName name="ANOOP18___28">#REF!</definedName>
    <definedName name="ANOOP18___29">#REF!</definedName>
    <definedName name="ANOOP18___31">#REF!</definedName>
    <definedName name="ANOOP18___37">#REF!</definedName>
    <definedName name="ANOOP18___45">#REF!</definedName>
    <definedName name="ANOOP18___5">#REF!</definedName>
    <definedName name="ANOOP18___51">#REF!</definedName>
    <definedName name="ANOOP18_1">#REF!</definedName>
    <definedName name="ANOOP18_1___0">#REF!</definedName>
    <definedName name="ANOOP18_1___23">#REF!</definedName>
    <definedName name="ANOOP18_1___28">#REF!</definedName>
    <definedName name="ANOOP18_1___29">#REF!</definedName>
    <definedName name="ANOOP18_1___31">#REF!</definedName>
    <definedName name="ANOOP18_1___37">#REF!</definedName>
    <definedName name="ANOOP18_1___45">#REF!</definedName>
    <definedName name="ANOOP18_1___5">#REF!</definedName>
    <definedName name="ANOOP18_1___51">#REF!</definedName>
    <definedName name="ANOOP19">#REF!</definedName>
    <definedName name="ANOOP19___0">#REF!</definedName>
    <definedName name="ANOOP19___23">#REF!</definedName>
    <definedName name="ANOOP19___28">#REF!</definedName>
    <definedName name="ANOOP19___29">#REF!</definedName>
    <definedName name="ANOOP19___31">#REF!</definedName>
    <definedName name="ANOOP19___37">#REF!</definedName>
    <definedName name="ANOOP19___45">#REF!</definedName>
    <definedName name="ANOOP19___5">#REF!</definedName>
    <definedName name="ANOOP19___51">#REF!</definedName>
    <definedName name="anoop2">#REF!</definedName>
    <definedName name="anoop2___0">#REF!</definedName>
    <definedName name="anoop2___23">#REF!</definedName>
    <definedName name="anoop2___28">#REF!</definedName>
    <definedName name="anoop2___29">#REF!</definedName>
    <definedName name="anoop2___31">#REF!</definedName>
    <definedName name="anoop2___37">#REF!</definedName>
    <definedName name="anoop2___45">#REF!</definedName>
    <definedName name="anoop2___5">#REF!</definedName>
    <definedName name="anoop2___51">#REF!</definedName>
    <definedName name="ANOOP20">#REF!</definedName>
    <definedName name="ANOOP20___0">#REF!</definedName>
    <definedName name="ANOOP20___23">#REF!</definedName>
    <definedName name="ANOOP20___28">#REF!</definedName>
    <definedName name="ANOOP20___29">#REF!</definedName>
    <definedName name="ANOOP20___31">#REF!</definedName>
    <definedName name="ANOOP20___37">#REF!</definedName>
    <definedName name="ANOOP20___45">#REF!</definedName>
    <definedName name="ANOOP20___5">#REF!</definedName>
    <definedName name="ANOOP20___51">#REF!</definedName>
    <definedName name="ANOOP21">#REF!</definedName>
    <definedName name="ANOOP21___0">#REF!</definedName>
    <definedName name="ANOOP21___23">#REF!</definedName>
    <definedName name="ANOOP21___28">#REF!</definedName>
    <definedName name="ANOOP21___29">#REF!</definedName>
    <definedName name="ANOOP21___31">#REF!</definedName>
    <definedName name="ANOOP21___37">#REF!</definedName>
    <definedName name="ANOOP21___45">#REF!</definedName>
    <definedName name="ANOOP21___5">#REF!</definedName>
    <definedName name="ANOOP21___51">#REF!</definedName>
    <definedName name="ANOOP22">#REF!</definedName>
    <definedName name="ANOOP22.1">#REF!</definedName>
    <definedName name="ANOOP22___0">#REF!</definedName>
    <definedName name="ANOOP22___23">#REF!</definedName>
    <definedName name="ANOOP22___28">#REF!</definedName>
    <definedName name="ANOOP22___29">#REF!</definedName>
    <definedName name="ANOOP22___31">#REF!</definedName>
    <definedName name="ANOOP22___37">#REF!</definedName>
    <definedName name="ANOOP22___45">#REF!</definedName>
    <definedName name="ANOOP22___5">#REF!</definedName>
    <definedName name="ANOOP22___51">#REF!</definedName>
    <definedName name="ANOOP22_1">#REF!</definedName>
    <definedName name="ANOOP22_1___0">#REF!</definedName>
    <definedName name="ANOOP22_1___23">#REF!</definedName>
    <definedName name="ANOOP22_1___28">#REF!</definedName>
    <definedName name="ANOOP22_1___29">#REF!</definedName>
    <definedName name="ANOOP22_1___31">#REF!</definedName>
    <definedName name="ANOOP22_1___37">#REF!</definedName>
    <definedName name="ANOOP22_1___45">#REF!</definedName>
    <definedName name="ANOOP22_1___5">#REF!</definedName>
    <definedName name="ANOOP22_1___51">#REF!</definedName>
    <definedName name="ANOOP23">#REF!</definedName>
    <definedName name="ANOOP23___0">#REF!</definedName>
    <definedName name="ANOOP23___23">#REF!</definedName>
    <definedName name="ANOOP23___28">#REF!</definedName>
    <definedName name="ANOOP23___29">#REF!</definedName>
    <definedName name="ANOOP23___31">#REF!</definedName>
    <definedName name="ANOOP23___37">#REF!</definedName>
    <definedName name="ANOOP23___45">#REF!</definedName>
    <definedName name="ANOOP23___5">#REF!</definedName>
    <definedName name="ANOOP23___51">#REF!</definedName>
    <definedName name="anoop26">#REF!</definedName>
    <definedName name="anoop26___0">#REF!</definedName>
    <definedName name="anoop26___23">#REF!</definedName>
    <definedName name="anoop26___28">#REF!</definedName>
    <definedName name="anoop26___29">#REF!</definedName>
    <definedName name="anoop26___31">#REF!</definedName>
    <definedName name="anoop26___37">#REF!</definedName>
    <definedName name="anoop26___45">#REF!</definedName>
    <definedName name="anoop26___5">#REF!</definedName>
    <definedName name="anoop26___51">#REF!</definedName>
    <definedName name="anoop3">#REF!</definedName>
    <definedName name="anoop3.1">#REF!</definedName>
    <definedName name="anoop3.2">#REF!</definedName>
    <definedName name="anoop3___0">#REF!</definedName>
    <definedName name="anoop3___23">#REF!</definedName>
    <definedName name="anoop3___28">#REF!</definedName>
    <definedName name="anoop3___29">#REF!</definedName>
    <definedName name="anoop3___31">#REF!</definedName>
    <definedName name="anoop3___37">#REF!</definedName>
    <definedName name="anoop3___45">#REF!</definedName>
    <definedName name="anoop3___5">#REF!</definedName>
    <definedName name="anoop3___51">#REF!</definedName>
    <definedName name="anoop3_1">#REF!</definedName>
    <definedName name="anoop3_1___0">#REF!</definedName>
    <definedName name="anoop3_1___23">#REF!</definedName>
    <definedName name="anoop3_1___28">#REF!</definedName>
    <definedName name="anoop3_1___29">#REF!</definedName>
    <definedName name="anoop3_1___31">#REF!</definedName>
    <definedName name="anoop3_1___37">#REF!</definedName>
    <definedName name="anoop3_1___45">#REF!</definedName>
    <definedName name="anoop3_1___5">#REF!</definedName>
    <definedName name="anoop3_1___51">#REF!</definedName>
    <definedName name="anoop3_2">#REF!</definedName>
    <definedName name="anoop3_2___0">#REF!</definedName>
    <definedName name="anoop3_2___23">#REF!</definedName>
    <definedName name="anoop3_2___28">#REF!</definedName>
    <definedName name="anoop3_2___29">#REF!</definedName>
    <definedName name="anoop3_2___31">#REF!</definedName>
    <definedName name="anoop3_2___37">#REF!</definedName>
    <definedName name="anoop3_2___45">#REF!</definedName>
    <definedName name="anoop3_2___5">#REF!</definedName>
    <definedName name="anoop3_2___51">#REF!</definedName>
    <definedName name="ANOOP4">#REF!</definedName>
    <definedName name="ANOOP4___0">#REF!</definedName>
    <definedName name="ANOOP4___23">#REF!</definedName>
    <definedName name="ANOOP4___28">#REF!</definedName>
    <definedName name="ANOOP4___29">#REF!</definedName>
    <definedName name="ANOOP4___31">#REF!</definedName>
    <definedName name="ANOOP4___37">#REF!</definedName>
    <definedName name="ANOOP4___45">#REF!</definedName>
    <definedName name="ANOOP4___5">#REF!</definedName>
    <definedName name="ANOOP4___51">#REF!</definedName>
    <definedName name="ANOOP5">#REF!</definedName>
    <definedName name="ANOOP5___0">#REF!</definedName>
    <definedName name="ANOOP5___23">#REF!</definedName>
    <definedName name="ANOOP5___28">#REF!</definedName>
    <definedName name="ANOOP5___29">#REF!</definedName>
    <definedName name="ANOOP5___31">#REF!</definedName>
    <definedName name="ANOOP5___37">#REF!</definedName>
    <definedName name="ANOOP5___45">#REF!</definedName>
    <definedName name="ANOOP5___5">#REF!</definedName>
    <definedName name="ANOOP5___51">#REF!</definedName>
    <definedName name="ANOOP6">#REF!</definedName>
    <definedName name="ANOOP6___0">#REF!</definedName>
    <definedName name="ANOOP6___23">#REF!</definedName>
    <definedName name="ANOOP6___28">#REF!</definedName>
    <definedName name="ANOOP6___29">#REF!</definedName>
    <definedName name="ANOOP6___31">#REF!</definedName>
    <definedName name="ANOOP6___37">#REF!</definedName>
    <definedName name="ANOOP6___45">#REF!</definedName>
    <definedName name="ANOOP6___5">#REF!</definedName>
    <definedName name="ANOOP6___51">#REF!</definedName>
    <definedName name="ANOOP7">#REF!</definedName>
    <definedName name="ANOOP7___0">#REF!</definedName>
    <definedName name="ANOOP7___23">#REF!</definedName>
    <definedName name="ANOOP7___28">#REF!</definedName>
    <definedName name="ANOOP7___29">#REF!</definedName>
    <definedName name="ANOOP7___31">#REF!</definedName>
    <definedName name="ANOOP7___37">#REF!</definedName>
    <definedName name="ANOOP7___45">#REF!</definedName>
    <definedName name="ANOOP7___5">#REF!</definedName>
    <definedName name="ANOOP7___51">#REF!</definedName>
    <definedName name="ANOOP8">#REF!</definedName>
    <definedName name="ANOOP8___0">#REF!</definedName>
    <definedName name="ANOOP8___23">#REF!</definedName>
    <definedName name="ANOOP8___28">#REF!</definedName>
    <definedName name="ANOOP8___29">#REF!</definedName>
    <definedName name="ANOOP8___31">#REF!</definedName>
    <definedName name="ANOOP8___37">#REF!</definedName>
    <definedName name="ANOOP8___45">#REF!</definedName>
    <definedName name="ANOOP8___5">#REF!</definedName>
    <definedName name="ANOOP8___51">#REF!</definedName>
    <definedName name="ANOOP9">#REF!</definedName>
    <definedName name="ANOOP9___0">#REF!</definedName>
    <definedName name="ANOOP9___23">#REF!</definedName>
    <definedName name="ANOOP9___28">#REF!</definedName>
    <definedName name="ANOOP9___29">#REF!</definedName>
    <definedName name="ANOOP9___31">#REF!</definedName>
    <definedName name="ANOOP9___37">#REF!</definedName>
    <definedName name="ANOOP9___45">#REF!</definedName>
    <definedName name="ANOOP9___5">#REF!</definedName>
    <definedName name="ANOOP9___51">#REF!</definedName>
    <definedName name="asd">#REF!</definedName>
    <definedName name="AttrNo">'[3]score trends'!$H$7:$H$13</definedName>
    <definedName name="AVS3.0">[9]圧着条件!$D$47:$M$47</definedName>
    <definedName name="AVSS0.3">[9]圧着条件!$D$7:$M$10</definedName>
    <definedName name="AVSS0.5">[9]圧着条件!$D$11:$M$23</definedName>
    <definedName name="AVSS0.5x1.25">[9]圧着条件!$D$48:$M$48</definedName>
    <definedName name="AVSS0.85">[9]圧着条件!$D$24:$M$29</definedName>
    <definedName name="AVSS1.25">[9]圧着条件!$D$30:$M$36</definedName>
    <definedName name="AVSS1.25x1.25">[9]圧着条件!$D$49:$M$49</definedName>
    <definedName name="AVSS2.0F">[9]圧着条件!$D$37:$M$46</definedName>
    <definedName name="AVSS2.0Fx2.0F">[9]圧着条件!$D$50:$M$50</definedName>
    <definedName name="b" hidden="1">#REF!</definedName>
    <definedName name="BLANK">#REF!</definedName>
    <definedName name="BuiltIn_Print_Area___0">[2]SPC_OC!$A$1:$Q$55</definedName>
    <definedName name="cdr1___0">#REF!</definedName>
    <definedName name="cdr1___23">#REF!</definedName>
    <definedName name="cdr1___28">#REF!</definedName>
    <definedName name="cdr1___29">#REF!</definedName>
    <definedName name="cdr1___31">#REF!</definedName>
    <definedName name="cdr1___37">#REF!</definedName>
    <definedName name="cdr1___45">#REF!</definedName>
    <definedName name="cdr1___5">#REF!</definedName>
    <definedName name="cdr1___51">#REF!</definedName>
    <definedName name="cdr3___0">#REF!</definedName>
    <definedName name="cdr3___23">#REF!</definedName>
    <definedName name="cdr3___28">#REF!</definedName>
    <definedName name="cdr3___29">#REF!</definedName>
    <definedName name="cdr3___31">#REF!</definedName>
    <definedName name="cdr3___37">#REF!</definedName>
    <definedName name="cdr3___45">#REF!</definedName>
    <definedName name="cdr3___5">#REF!</definedName>
    <definedName name="cdr3___51">#REF!</definedName>
    <definedName name="cdr4___0">#REF!</definedName>
    <definedName name="cdr4___23">#REF!</definedName>
    <definedName name="cdr4___28">#REF!</definedName>
    <definedName name="cdr4___29">#REF!</definedName>
    <definedName name="cdr4___31">#REF!</definedName>
    <definedName name="cdr4___37">#REF!</definedName>
    <definedName name="cdr4___45">#REF!</definedName>
    <definedName name="cdr4___5">#REF!</definedName>
    <definedName name="cdr4___51">#REF!</definedName>
    <definedName name="cdr5___0">#REF!</definedName>
    <definedName name="cdr5___23">#REF!</definedName>
    <definedName name="cdr5___28">#REF!</definedName>
    <definedName name="cdr5___29">#REF!</definedName>
    <definedName name="cdr5___31">#REF!</definedName>
    <definedName name="cdr5___37">#REF!</definedName>
    <definedName name="cdr5___45">#REF!</definedName>
    <definedName name="cdr5___5">#REF!</definedName>
    <definedName name="cdr5___51">#REF!</definedName>
    <definedName name="cdr6___0">#REF!</definedName>
    <definedName name="cdr6___23">#REF!</definedName>
    <definedName name="cdr6___28">#REF!</definedName>
    <definedName name="cdr6___29">#REF!</definedName>
    <definedName name="cdr6___31">#REF!</definedName>
    <definedName name="cdr6___37">#REF!</definedName>
    <definedName name="cdr6___45">#REF!</definedName>
    <definedName name="cdr6___5">#REF!</definedName>
    <definedName name="cdr6___51">#REF!</definedName>
    <definedName name="Ch10.12">'[3]Product Problems'!$AC$30:$AC$38</definedName>
    <definedName name="Ch10.9">'[3]Product Problems'!$AC$16:$AC$24</definedName>
    <definedName name="Ch4.17">[3]dashboard!$V$27:$V$30</definedName>
    <definedName name="Ch5.18">'[3]score trends'!$Z$35:$Z$39</definedName>
    <definedName name="Ch5.19">'[3]score trends'!$Z$44:$Z$48</definedName>
    <definedName name="Ch5.67">'[3]score trends'!$Z$7:$Z$13</definedName>
    <definedName name="Ch7.29">'[3]standards trend'!$AO$21:$AO$25</definedName>
    <definedName name="Ch7.30">'[3]standards trend'!$AO$30:$AO$34</definedName>
    <definedName name="Ch8.13">'[3]service timing'!$S$13:$S$16</definedName>
    <definedName name="Ch8.14">'[3]service timing'!$S$21:$S$23</definedName>
    <definedName name="Ch8.2">'[5]Sales Initiation (5)'!$S$5:$S$7</definedName>
    <definedName name="Ch8.22">'[5]Sales Initiation (5)'!$S$14:$S$18</definedName>
    <definedName name="Ch8.4">'[3]service timing'!$S$5:$S$7</definedName>
    <definedName name="Ch9.24">'[5]Timing-1 (6)'!$S$20:$S$22</definedName>
    <definedName name="Ch9.4">'[5]Timing-1 (6)'!$S$5:$S$7</definedName>
    <definedName name="Ch9.7">'[3]Fix it First Time'!$S$20:$S$25</definedName>
    <definedName name="chart">#REF!</definedName>
    <definedName name="CHARTS">'[10]FROM APR 03~'!$L$2:$T$31</definedName>
    <definedName name="ColorCode">'[3]score trends'!$I$7:$I$13</definedName>
    <definedName name="Country">[3]Range!$A$2:$C$26</definedName>
    <definedName name="CountryRow">[3]TOC!$T$6</definedName>
    <definedName name="CountSeries">'[5]dashboard (1)'!$Y$20</definedName>
    <definedName name="crd2___0">#REF!</definedName>
    <definedName name="crd2___23">#REF!</definedName>
    <definedName name="crd2___28">#REF!</definedName>
    <definedName name="crd2___29">#REF!</definedName>
    <definedName name="crd2___31">#REF!</definedName>
    <definedName name="crd2___37">#REF!</definedName>
    <definedName name="crd2___45">#REF!</definedName>
    <definedName name="crd2___5">#REF!</definedName>
    <definedName name="crd2___51">#REF!</definedName>
    <definedName name="Cross">'[3]priority analysis'!$AP$35</definedName>
    <definedName name="Cube">[4]TOC!$N$7</definedName>
    <definedName name="Cumulative">[3]TOC!$R$29</definedName>
    <definedName name="dfr">#REF!</definedName>
    <definedName name="DifProb">OFFSET('[3]Product Problems'!$G$5,0,0,'[3]Product Problems'!$F$11,10)</definedName>
    <definedName name="DLRTT1">'[4]Topline trends'!$H$2</definedName>
    <definedName name="End">[3]TOC!$R$20</definedName>
    <definedName name="excel">#REF!</definedName>
    <definedName name="Excel_BuiltIn__FilterDatabase_1">#REF!</definedName>
    <definedName name="Excel_BuiltIn__FilterDatabase_15">#REF!</definedName>
    <definedName name="Excel_BuiltIn__FilterDatabase_16">#REF!</definedName>
    <definedName name="Excel_BuiltIn__FilterDatabase_18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3">#REF!</definedName>
    <definedName name="Excel_BuiltIn_Print_Area_14">#REF!</definedName>
    <definedName name="Excel_BuiltIn_Print_Area_18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4">#REF!</definedName>
    <definedName name="Excel_BuiltIn_Print_Area_22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7">#REF!</definedName>
    <definedName name="Excel_BuiltIn_Print_Area_7_1">#REF!</definedName>
    <definedName name="F5000000">'[7]ghorpade '!$F$50020</definedName>
    <definedName name="FFF" hidden="1">'[11]３発デ－タ'!#REF!</definedName>
    <definedName name="Filename">[4]TOC!$C$3</definedName>
    <definedName name="Fileuser">[3]TOC!$S$4</definedName>
    <definedName name="From">[4]TOC!$D$2</definedName>
    <definedName name="FrontPage">[4]TOC!$A$5:$B$70</definedName>
    <definedName name="FW_STEXCEL">#REF!</definedName>
    <definedName name="ghy">#REF!</definedName>
    <definedName name="GRAp">[12]STAGEIMPROV!$A$93:$Q$111</definedName>
    <definedName name="GRAPH">#REF!</definedName>
    <definedName name="GroupCount">[4]GroupRank!$B$1</definedName>
    <definedName name="GroupDetails">'[4]Group Details'!$E$2:$G$1002</definedName>
    <definedName name="HTML_CodePage" hidden="1">1252</definedName>
    <definedName name="HTML_Control" hidden="1">{"'Sheet1'!$A$1:$H$15"}</definedName>
    <definedName name="HTML_Control2" hidden="1">{"'Sheet1'!$A$1:$H$15"}</definedName>
    <definedName name="HTML_Description" hidden="1">""</definedName>
    <definedName name="HTML_Email" hidden="1">""</definedName>
    <definedName name="HTML_Header" hidden="1">"Sheet1"</definedName>
    <definedName name="HTML_LastUpdate" hidden="1">"10/20/01"</definedName>
    <definedName name="HTML_LineAfter" hidden="1">FALSE</definedName>
    <definedName name="HTML_LineBefore" hidden="1">FALSE</definedName>
    <definedName name="HTML_Name" hidden="1">"Jon Peltier"</definedName>
    <definedName name="HTML_OBDlg2" hidden="1">TRUE</definedName>
    <definedName name="HTML_OBDlg4" hidden="1">TRUE</definedName>
    <definedName name="HTML_OS" hidden="1">0</definedName>
    <definedName name="HTML_PathFile" hidden="1">"C:\_Dad's\Computer Files\Web Site\GeocitiesX\Backup Files\MyHTML.htm"</definedName>
    <definedName name="HTML_Title" hidden="1">"ConditionalChart1"</definedName>
    <definedName name="ImpactLabel">OFFSET('[5]standards trend (4)'!$O$8,0,0,COUNT('[5]standards trend (4)'!$X$8:$X$25),1)</definedName>
    <definedName name="ImpactNo">OFFSET('[5]standards trend (4)'!$X$8,0,0,COUNT('[5]standards trend (4)'!$X$8:$X$25),1)</definedName>
    <definedName name="ImpactYes">OFFSET('[5]standards trend (4)'!$Y$8,0,0,COUNT('[5]standards trend (4)'!$Y$8:$Y$25),1)</definedName>
    <definedName name="India">[3]Range!$A$247:$I$305</definedName>
    <definedName name="IndiaCS1">'[3]Sample India'!$AB$1:$AO$22</definedName>
    <definedName name="IndiaCS2">'[3]Sample India'!$AB$24:$AO$50</definedName>
    <definedName name="Indonesia">[3]Range!$A$74:$I$146</definedName>
    <definedName name="IndonesiaCS1">'[3]Sample Indo'!$AB$1:$AO$21</definedName>
    <definedName name="IndonesiaCS2">'[3]Sample Indo'!$AB$25:$AO$51</definedName>
    <definedName name="IndonesiaS1">'[3]Sample Indo'!$A$4:$I$19</definedName>
    <definedName name="IndonesiaS2">'[3]Sample Indo'!$A$25:$I$58</definedName>
    <definedName name="IndonesiaS3">'[3]Sample Indo'!$A$60:$I$87</definedName>
    <definedName name="ISUZU_VN51新規部品一覧表">#REF!</definedName>
    <definedName name="Korea">[13]Range!$A$306:$I$325</definedName>
    <definedName name="Labels">[14]Sheet2!$B$1:$C$43</definedName>
    <definedName name="lrb">#REF!</definedName>
    <definedName name="M1A1">[15]部品明細!$K$8:$K$150</definedName>
    <definedName name="M1A2">[15]部品明細!$M$8:$M$150</definedName>
    <definedName name="M1B1">[15]部品明細!$L$8:$L$150</definedName>
    <definedName name="M1B2">[15]部品明細!$N$8:$N$150</definedName>
    <definedName name="M2A1">[15]部品明細!$S$8:$S$150</definedName>
    <definedName name="M2A2">[15]部品明細!$U$8:$U$150</definedName>
    <definedName name="M2B1">[15]部品明細!$T$8:$T$150</definedName>
    <definedName name="M2B2">[15]部品明細!$V$8:$V$150</definedName>
    <definedName name="MAIR_A0">[4]SuperGroupRank!$R$4</definedName>
    <definedName name="MAIR_A1">[4]SuperGroupRank!$U$4</definedName>
    <definedName name="MAIR_A2">[4]SuperGroupRank!$X$4</definedName>
    <definedName name="MAIR_O0">[4]SuperGroupRank!$P$4</definedName>
    <definedName name="MAIR_O1">[4]SuperGroupRank!$S$4</definedName>
    <definedName name="MAIR_O2">[4]SuperGroupRank!$V$4</definedName>
    <definedName name="MAIR_S0">[4]SuperGroupRank!$Q$4</definedName>
    <definedName name="MAIR_S1">[4]SuperGroupRank!$T$4</definedName>
    <definedName name="MAIR_S2">[4]SuperGroupRank!$W$4</definedName>
    <definedName name="Major">'[3]priority analysis'!$AP$33</definedName>
    <definedName name="Malaysia">[3]Range!$A$149:$I$211</definedName>
    <definedName name="MalaysiaCS1">'[3]Sample MY'!$AB$1:$AO$21</definedName>
    <definedName name="MalaysiaCS2">'[3]Sample MY'!$AB$24:$AO$50</definedName>
    <definedName name="MalaysiaS1">'[3]Sample MY'!$A$4:$K$19</definedName>
    <definedName name="MalaysiaS2">'[3]Sample MY'!$A$23:$K$55</definedName>
    <definedName name="MalaysiaS3">'[3]Sample MY'!$A$57:$K$74</definedName>
    <definedName name="Market">[4]TOC!$N$8</definedName>
    <definedName name="Max">'[3]priority analysis'!$AQ$31</definedName>
    <definedName name="Mc63apr23">#REF!</definedName>
    <definedName name="Min">'[3]priority analysis'!$AP$31</definedName>
    <definedName name="Minor">'[3]priority analysis'!$AQ$33</definedName>
    <definedName name="MKRLIST.Q">#REF!</definedName>
    <definedName name="MKRLIST.S">[16]名簿データ!$A$4:$W$1416</definedName>
    <definedName name="MKRLIST.V">#REF!</definedName>
    <definedName name="MKRLIST.V2">[16]名簿データ!$B$4:$D$1417</definedName>
    <definedName name="Model">[4]TOC!$C$1</definedName>
    <definedName name="ModelCount">[3]TOC!$R$25</definedName>
    <definedName name="module">[4]TOC!$N$12</definedName>
    <definedName name="MSR_A">[4]GroupRank!$L$2</definedName>
    <definedName name="MSR_O">[4]GroupRank!$J$2</definedName>
    <definedName name="MSR_S">[4]GroupRank!$K$2</definedName>
    <definedName name="MUA_MC63_APR23">#REF!</definedName>
    <definedName name="NG">#REF!</definedName>
    <definedName name="NPRINT1">[17]Sheet1!$A$1:$O$19</definedName>
    <definedName name="NPRINT2">[17]Sheet1!$A$20:$O$31</definedName>
    <definedName name="NPRINT3">[17]Sheet1!$A$32:$O$49</definedName>
    <definedName name="NPRINT5">[17]Sheet1!$A$66:$O$83</definedName>
    <definedName name="NPRINT6">[17]Sheet1!$A$84:$O$97</definedName>
    <definedName name="NPRINT7">[17]Sheet1!$A$98:$O$115</definedName>
    <definedName name="NPTINT4">[17]Sheet1!$A$50:$O$65</definedName>
    <definedName name="NR_A_or_L_SHOP_MAY14">#REF!</definedName>
    <definedName name="NRT">#REF!,#REF!,#REF!,#REF!,#REF!,#REF!,#REF!,#REF!,#REF!,#REF!,#REF!,#REF!,#REF!,#REF!,#REF!,#REF!,#REF!,#REF!,#REF!,#REF!,#REF!,#REF!,#REF!,#REF!,#REF!,#REF!</definedName>
    <definedName name="O">'[4]Project Details'!$B$7</definedName>
    <definedName name="Order1">[3]TOC!$T$17</definedName>
    <definedName name="Order2">[3]TOC!$T$20</definedName>
    <definedName name="Pakistan">[5]Range!$A$307:$G$337</definedName>
    <definedName name="phen" hidden="1">2</definedName>
    <definedName name="Philippines">[3]Range!$A$215:$I$244</definedName>
    <definedName name="PhilippinesCS1">'[3]Sample PH'!$AB$1:$AO$22</definedName>
    <definedName name="PhilippinesCS2">'[3]Sample PH'!$AB$24:$AO$50</definedName>
    <definedName name="PLAN">#REF!</definedName>
    <definedName name="poly">#REF!</definedName>
    <definedName name="PR50___0">#REF!</definedName>
    <definedName name="PR50___23">#REF!</definedName>
    <definedName name="PR50___28">#REF!</definedName>
    <definedName name="PR50___29">#REF!</definedName>
    <definedName name="PR50___31">#REF!</definedName>
    <definedName name="PR50___37">#REF!</definedName>
    <definedName name="PR50___45">#REF!</definedName>
    <definedName name="PR50___5">#REF!</definedName>
    <definedName name="PR50___51">#REF!</definedName>
    <definedName name="PRIN2">[17]Sheet1!$A$22:$O$44</definedName>
    <definedName name="_xlnm.Print_Area" localSheetId="1">'03-Days Monitoring Sheet '!$A$1:$AN$69</definedName>
    <definedName name="_xlnm.Print_Area" localSheetId="0">'16 -Days Monitoring Sheet '!$B$1:$BB$76</definedName>
    <definedName name="_xlnm.Print_Area">'[2]SPC-OC'!$A$1:$Q$55</definedName>
    <definedName name="Print_Area_MI">#REF!</definedName>
    <definedName name="PRINT_AREA_MI___0">[2]SPC_OC!$A$1:$Q$55</definedName>
    <definedName name="PRINT_AREA_MI___13">#REF!</definedName>
    <definedName name="PRINT_AREA_MI___18">#REF!</definedName>
    <definedName name="PRINT_AREA_MI___19">#REF!</definedName>
    <definedName name="PRINT_AREA_MI___35">#REF!</definedName>
    <definedName name="PRINT_AREA_MI___38">#REF!</definedName>
    <definedName name="PRINT_AREA_MI___39">#REF!</definedName>
    <definedName name="PRINT1">[17]Sheet1!$A$2:$O$21</definedName>
    <definedName name="PRINT3">[17]Sheet1!$A$45:$O$115</definedName>
    <definedName name="Purch">OFFSET([3]dashboard!$J$35,0,0,COUNT([3]dashboard!$J$35:$J$40),1)</definedName>
    <definedName name="PurcLab">OFFSET([3]dashboard!$H$35,0,0,COUNT([3]dashboard!$J$35:$J$40),2)</definedName>
    <definedName name="pvepl1">'[18]varroc 100254 ppm'!$A$2:$O$200</definedName>
    <definedName name="Q_ASSY治具_クロス集計">#REF!</definedName>
    <definedName name="_xlnm.Recorder">#REF!</definedName>
    <definedName name="Ref">[4]TOC!$A$1</definedName>
    <definedName name="region">[4]TOC!$N$14</definedName>
    <definedName name="Report">[4]TOC!$N$9</definedName>
    <definedName name="ReportType">[3]TOC!$W$48:$X$57</definedName>
    <definedName name="Revisit">OFFSET([3]dashboard!$J$41,0,0,COUNT([3]dashboard!$J$41:$J$46),1)</definedName>
    <definedName name="RevisitLab">OFFSET([3]dashboard!$H$41,0,0,COUNT([3]dashboard!$J$41:$J$46),2)</definedName>
    <definedName name="RngColor">'[3]priority analysis'!$AF$4:$AF$18</definedName>
    <definedName name="RngScale">'[3]priority analysis'!$AN$4:$AQ$28</definedName>
    <definedName name="RPeriod">[3]TOC!$V$5:$AD$23</definedName>
    <definedName name="RState">[3]TOC!$V$26:$AD$33</definedName>
    <definedName name="RT">#REF!,#REF!,#REF!,#REF!,#REF!,#REF!,#REF!,#REF!,#REF!,#REF!,#REF!,#REF!,#REF!,#REF!,#REF!,#REF!,#REF!,#REF!</definedName>
    <definedName name="RVeh">[3]TOC!$V$36:$AD$43</definedName>
    <definedName name="RYear">[5]TOC!$V$25:$AC$43</definedName>
    <definedName name="s">'[4]Project Details'!$C$7</definedName>
    <definedName name="SalesGridText">'[4]Grid Descriptions'!$A$2:$B$27</definedName>
    <definedName name="SAPBEXdnldView" hidden="1">"4L0AMKHCBHNBRU9MTH7KEXA88"</definedName>
    <definedName name="SAPBEXrevision" hidden="1">1</definedName>
    <definedName name="SAPBEXsysID" hidden="1">"BWP"</definedName>
    <definedName name="SAPBEXwbID" hidden="1">"3UXN71P55OGXV87LDHW2F75EM"</definedName>
    <definedName name="SDGDF">#REF!</definedName>
    <definedName name="Segment">[4]TOC!$F$1</definedName>
    <definedName name="SegmentDetails">'[4]Group Details'!$A$2:$H$1002</definedName>
    <definedName name="SHOPPDM0531_クエリー1">#REF!</definedName>
    <definedName name="ShowWave">[3]TOC!$R$27</definedName>
    <definedName name="SHUKKO_クエリー">#REF!</definedName>
    <definedName name="SPDMのクロス集計_クエリー">#REF!</definedName>
    <definedName name="SRFSDDDDDDDDDDDDDDDD">[19]Sheet1!$A$2:$A$41</definedName>
    <definedName name="SSSSSS">#REF!</definedName>
    <definedName name="Start">[3]TOC!$R$17</definedName>
    <definedName name="StateRankTable">[4]GroupRank!$B$3:$L$152</definedName>
    <definedName name="StdTrend1">OFFSET('[5]standards trend (4)'!$P$30,0,0,COUNT('[5]standards trend (4)'!$P$31:$P$40)+1,9)</definedName>
    <definedName name="StdTrend2">OFFSET('[5]standards trend (4)'!$P$46,0,0,COUNT('[5]standards trend (4)'!$P$47:$P$54)+1,9)</definedName>
    <definedName name="StdTrendLab1">OFFSET('[5]standards trend (4)'!$O$30,0,0,COUNT('[5]standards trend (4)'!$P$31:$P$40)+1,1)</definedName>
    <definedName name="StdTrendLab2">OFFSET('[5]standards trend (4)'!$O$46,0,0,COUNT('[5]standards trend (4)'!$P$47:$P$54)+1,1)</definedName>
    <definedName name="Study">'[4]Project Details'!$B$6</definedName>
    <definedName name="ST表">[20]T_クロス集計テーブル【基データ】!$A$1:$AC$82</definedName>
    <definedName name="summery">#REF!</definedName>
    <definedName name="SuperGroupCount">[4]SuperGroupRank!$C$3</definedName>
    <definedName name="SuperGroupDetails">'[4]Group Details'!$D$2:$G$1002</definedName>
    <definedName name="SuperGroupRankTable">[4]SuperGroupRank!$A$5:$R$504</definedName>
    <definedName name="supermodule">[4]TOC!$N$13</definedName>
    <definedName name="T_クロス集計テーブル">#REF!</definedName>
    <definedName name="TEST0">#REF!</definedName>
    <definedName name="TESTHKEY">#REF!</definedName>
    <definedName name="TESTKEYS">#REF!</definedName>
    <definedName name="TESTVKEY">#REF!</definedName>
    <definedName name="Thailand">[3]Range!$A$31:$I$70</definedName>
    <definedName name="ThailandCS1">'[3]Sample TH'!$AB$1:$AO$22</definedName>
    <definedName name="ThailandCS2">'[3]Sample TH'!$AB$24:$AO$50</definedName>
    <definedName name="Title1">[3]dashboard!$E$4</definedName>
    <definedName name="Title2">'[3]score trends'!$A$1</definedName>
    <definedName name="Title3">'[3]priority analysis'!$L$2</definedName>
    <definedName name="Title4">'[3]standards trend'!$L$4</definedName>
    <definedName name="Title5">'[3]service timing'!$G$2</definedName>
    <definedName name="Title6">'[3]Fix it First Time'!$G$2</definedName>
    <definedName name="Title7">'[3]Product Problems'!$G$2</definedName>
    <definedName name="Title8">[3]Parts!$G$2</definedName>
    <definedName name="To">[4]TOC!$F$2</definedName>
    <definedName name="TOC">[4]TOC!$A$5:$K$43</definedName>
    <definedName name="TopLine1">[3]dashboard!$A$4:$D$35</definedName>
    <definedName name="TopLine2">'[3]score trends'!$A$4:$D$35</definedName>
    <definedName name="TopLine3">'[3]priority analysis'!$A$6:$J$35</definedName>
    <definedName name="Trend_charts_of_Supplier_PPM">'[10]FROM APR 03~'!$A$2:$J$18</definedName>
    <definedName name="TS">#REF!</definedName>
    <definedName name="TTWave">[3]TOC!$R$23</definedName>
    <definedName name="vepl2">'[18]pu foam ppm'!$A$1:$O$44</definedName>
    <definedName name="Vietnam">[3]Range!$A$308:$I$334</definedName>
    <definedName name="Wave">[4]TOC!$N$11</definedName>
    <definedName name="WaveN">[21]TOC!$I$1</definedName>
    <definedName name="y" hidden="1">{"'Sheet1'!$A$1:$H$15"}</definedName>
    <definedName name="Year">[4]TOC!$N$10</definedName>
    <definedName name="YO" hidden="1">#REF!</definedName>
    <definedName name="Yr">[3]TOC!$T$9</definedName>
    <definedName name="YY" hidden="1">#REF!</definedName>
    <definedName name="ジョイントハンガー">[9]ﾏﾙﾁ回路!$A$8:$Q$76</definedName>
    <definedName name="マルチ回路">[9]ﾏﾙﾁ回路!$A$8:$BV$76</definedName>
    <definedName name="仕掛ハンガー">[9]ﾏﾙﾁ回路!$A$8:$G$76</definedName>
    <definedName name="使用部品明細">[15]部品明細!$F$8:$AK$150</definedName>
    <definedName name="出荷指示数">[22]出荷指示書!$M$4:$V$70</definedName>
    <definedName name="分類">#REF!</definedName>
    <definedName name="判定">#REF!</definedName>
    <definedName name="副資材所要量1">[15]部品明細!$AK$8:$AK$150</definedName>
    <definedName name="副資材所要量2">[15]部品明細!$AL$8:$AL$150</definedName>
    <definedName name="名簿ﾃﾞｰﾀ.Q">#REF!</definedName>
    <definedName name="変更">#REF!</definedName>
    <definedName name="手圧着ハンガー">[9]ﾏﾙﾁ回路!$A$8:$L$76</definedName>
    <definedName name="生産指示数">[22]指示数入力!$C$16:$G$50</definedName>
    <definedName name="車両_MC63_APR23">#REF!</definedName>
    <definedName name="部品所要量1">[15]部品明細!$AI$8:$AI$150</definedName>
    <definedName name="部品所要量2">[15]部品明細!$AJ$8:$AJ$150</definedName>
    <definedName name="部品設定一覧">[15]部品設定!$B$10:$AB$39</definedName>
    <definedName name="電線棚早見表">[23]電線早見表!$B$8:$H$48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24" l="1"/>
  <c r="E19" i="24" s="1"/>
  <c r="R56" i="24"/>
  <c r="R57" i="24"/>
  <c r="R58" i="24"/>
  <c r="R59" i="24"/>
  <c r="R60" i="24"/>
  <c r="R55" i="24"/>
  <c r="R61" i="24" s="1"/>
  <c r="O60" i="24"/>
  <c r="D49" i="24"/>
  <c r="O59" i="24"/>
  <c r="O58" i="24"/>
  <c r="O57" i="24"/>
  <c r="O56" i="24"/>
  <c r="AM43" i="24"/>
  <c r="AM42" i="24"/>
  <c r="AM41" i="24"/>
  <c r="AM40" i="24"/>
  <c r="AM36" i="24"/>
  <c r="AM35" i="24"/>
  <c r="AM34" i="24"/>
  <c r="AM24" i="24"/>
  <c r="AM22" i="24"/>
  <c r="AM16" i="24"/>
  <c r="AM33" i="24"/>
  <c r="AM29" i="24"/>
  <c r="AM32" i="24"/>
  <c r="AM18" i="24"/>
  <c r="AM31" i="24"/>
  <c r="AM30" i="24"/>
  <c r="AA44" i="24"/>
  <c r="P44" i="24"/>
  <c r="E44" i="24"/>
  <c r="P42" i="24"/>
  <c r="AA42" i="24"/>
  <c r="E42" i="24"/>
  <c r="AA39" i="24"/>
  <c r="P39" i="24"/>
  <c r="E39" i="24"/>
  <c r="P37" i="24"/>
  <c r="AA37" i="24"/>
  <c r="E37" i="24"/>
  <c r="P32" i="24"/>
  <c r="AA32" i="24"/>
  <c r="E32" i="24"/>
  <c r="AA28" i="24"/>
  <c r="E28" i="24"/>
  <c r="P26" i="24"/>
  <c r="P28" i="24" s="1"/>
  <c r="AM25" i="24" s="1"/>
  <c r="AA26" i="24"/>
  <c r="E26" i="24"/>
  <c r="AA21" i="24"/>
  <c r="P21" i="24"/>
  <c r="P19" i="24"/>
  <c r="AA19" i="24"/>
  <c r="AK16" i="24"/>
  <c r="AK17" i="24"/>
  <c r="AK18" i="24"/>
  <c r="AK15" i="24"/>
  <c r="Z18" i="24"/>
  <c r="Z16" i="24"/>
  <c r="Z17" i="24"/>
  <c r="Z15" i="24"/>
  <c r="O16" i="24"/>
  <c r="O17" i="24"/>
  <c r="O15" i="24"/>
  <c r="AM53" i="8"/>
  <c r="AM52" i="8"/>
  <c r="BB48" i="8"/>
  <c r="BB43" i="8"/>
  <c r="BB36" i="8"/>
  <c r="BB32" i="8"/>
  <c r="BB24" i="8"/>
  <c r="Q64" i="8"/>
  <c r="T64" i="8" s="1"/>
  <c r="T68" i="8"/>
  <c r="T67" i="8"/>
  <c r="T66" i="8"/>
  <c r="T65" i="8"/>
  <c r="Q69" i="8"/>
  <c r="T69" i="8" s="1"/>
  <c r="Q68" i="8"/>
  <c r="Q67" i="8"/>
  <c r="Q66" i="8"/>
  <c r="Q65" i="8"/>
  <c r="AO22" i="8"/>
  <c r="AP22" i="8"/>
  <c r="AQ22" i="8"/>
  <c r="AQ24" i="8" s="1"/>
  <c r="AR22" i="8"/>
  <c r="AS22" i="8"/>
  <c r="AT22" i="8"/>
  <c r="AU22" i="8"/>
  <c r="AU24" i="8" s="1"/>
  <c r="AV22" i="8"/>
  <c r="AW22" i="8"/>
  <c r="AX22" i="8"/>
  <c r="AY22" i="8"/>
  <c r="AY24" i="8" s="1"/>
  <c r="AZ22" i="8"/>
  <c r="AN22" i="8"/>
  <c r="AC22" i="8"/>
  <c r="AC48" i="8"/>
  <c r="R48" i="8"/>
  <c r="G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C43" i="8"/>
  <c r="R43" i="8"/>
  <c r="G43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AN36" i="8"/>
  <c r="R36" i="8"/>
  <c r="AC36" i="8"/>
  <c r="G36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G32" i="8"/>
  <c r="AC32" i="8"/>
  <c r="R32" i="8"/>
  <c r="G24" i="8"/>
  <c r="AZ24" i="8"/>
  <c r="AX24" i="8"/>
  <c r="AW24" i="8"/>
  <c r="AV24" i="8"/>
  <c r="AT24" i="8"/>
  <c r="AS24" i="8"/>
  <c r="AR24" i="8"/>
  <c r="AP24" i="8"/>
  <c r="AO24" i="8"/>
  <c r="AN30" i="8"/>
  <c r="AN41" i="8"/>
  <c r="AN24" i="8"/>
  <c r="AC24" i="8"/>
  <c r="Q16" i="8"/>
  <c r="R24" i="8"/>
  <c r="AV41" i="8"/>
  <c r="AO41" i="8"/>
  <c r="R41" i="8"/>
  <c r="G41" i="8"/>
  <c r="R30" i="8"/>
  <c r="G30" i="8"/>
  <c r="AO19" i="8"/>
  <c r="AN19" i="8"/>
  <c r="AM21" i="8"/>
  <c r="AM20" i="8"/>
  <c r="AM19" i="8"/>
  <c r="AM18" i="8"/>
  <c r="AM17" i="8"/>
  <c r="AM16" i="8"/>
  <c r="AB21" i="8"/>
  <c r="AB20" i="8"/>
  <c r="AB19" i="8"/>
  <c r="AB18" i="8"/>
  <c r="AB17" i="8"/>
  <c r="AB16" i="8"/>
  <c r="R22" i="8"/>
  <c r="G22" i="8"/>
  <c r="H19" i="8"/>
  <c r="I19" i="8"/>
  <c r="J19" i="8"/>
  <c r="K19" i="8"/>
  <c r="L19" i="8"/>
  <c r="M19" i="8"/>
  <c r="N19" i="8"/>
  <c r="O19" i="8"/>
  <c r="P19" i="8"/>
  <c r="G19" i="8"/>
  <c r="Q19" i="8" s="1"/>
  <c r="Q21" i="8"/>
  <c r="Q17" i="8"/>
  <c r="Q20" i="8"/>
  <c r="Q18" i="8"/>
  <c r="AM17" i="24" l="1"/>
  <c r="E21" i="24"/>
  <c r="AM19" i="24" s="1"/>
  <c r="AM23" i="24"/>
  <c r="T70" i="8"/>
  <c r="AP41" i="8"/>
  <c r="AQ41" i="8"/>
  <c r="AR41" i="8"/>
  <c r="AS41" i="8"/>
  <c r="AT41" i="8"/>
  <c r="AU41" i="8"/>
  <c r="AW41" i="8"/>
  <c r="AX41" i="8"/>
  <c r="AY41" i="8"/>
  <c r="AZ41" i="8"/>
  <c r="AC41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C30" i="8"/>
  <c r="AP19" i="8"/>
  <c r="AQ19" i="8"/>
  <c r="AR19" i="8"/>
  <c r="AS19" i="8"/>
  <c r="AT19" i="8"/>
  <c r="AU19" i="8"/>
  <c r="AV19" i="8"/>
  <c r="AW19" i="8"/>
  <c r="AX19" i="8"/>
  <c r="AY19" i="8"/>
  <c r="AZ19" i="8"/>
  <c r="AC19" i="8"/>
  <c r="AD19" i="8"/>
  <c r="AE19" i="8"/>
  <c r="AF19" i="8"/>
  <c r="AG19" i="8"/>
  <c r="AH19" i="8"/>
  <c r="AI19" i="8"/>
  <c r="AJ19" i="8"/>
  <c r="AK19" i="8"/>
  <c r="AL19" i="8"/>
  <c r="S19" i="8"/>
  <c r="T19" i="8"/>
  <c r="U19" i="8"/>
  <c r="V19" i="8"/>
  <c r="W19" i="8"/>
  <c r="X19" i="8"/>
  <c r="Y19" i="8"/>
  <c r="Z19" i="8"/>
  <c r="AA19" i="8"/>
  <c r="R19" i="8"/>
</calcChain>
</file>

<file path=xl/sharedStrings.xml><?xml version="1.0" encoding="utf-8"?>
<sst xmlns="http://schemas.openxmlformats.org/spreadsheetml/2006/main" count="313" uniqueCount="171">
  <si>
    <t>Date</t>
  </si>
  <si>
    <t>S.No</t>
  </si>
  <si>
    <t xml:space="preserve"> ASSOCIATE  PERFORMANCE  MONITORING  CHECK SHEET
(WORKING IN QUALITY  SECTION)</t>
  </si>
  <si>
    <t>Document No. FRM-HR-004</t>
  </si>
  <si>
    <t>Revision No. 07</t>
  </si>
  <si>
    <t>Revision Date:21.12.22</t>
  </si>
  <si>
    <t xml:space="preserve">Employee Name           </t>
  </si>
  <si>
    <t>Handover Date   :</t>
  </si>
  <si>
    <t xml:space="preserve">Employee  Code          </t>
  </si>
  <si>
    <t>Trg. Result    :</t>
  </si>
  <si>
    <t xml:space="preserve">Process   Name             </t>
  </si>
  <si>
    <t>Working  With   :</t>
  </si>
  <si>
    <t xml:space="preserve">Deptt .                          </t>
  </si>
  <si>
    <t xml:space="preserve">Line  &amp; Leader Name   : </t>
  </si>
  <si>
    <t>Parameters</t>
  </si>
  <si>
    <t>Check Items</t>
  </si>
  <si>
    <t>Mark
(Max.)</t>
  </si>
  <si>
    <t>DAY WISE PERFORMANCE MONITORING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</si>
  <si>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</si>
  <si>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</si>
  <si>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</si>
  <si>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</si>
  <si>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</si>
  <si>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</si>
  <si>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</si>
  <si>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</si>
  <si>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</si>
  <si>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</si>
  <si>
    <t>Day-11</t>
  </si>
  <si>
    <t>Day-12</t>
  </si>
  <si>
    <t>Day-13</t>
  </si>
  <si>
    <t>Day-14</t>
  </si>
  <si>
    <t>Day-15</t>
  </si>
  <si>
    <t>Day-16</t>
  </si>
  <si>
    <t>Evaluation after monitoring of 16 days</t>
  </si>
  <si>
    <t>Avg Total</t>
  </si>
  <si>
    <r>
      <t>10 Cycle Check :
1</t>
    </r>
    <r>
      <rPr>
        <b/>
        <vertAlign val="superscript"/>
        <sz val="16"/>
        <rFont val="Arial"/>
        <family val="2"/>
      </rPr>
      <t>st</t>
    </r>
    <r>
      <rPr>
        <b/>
        <sz val="16"/>
        <rFont val="Arial"/>
        <family val="2"/>
      </rPr>
      <t xml:space="preserve"> time - 4 Part
 2</t>
    </r>
    <r>
      <rPr>
        <b/>
        <vertAlign val="superscript"/>
        <sz val="16"/>
        <rFont val="Arial"/>
        <family val="2"/>
      </rPr>
      <t>nd</t>
    </r>
    <r>
      <rPr>
        <b/>
        <sz val="16"/>
        <rFont val="Arial"/>
        <family val="2"/>
      </rPr>
      <t xml:space="preserve"> time- 3 Part
3</t>
    </r>
    <r>
      <rPr>
        <b/>
        <vertAlign val="superscript"/>
        <sz val="16"/>
        <rFont val="Arial"/>
        <family val="2"/>
      </rPr>
      <t>rd</t>
    </r>
    <r>
      <rPr>
        <b/>
        <sz val="16"/>
        <rFont val="Arial"/>
        <family val="2"/>
      </rPr>
      <t xml:space="preserve"> time- 3 Part
</t>
    </r>
  </si>
  <si>
    <t>Follow the work sequence according to the Work Instructions &amp; Check the all check point as per WI
(including finish condition confirmation)</t>
  </si>
  <si>
    <t xml:space="preserve">Inspector should complete the Job in given cycle time      </t>
  </si>
  <si>
    <t>C/T Target (Sec.)</t>
  </si>
  <si>
    <t>C/T Actual</t>
  </si>
  <si>
    <t>Achievement %</t>
  </si>
  <si>
    <t>Adherence of 4'S' (Sort, arrangement, clean, adherence)</t>
  </si>
  <si>
    <t xml:space="preserve">2
</t>
  </si>
  <si>
    <t>Total Mark:</t>
  </si>
  <si>
    <t>Target %</t>
  </si>
  <si>
    <t>Actual %</t>
  </si>
  <si>
    <t>_</t>
  </si>
  <si>
    <t xml:space="preserve">Quality / System
</t>
  </si>
  <si>
    <t xml:space="preserve">Does he/she know the purpose of his/her work &amp; impact at customer end </t>
  </si>
  <si>
    <t>Check an awareness of Inspector about defect in product &amp; past defect in product</t>
  </si>
  <si>
    <t>Does he/she know OK &amp; NG part judgment</t>
  </si>
  <si>
    <t>Does he/she know about NC part handling &amp;  adhare the rule STOP &gt; CALL &gt; WAIT</t>
  </si>
  <si>
    <t>Is there any mistake in using Andon?</t>
  </si>
  <si>
    <r>
      <t xml:space="preserve">Defects captured
</t>
    </r>
    <r>
      <rPr>
        <b/>
        <sz val="11"/>
        <rFont val="Arial"/>
        <family val="2"/>
      </rPr>
      <t xml:space="preserve">* (Defect must be captured 100% during his 15days monitoring performance)
</t>
    </r>
  </si>
  <si>
    <t>Actual defects</t>
  </si>
  <si>
    <t>Defects captured</t>
  </si>
  <si>
    <t xml:space="preserve">Discipline </t>
  </si>
  <si>
    <t>Attends the daily  meeting with good level of listening and understanding .</t>
  </si>
  <si>
    <t>Inspector should aware about daily machine check point and do 5S on their station on daily basis before production start.</t>
  </si>
  <si>
    <t>Whenever if any defect or work related problem is their , he immediately contacts with line leader or his senior person with doing any delay or sitting idle.</t>
  </si>
  <si>
    <t>During any break operator clear the WIP Assy. Part from his / her station and move to next process, leave work station after completing the job.
Is he/she adhare working hours and break timings?</t>
  </si>
  <si>
    <t xml:space="preserve">Target %       (EXCELLENT -100 % )                      </t>
  </si>
  <si>
    <t>Safety</t>
  </si>
  <si>
    <t>Does he/she adhere rules of 5 Principle of Safety and Gen. Safety</t>
  </si>
  <si>
    <t>Does he/she wear required PPEs as per PPE matrix</t>
  </si>
  <si>
    <t>Actual % age followed</t>
  </si>
  <si>
    <t>Fulfill above 1~5 parameters based on working days if person absent then fill next date into column days</t>
  </si>
  <si>
    <t>Attendance</t>
  </si>
  <si>
    <t>Total no. of Monitoring day's :</t>
  </si>
  <si>
    <t>% Avg. Score</t>
  </si>
  <si>
    <t>Count all days of person include absentiseem during 16days of monitoring in attendance parameter 6</t>
  </si>
  <si>
    <t>Evaluation Criteria: Cycle time</t>
  </si>
  <si>
    <t xml:space="preserve">Evaluation Criteria: Quality / System, Discipline ,5S  &amp; Safety, 10 Cycle check                            </t>
  </si>
  <si>
    <t>1% -30%  of standard time</t>
  </si>
  <si>
    <t>Not known/ Not adhere the rule</t>
  </si>
  <si>
    <t>31%-70%  of standard time</t>
  </si>
  <si>
    <t>Partially known / Partially adhere the rule</t>
  </si>
  <si>
    <t>71% &amp; above  of standard time</t>
  </si>
  <si>
    <t>Known / completely adhere the rule</t>
  </si>
  <si>
    <t>Total Weightage</t>
  </si>
  <si>
    <t>Poor</t>
  </si>
  <si>
    <t>Average**</t>
  </si>
  <si>
    <t>V Good</t>
  </si>
  <si>
    <t>Excellent</t>
  </si>
  <si>
    <t>Avg. Score        (individual) in %</t>
  </si>
  <si>
    <t>Score Achieved w.r.t .weightage</t>
  </si>
  <si>
    <t xml:space="preserve">
 Checked By:-                                  Verified By:-                               Approved By:
(Process Incharge)                        (Area Incharge)                         (Dept. Head)</t>
  </si>
  <si>
    <t>%  range</t>
  </si>
  <si>
    <t>10 Cycle Check</t>
  </si>
  <si>
    <t>70-80</t>
  </si>
  <si>
    <t>81-90</t>
  </si>
  <si>
    <t>91-95</t>
  </si>
  <si>
    <t>96-100</t>
  </si>
  <si>
    <t>Quality / System</t>
  </si>
  <si>
    <t>Defect Captured</t>
  </si>
  <si>
    <t>80-90</t>
  </si>
  <si>
    <t>96-99</t>
  </si>
  <si>
    <t>0-70</t>
  </si>
  <si>
    <t>71-80</t>
  </si>
  <si>
    <t>91-100</t>
  </si>
  <si>
    <t>Comment (If Any) ***
                                                                   Verified By:
                                                                (Education Cell)</t>
  </si>
  <si>
    <t xml:space="preserve">Safety                              </t>
  </si>
  <si>
    <t>90-95</t>
  </si>
  <si>
    <t>96-97</t>
  </si>
  <si>
    <t>98-99</t>
  </si>
  <si>
    <t>50-75</t>
  </si>
  <si>
    <t>76-85</t>
  </si>
  <si>
    <t>86-90</t>
  </si>
  <si>
    <t>Total</t>
  </si>
  <si>
    <t>**</t>
  </si>
  <si>
    <t>Average criteria is minimum passing marks for associates.</t>
  </si>
  <si>
    <t>***</t>
  </si>
  <si>
    <t>In case left employee sheet verify the data by education cell.</t>
  </si>
  <si>
    <t>Evaluation after monitoring of 3 days</t>
  </si>
  <si>
    <t xml:space="preserve">Follow the work sequence as per WI &amp; Check the all check point as per WI </t>
  </si>
  <si>
    <t xml:space="preserve">Operator should complete the Job in given cycle time      </t>
  </si>
  <si>
    <t>C/T</t>
  </si>
  <si>
    <t xml:space="preserve">Operator should know about purpose of work &amp; impact at customer end </t>
  </si>
  <si>
    <t>Check an awareness of operator about defect in product &amp; past defect in product.</t>
  </si>
  <si>
    <t>Operator should know about OK &amp; NG part judgment</t>
  </si>
  <si>
    <t>Operator should  about NC part handling &amp;  fallow during process.</t>
  </si>
  <si>
    <t xml:space="preserve">Non defective products Produced
</t>
  </si>
  <si>
    <t>Total Prod. plan</t>
  </si>
  <si>
    <t>Defect free product</t>
  </si>
  <si>
    <t>Operator should aware about daily machine check point and clean machine on daily basis before production start.</t>
  </si>
  <si>
    <t>During any break operator clear the WIP Assy. Part from his / her station and move to next process, leave work station after completing the job.</t>
  </si>
  <si>
    <t xml:space="preserve">Target            (EXCELLENT -100 % )                      </t>
  </si>
  <si>
    <t>Operator should aware about Safety principles</t>
  </si>
  <si>
    <t>Operator should wear PPE as per PPE matrix.</t>
  </si>
  <si>
    <t>Target to be achieved in %</t>
  </si>
  <si>
    <t>% age followed</t>
  </si>
  <si>
    <t>ATTENDANCE</t>
  </si>
  <si>
    <t xml:space="preserve">Evaluation Criteria: Quality / System, Discipline ,5S  &amp; Safety                              </t>
  </si>
  <si>
    <t>Operator Present day's</t>
  </si>
  <si>
    <t>31%-50%  of standard time</t>
  </si>
  <si>
    <t xml:space="preserve">Actual %                            </t>
  </si>
  <si>
    <t>51%-100%  of standard time</t>
  </si>
  <si>
    <t>Known / Adhere the rule</t>
  </si>
  <si>
    <t>GAP OBSERVED</t>
  </si>
  <si>
    <t>Poor**</t>
  </si>
  <si>
    <t>Average</t>
  </si>
  <si>
    <t xml:space="preserve"> Checked By:-                                  Verified By:-                               Approved By:
(Process In charge)                        (Area In charge)                         (Dept. Head)</t>
  </si>
  <si>
    <t>Non defective products</t>
  </si>
  <si>
    <t>Poor criteria is minimum passing marks for associates.</t>
  </si>
  <si>
    <t>Rev No-00</t>
  </si>
  <si>
    <t>Issue Date: 16.10.20</t>
  </si>
  <si>
    <t>PG: 1 OF 1</t>
  </si>
  <si>
    <r>
      <t xml:space="preserve"> ASSOCIATE  EFFECTIVENESS  CHECK SHEET
</t>
    </r>
    <r>
      <rPr>
        <b/>
        <sz val="16"/>
        <rFont val="Baskerville Old Face"/>
        <family val="1"/>
      </rPr>
      <t>(WORKING IN QUALITY CONTROL  SECTION)</t>
    </r>
  </si>
  <si>
    <t xml:space="preserve">Line Name                       </t>
  </si>
  <si>
    <t>* Procedure refer to product quality:</t>
  </si>
  <si>
    <t>if the defect capturing is less than 100% by  employee, need to re-monitor for next 3 days</t>
  </si>
  <si>
    <t>FRM-WH-QA-240</t>
  </si>
  <si>
    <t>Bheem Singh</t>
  </si>
  <si>
    <t>IP YHB-1 /pravin</t>
  </si>
  <si>
    <t>:KAVITA</t>
  </si>
  <si>
    <t>:VN0288</t>
  </si>
  <si>
    <t>:VISUAL</t>
  </si>
  <si>
    <t>:IP YHB -1</t>
  </si>
  <si>
    <r>
      <t xml:space="preserve">: </t>
    </r>
    <r>
      <rPr>
        <b/>
        <sz val="16"/>
        <color rgb="FF0070C0"/>
        <rFont val="Times New Roman"/>
        <family val="1"/>
      </rPr>
      <t>Arti Sharma</t>
    </r>
  </si>
  <si>
    <r>
      <t>:</t>
    </r>
    <r>
      <rPr>
        <b/>
        <sz val="16"/>
        <color rgb="FF0070C0"/>
        <rFont val="Times New Roman"/>
        <family val="1"/>
      </rPr>
      <t>B4S6689</t>
    </r>
  </si>
  <si>
    <r>
      <t>:</t>
    </r>
    <r>
      <rPr>
        <b/>
        <sz val="16"/>
        <color rgb="FF0070C0"/>
        <rFont val="Times New Roman"/>
        <family val="1"/>
      </rPr>
      <t>Dim.</t>
    </r>
  </si>
  <si>
    <r>
      <t xml:space="preserve">: </t>
    </r>
    <r>
      <rPr>
        <b/>
        <sz val="16"/>
        <color rgb="FF0070C0"/>
        <rFont val="Times New Roman"/>
        <family val="1"/>
      </rPr>
      <t>Assy. QC</t>
    </r>
  </si>
  <si>
    <t xml:space="preserve">Actual (Avg %) </t>
  </si>
  <si>
    <t>Plan:</t>
  </si>
  <si>
    <t>Actual (Avg %)</t>
  </si>
  <si>
    <t>Total Prod. Plan-300
total defect free product produced-300
Target %-100%
Achievement %-100%</t>
  </si>
  <si>
    <t>Total Marks</t>
  </si>
  <si>
    <t>Actual Marks</t>
  </si>
  <si>
    <t>Total Defect Free Product Produce</t>
  </si>
  <si>
    <t>Achievement%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</si>
</sst>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%"/>
  </numFmts>
  <fonts count="23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6"/>
      <name val="Baskerville Old Face"/>
      <family val="1"/>
    </font>
    <font>
      <b/>
      <sz val="11"/>
      <name val="Arial"/>
      <family val="2"/>
    </font>
    <font>
      <b/>
      <sz val="16"/>
      <name val="Times New Roman"/>
      <family val="1"/>
    </font>
    <font>
      <b/>
      <vertAlign val="superscript"/>
      <sz val="16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b/>
      <i/>
      <sz val="10"/>
      <color rgb="FF0070C0"/>
      <name val="Arial"/>
      <family val="2"/>
    </font>
    <font>
      <sz val="12"/>
      <name val="Arial"/>
      <family val="2"/>
    </font>
    <font>
      <sz val="11"/>
      <color indexed="8"/>
      <name val="ＭＳ Ｐゴシック"/>
      <family val="3"/>
      <charset val="128"/>
    </font>
    <font>
      <b/>
      <sz val="16"/>
      <name val="Baskerville Old Face"/>
      <family val="1"/>
    </font>
    <font>
      <sz val="10"/>
      <color rgb="FF000000"/>
      <name val="Times New Roman"/>
      <charset val="204"/>
    </font>
    <font>
      <b/>
      <sz val="16"/>
      <color rgb="FF0070C0"/>
      <name val="Times New Roman"/>
      <family val="1"/>
    </font>
    <font>
      <b/>
      <sz val="14"/>
      <color rgb="FF0070C0"/>
      <name val="Arial"/>
      <family val="2"/>
    </font>
    <font>
      <b/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0" fontId="1" fillId="0" borderId="0">
      <alignment vertical="top"/>
    </xf>
    <xf numFmtId="9" fontId="1" fillId="0" borderId="0" applyFont="0" applyFill="0" applyBorder="0" applyAlignment="0" applyProtection="0"/>
    <xf numFmtId="0" fontId="2" fillId="0" borderId="0"/>
    <xf numFmtId="9" fontId="4" fillId="0" borderId="0" applyFont="0" applyFill="0" applyBorder="0" applyAlignment="0" applyProtection="0"/>
    <xf numFmtId="0" fontId="5" fillId="0" borderId="0"/>
    <xf numFmtId="9" fontId="2" fillId="0" borderId="0" applyFont="0" applyFill="0" applyBorder="0" applyAlignment="0" applyProtection="0"/>
    <xf numFmtId="0" fontId="17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19" fillId="0" borderId="0"/>
  </cellStyleXfs>
  <cellXfs count="569">
    <xf numFmtId="0" fontId="0" fillId="0" borderId="0" xfId="0"/>
    <xf numFmtId="0" fontId="2" fillId="0" borderId="57" xfId="3" applyBorder="1"/>
    <xf numFmtId="0" fontId="2" fillId="0" borderId="0" xfId="3"/>
    <xf numFmtId="0" fontId="9" fillId="0" borderId="57" xfId="3" applyFont="1" applyBorder="1" applyAlignment="1">
      <alignment horizontal="center" vertical="center" wrapText="1"/>
    </xf>
    <xf numFmtId="0" fontId="9" fillId="0" borderId="0" xfId="3" applyFont="1" applyBorder="1" applyAlignment="1">
      <alignment horizontal="center" vertical="center" wrapText="1"/>
    </xf>
    <xf numFmtId="0" fontId="9" fillId="0" borderId="25" xfId="3" applyFont="1" applyBorder="1" applyAlignment="1">
      <alignment horizontal="center" vertical="center" wrapText="1"/>
    </xf>
    <xf numFmtId="0" fontId="10" fillId="0" borderId="25" xfId="3" applyFont="1" applyBorder="1" applyAlignment="1">
      <alignment horizontal="left" wrapText="1"/>
    </xf>
    <xf numFmtId="0" fontId="10" fillId="0" borderId="48" xfId="3" applyFont="1" applyBorder="1" applyAlignment="1">
      <alignment horizontal="left" wrapText="1"/>
    </xf>
    <xf numFmtId="0" fontId="11" fillId="0" borderId="57" xfId="3" applyFont="1" applyBorder="1"/>
    <xf numFmtId="0" fontId="11" fillId="0" borderId="0" xfId="3" applyFont="1" applyBorder="1"/>
    <xf numFmtId="0" fontId="11" fillId="0" borderId="0" xfId="3" applyFont="1" applyBorder="1" applyAlignment="1">
      <alignment horizontal="center"/>
    </xf>
    <xf numFmtId="0" fontId="11" fillId="0" borderId="0" xfId="3" applyFont="1" applyBorder="1" applyAlignment="1">
      <alignment horizontal="left"/>
    </xf>
    <xf numFmtId="0" fontId="11" fillId="0" borderId="0" xfId="3" applyFont="1" applyBorder="1" applyAlignment="1"/>
    <xf numFmtId="0" fontId="11" fillId="0" borderId="58" xfId="3" applyFont="1" applyBorder="1" applyAlignment="1"/>
    <xf numFmtId="0" fontId="11" fillId="0" borderId="0" xfId="3" applyFont="1"/>
    <xf numFmtId="0" fontId="11" fillId="0" borderId="0" xfId="3" applyFont="1" applyFill="1" applyBorder="1" applyAlignment="1">
      <alignment horizontal="left"/>
    </xf>
    <xf numFmtId="0" fontId="8" fillId="0" borderId="19" xfId="3" applyFont="1" applyBorder="1"/>
    <xf numFmtId="0" fontId="8" fillId="0" borderId="53" xfId="3" applyFont="1" applyBorder="1"/>
    <xf numFmtId="0" fontId="8" fillId="0" borderId="53" xfId="3" applyFont="1" applyBorder="1" applyAlignment="1">
      <alignment horizontal="center"/>
    </xf>
    <xf numFmtId="0" fontId="8" fillId="0" borderId="0" xfId="3" applyFont="1" applyBorder="1" applyAlignment="1">
      <alignment horizontal="center"/>
    </xf>
    <xf numFmtId="0" fontId="8" fillId="0" borderId="57" xfId="3" applyFont="1" applyBorder="1"/>
    <xf numFmtId="0" fontId="8" fillId="0" borderId="0" xfId="3" applyFont="1"/>
    <xf numFmtId="0" fontId="7" fillId="0" borderId="57" xfId="3" applyFont="1" applyBorder="1"/>
    <xf numFmtId="0" fontId="7" fillId="0" borderId="0" xfId="3" applyFont="1"/>
    <xf numFmtId="0" fontId="7" fillId="0" borderId="54" xfId="3" applyFont="1" applyBorder="1" applyAlignment="1">
      <alignment horizontal="center" vertical="center" wrapText="1"/>
    </xf>
    <xf numFmtId="0" fontId="7" fillId="0" borderId="57" xfId="3" applyFont="1" applyBorder="1" applyAlignment="1">
      <alignment wrapText="1"/>
    </xf>
    <xf numFmtId="0" fontId="7" fillId="0" borderId="0" xfId="3" applyFont="1" applyAlignment="1">
      <alignment wrapText="1"/>
    </xf>
    <xf numFmtId="0" fontId="2" fillId="0" borderId="57" xfId="3" applyBorder="1" applyAlignment="1">
      <alignment vertical="center"/>
    </xf>
    <xf numFmtId="0" fontId="2" fillId="0" borderId="0" xfId="3" applyAlignment="1">
      <alignment vertical="center"/>
    </xf>
    <xf numFmtId="0" fontId="3" fillId="0" borderId="26" xfId="3" applyFont="1" applyBorder="1" applyAlignment="1">
      <alignment horizontal="left" vertical="center" wrapText="1"/>
    </xf>
    <xf numFmtId="0" fontId="3" fillId="0" borderId="13" xfId="3" applyFont="1" applyBorder="1" applyAlignment="1">
      <alignment horizontal="left" vertical="center" wrapText="1"/>
    </xf>
    <xf numFmtId="0" fontId="10" fillId="0" borderId="73" xfId="3" applyFont="1" applyBorder="1" applyAlignment="1">
      <alignment vertical="center" wrapText="1"/>
    </xf>
    <xf numFmtId="0" fontId="10" fillId="0" borderId="51" xfId="3" applyFont="1" applyBorder="1" applyAlignment="1">
      <alignment vertical="center" wrapText="1"/>
    </xf>
    <xf numFmtId="0" fontId="3" fillId="0" borderId="4" xfId="3" applyFont="1" applyBorder="1" applyAlignment="1">
      <alignment horizontal="left" vertical="center" wrapText="1"/>
    </xf>
    <xf numFmtId="9" fontId="10" fillId="0" borderId="4" xfId="3" applyNumberFormat="1" applyFont="1" applyBorder="1" applyAlignment="1">
      <alignment vertical="center" wrapText="1"/>
    </xf>
    <xf numFmtId="0" fontId="3" fillId="0" borderId="6" xfId="3" applyFont="1" applyBorder="1" applyAlignment="1">
      <alignment horizontal="left" vertical="center"/>
    </xf>
    <xf numFmtId="9" fontId="10" fillId="0" borderId="6" xfId="3" applyNumberFormat="1" applyFont="1" applyBorder="1" applyAlignment="1">
      <alignment vertical="center" wrapText="1"/>
    </xf>
    <xf numFmtId="0" fontId="3" fillId="0" borderId="73" xfId="3" applyFont="1" applyBorder="1" applyAlignment="1">
      <alignment horizontal="left" vertical="center" wrapText="1"/>
    </xf>
    <xf numFmtId="0" fontId="3" fillId="0" borderId="8" xfId="3" applyFont="1" applyBorder="1" applyAlignment="1">
      <alignment horizontal="left" vertical="center" wrapText="1"/>
    </xf>
    <xf numFmtId="0" fontId="10" fillId="0" borderId="4" xfId="3" applyFont="1" applyBorder="1" applyAlignment="1">
      <alignment vertical="center" wrapText="1"/>
    </xf>
    <xf numFmtId="0" fontId="3" fillId="0" borderId="63" xfId="3" applyFont="1" applyBorder="1" applyAlignment="1">
      <alignment horizontal="left" vertical="center"/>
    </xf>
    <xf numFmtId="0" fontId="3" fillId="0" borderId="8" xfId="3" applyFont="1" applyBorder="1" applyAlignment="1">
      <alignment horizontal="left" vertical="center"/>
    </xf>
    <xf numFmtId="9" fontId="10" fillId="0" borderId="4" xfId="6" applyFont="1" applyBorder="1" applyAlignment="1">
      <alignment vertical="center" wrapText="1"/>
    </xf>
    <xf numFmtId="0" fontId="3" fillId="0" borderId="67" xfId="3" applyFont="1" applyBorder="1" applyAlignment="1">
      <alignment horizontal="left" vertical="center"/>
    </xf>
    <xf numFmtId="0" fontId="3" fillId="0" borderId="61" xfId="3" applyFont="1" applyBorder="1" applyAlignment="1">
      <alignment horizontal="left" vertical="center" wrapText="1"/>
    </xf>
    <xf numFmtId="0" fontId="3" fillId="0" borderId="63" xfId="3" applyFont="1" applyBorder="1" applyAlignment="1">
      <alignment horizontal="left" vertical="center" wrapText="1"/>
    </xf>
    <xf numFmtId="0" fontId="3" fillId="0" borderId="63" xfId="3" applyFont="1" applyBorder="1" applyAlignment="1">
      <alignment vertical="center"/>
    </xf>
    <xf numFmtId="0" fontId="6" fillId="0" borderId="57" xfId="3" applyFont="1" applyBorder="1"/>
    <xf numFmtId="0" fontId="6" fillId="0" borderId="0" xfId="3" applyFont="1" applyBorder="1"/>
    <xf numFmtId="0" fontId="3" fillId="0" borderId="0" xfId="3" applyFont="1" applyBorder="1"/>
    <xf numFmtId="0" fontId="7" fillId="0" borderId="0" xfId="3" applyFont="1" applyBorder="1" applyAlignment="1">
      <alignment wrapText="1"/>
    </xf>
    <xf numFmtId="9" fontId="10" fillId="0" borderId="0" xfId="3" applyNumberFormat="1" applyFont="1" applyBorder="1" applyAlignment="1">
      <alignment horizontal="center"/>
    </xf>
    <xf numFmtId="9" fontId="10" fillId="0" borderId="58" xfId="3" applyNumberFormat="1" applyFont="1" applyBorder="1" applyAlignment="1">
      <alignment horizontal="center"/>
    </xf>
    <xf numFmtId="0" fontId="3" fillId="0" borderId="0" xfId="3" applyFont="1" applyBorder="1" applyAlignment="1">
      <alignment vertical="top"/>
    </xf>
    <xf numFmtId="0" fontId="3" fillId="0" borderId="24" xfId="3" applyFont="1" applyBorder="1" applyAlignment="1">
      <alignment vertical="center"/>
    </xf>
    <xf numFmtId="0" fontId="8" fillId="0" borderId="0" xfId="3" applyFont="1" applyAlignment="1">
      <alignment horizontal="center"/>
    </xf>
    <xf numFmtId="1" fontId="8" fillId="0" borderId="0" xfId="6" applyNumberFormat="1" applyFont="1" applyBorder="1" applyAlignment="1">
      <alignment horizontal="center"/>
    </xf>
    <xf numFmtId="9" fontId="8" fillId="0" borderId="0" xfId="4" applyFont="1" applyBorder="1" applyAlignment="1"/>
    <xf numFmtId="9" fontId="8" fillId="0" borderId="0" xfId="4" applyFont="1" applyBorder="1" applyAlignment="1">
      <alignment horizontal="center"/>
    </xf>
    <xf numFmtId="9" fontId="10" fillId="0" borderId="0" xfId="3" applyNumberFormat="1" applyFont="1" applyBorder="1" applyAlignment="1">
      <alignment vertical="center" wrapText="1"/>
    </xf>
    <xf numFmtId="0" fontId="10" fillId="0" borderId="58" xfId="3" applyFont="1" applyBorder="1" applyAlignment="1">
      <alignment vertical="center" wrapText="1"/>
    </xf>
    <xf numFmtId="0" fontId="6" fillId="0" borderId="25" xfId="3" applyFont="1" applyBorder="1" applyAlignment="1">
      <alignment vertical="center" wrapText="1"/>
    </xf>
    <xf numFmtId="0" fontId="3" fillId="0" borderId="25" xfId="3" applyFont="1" applyBorder="1" applyAlignment="1">
      <alignment vertical="center"/>
    </xf>
    <xf numFmtId="0" fontId="3" fillId="0" borderId="25" xfId="3" applyFont="1" applyBorder="1" applyAlignment="1">
      <alignment horizontal="center" vertical="center"/>
    </xf>
    <xf numFmtId="9" fontId="8" fillId="0" borderId="25" xfId="3" applyNumberFormat="1" applyFont="1" applyBorder="1" applyAlignment="1">
      <alignment horizontal="center"/>
    </xf>
    <xf numFmtId="9" fontId="8" fillId="0" borderId="0" xfId="3" applyNumberFormat="1" applyFont="1" applyBorder="1" applyAlignment="1">
      <alignment horizontal="center"/>
    </xf>
    <xf numFmtId="0" fontId="8" fillId="0" borderId="0" xfId="3" applyFont="1" applyBorder="1"/>
    <xf numFmtId="0" fontId="2" fillId="0" borderId="0" xfId="3" applyBorder="1"/>
    <xf numFmtId="9" fontId="3" fillId="0" borderId="61" xfId="6" applyFont="1" applyBorder="1" applyAlignment="1">
      <alignment vertical="center"/>
    </xf>
    <xf numFmtId="9" fontId="3" fillId="0" borderId="23" xfId="6" applyFont="1" applyBorder="1" applyAlignment="1">
      <alignment vertical="center"/>
    </xf>
    <xf numFmtId="9" fontId="3" fillId="0" borderId="66" xfId="6" applyFont="1" applyBorder="1" applyAlignment="1">
      <alignment vertical="center"/>
    </xf>
    <xf numFmtId="0" fontId="8" fillId="0" borderId="58" xfId="3" applyFont="1" applyBorder="1"/>
    <xf numFmtId="0" fontId="3" fillId="0" borderId="4" xfId="3" applyFont="1" applyBorder="1" applyAlignment="1">
      <alignment horizontal="center"/>
    </xf>
    <xf numFmtId="0" fontId="3" fillId="0" borderId="4" xfId="6" applyNumberFormat="1" applyFont="1" applyBorder="1" applyAlignment="1">
      <alignment horizontal="center"/>
    </xf>
    <xf numFmtId="9" fontId="3" fillId="0" borderId="2" xfId="6" applyFont="1" applyBorder="1" applyAlignment="1">
      <alignment horizontal="left"/>
    </xf>
    <xf numFmtId="9" fontId="3" fillId="0" borderId="21" xfId="6" applyFont="1" applyBorder="1" applyAlignment="1">
      <alignment horizontal="left"/>
    </xf>
    <xf numFmtId="9" fontId="3" fillId="0" borderId="62" xfId="6" applyFont="1" applyBorder="1" applyAlignment="1">
      <alignment horizontal="left"/>
    </xf>
    <xf numFmtId="0" fontId="3" fillId="0" borderId="6" xfId="3" applyFont="1" applyBorder="1" applyAlignment="1">
      <alignment horizontal="center"/>
    </xf>
    <xf numFmtId="0" fontId="3" fillId="0" borderId="6" xfId="3" applyNumberFormat="1" applyFont="1" applyBorder="1" applyAlignment="1">
      <alignment horizontal="center"/>
    </xf>
    <xf numFmtId="9" fontId="3" fillId="0" borderId="55" xfId="3" applyNumberFormat="1" applyFont="1" applyBorder="1" applyAlignment="1">
      <alignment horizontal="left"/>
    </xf>
    <xf numFmtId="9" fontId="3" fillId="0" borderId="64" xfId="3" applyNumberFormat="1" applyFont="1" applyBorder="1" applyAlignment="1">
      <alignment horizontal="left"/>
    </xf>
    <xf numFmtId="9" fontId="3" fillId="0" borderId="65" xfId="3" applyNumberFormat="1" applyFont="1" applyBorder="1" applyAlignment="1">
      <alignment horizontal="left"/>
    </xf>
    <xf numFmtId="0" fontId="10" fillId="0" borderId="0" xfId="3" applyFont="1" applyBorder="1" applyAlignment="1">
      <alignment horizontal="center"/>
    </xf>
    <xf numFmtId="0" fontId="10" fillId="0" borderId="58" xfId="3" applyFont="1" applyBorder="1" applyAlignment="1">
      <alignment horizontal="center"/>
    </xf>
    <xf numFmtId="0" fontId="3" fillId="0" borderId="0" xfId="3" applyFont="1" applyFill="1" applyBorder="1" applyAlignment="1">
      <alignment horizontal="left"/>
    </xf>
    <xf numFmtId="0" fontId="8" fillId="0" borderId="0" xfId="3" applyFont="1" applyFill="1" applyBorder="1" applyAlignment="1">
      <alignment horizontal="left"/>
    </xf>
    <xf numFmtId="9" fontId="8" fillId="0" borderId="0" xfId="6" applyFont="1" applyBorder="1" applyAlignment="1">
      <alignment horizontal="center"/>
    </xf>
    <xf numFmtId="0" fontId="8" fillId="0" borderId="58" xfId="3" applyFont="1" applyBorder="1" applyAlignment="1">
      <alignment horizontal="center"/>
    </xf>
    <xf numFmtId="0" fontId="3" fillId="0" borderId="57" xfId="3" applyFont="1" applyBorder="1"/>
    <xf numFmtId="0" fontId="3" fillId="0" borderId="30" xfId="3" applyFont="1" applyBorder="1" applyAlignment="1">
      <alignment horizontal="center" vertical="center"/>
    </xf>
    <xf numFmtId="0" fontId="3" fillId="0" borderId="0" xfId="3" applyFont="1" applyBorder="1" applyAlignment="1">
      <alignment horizontal="center"/>
    </xf>
    <xf numFmtId="0" fontId="3" fillId="0" borderId="0" xfId="3" applyFont="1" applyBorder="1" applyAlignment="1">
      <alignment wrapText="1"/>
    </xf>
    <xf numFmtId="0" fontId="3" fillId="0" borderId="58" xfId="3" applyFont="1" applyBorder="1" applyAlignment="1">
      <alignment wrapText="1"/>
    </xf>
    <xf numFmtId="0" fontId="13" fillId="0" borderId="57" xfId="3" applyFont="1" applyBorder="1"/>
    <xf numFmtId="0" fontId="13" fillId="0" borderId="0" xfId="3" applyFont="1"/>
    <xf numFmtId="0" fontId="3" fillId="0" borderId="35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left" vertical="center"/>
    </xf>
    <xf numFmtId="0" fontId="3" fillId="0" borderId="0" xfId="3" applyFont="1" applyBorder="1" applyAlignment="1">
      <alignment vertical="top" wrapText="1"/>
    </xf>
    <xf numFmtId="0" fontId="3" fillId="0" borderId="2" xfId="3" applyFont="1" applyFill="1" applyBorder="1" applyAlignment="1">
      <alignment horizontal="center" vertical="center"/>
    </xf>
    <xf numFmtId="0" fontId="3" fillId="0" borderId="3" xfId="3" applyFont="1" applyFill="1" applyBorder="1" applyAlignment="1">
      <alignment horizontal="center" vertical="center"/>
    </xf>
    <xf numFmtId="0" fontId="3" fillId="0" borderId="6" xfId="3" applyFont="1" applyFill="1" applyBorder="1" applyAlignment="1">
      <alignment horizontal="left" vertical="center"/>
    </xf>
    <xf numFmtId="0" fontId="3" fillId="0" borderId="55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14" fillId="0" borderId="0" xfId="3" applyFont="1" applyFill="1" applyBorder="1" applyAlignment="1">
      <alignment horizontal="right" vertical="center"/>
    </xf>
    <xf numFmtId="0" fontId="10" fillId="0" borderId="53" xfId="3" applyFont="1" applyBorder="1"/>
    <xf numFmtId="0" fontId="15" fillId="0" borderId="53" xfId="3" applyFont="1" applyBorder="1"/>
    <xf numFmtId="0" fontId="8" fillId="0" borderId="59" xfId="3" applyFont="1" applyBorder="1" applyAlignment="1">
      <alignment horizontal="center"/>
    </xf>
    <xf numFmtId="0" fontId="11" fillId="0" borderId="39" xfId="3" applyFont="1" applyBorder="1"/>
    <xf numFmtId="0" fontId="8" fillId="0" borderId="39" xfId="3" applyFont="1" applyBorder="1"/>
    <xf numFmtId="0" fontId="10" fillId="0" borderId="71" xfId="3" applyFont="1" applyBorder="1" applyAlignment="1">
      <alignment horizontal="center" vertical="center"/>
    </xf>
    <xf numFmtId="0" fontId="10" fillId="0" borderId="54" xfId="3" applyFont="1" applyBorder="1" applyAlignment="1">
      <alignment horizontal="center" vertical="center"/>
    </xf>
    <xf numFmtId="0" fontId="10" fillId="0" borderId="59" xfId="3" applyFont="1" applyBorder="1" applyAlignment="1">
      <alignment horizontal="center" vertical="center"/>
    </xf>
    <xf numFmtId="0" fontId="3" fillId="0" borderId="10" xfId="3" applyFont="1" applyBorder="1" applyAlignment="1">
      <alignment horizontal="left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5" xfId="3" applyFont="1" applyBorder="1" applyAlignment="1">
      <alignment horizontal="left" vertical="center"/>
    </xf>
    <xf numFmtId="0" fontId="7" fillId="0" borderId="5" xfId="3" applyFont="1" applyBorder="1" applyAlignment="1">
      <alignment horizontal="center" vertical="center"/>
    </xf>
    <xf numFmtId="0" fontId="3" fillId="0" borderId="1" xfId="3" applyFont="1" applyBorder="1" applyAlignment="1">
      <alignment horizontal="left" vertical="center" wrapText="1"/>
    </xf>
    <xf numFmtId="0" fontId="7" fillId="0" borderId="5" xfId="3" applyFont="1" applyBorder="1" applyAlignment="1">
      <alignment horizontal="center" vertical="center" wrapText="1"/>
    </xf>
    <xf numFmtId="0" fontId="3" fillId="0" borderId="46" xfId="3" applyFont="1" applyBorder="1" applyAlignment="1">
      <alignment horizontal="left" vertical="center"/>
    </xf>
    <xf numFmtId="0" fontId="3" fillId="0" borderId="37" xfId="3" applyFont="1" applyBorder="1" applyAlignment="1">
      <alignment horizontal="left" vertical="center" wrapText="1"/>
    </xf>
    <xf numFmtId="0" fontId="3" fillId="0" borderId="2" xfId="3" applyFont="1" applyBorder="1" applyAlignment="1">
      <alignment horizontal="left" vertical="center" wrapText="1"/>
    </xf>
    <xf numFmtId="0" fontId="3" fillId="0" borderId="55" xfId="3" applyFont="1" applyBorder="1" applyAlignment="1">
      <alignment horizontal="left" vertical="center"/>
    </xf>
    <xf numFmtId="0" fontId="3" fillId="0" borderId="10" xfId="3" applyFont="1" applyBorder="1" applyAlignment="1">
      <alignment horizontal="left" vertical="center"/>
    </xf>
    <xf numFmtId="0" fontId="3" fillId="0" borderId="2" xfId="3" applyFont="1" applyBorder="1" applyAlignment="1">
      <alignment horizontal="left" vertical="center"/>
    </xf>
    <xf numFmtId="0" fontId="3" fillId="0" borderId="14" xfId="3" applyFont="1" applyBorder="1" applyAlignment="1">
      <alignment horizontal="left" vertical="center"/>
    </xf>
    <xf numFmtId="0" fontId="3" fillId="0" borderId="12" xfId="3" applyFont="1" applyBorder="1" applyAlignment="1">
      <alignment horizontal="left" vertical="center" wrapText="1"/>
    </xf>
    <xf numFmtId="0" fontId="3" fillId="0" borderId="55" xfId="3" applyFont="1" applyBorder="1" applyAlignment="1">
      <alignment horizontal="left" vertical="center" wrapText="1"/>
    </xf>
    <xf numFmtId="0" fontId="3" fillId="0" borderId="55" xfId="3" applyFont="1" applyBorder="1" applyAlignment="1">
      <alignment vertical="center"/>
    </xf>
    <xf numFmtId="9" fontId="6" fillId="0" borderId="0" xfId="3" applyNumberFormat="1" applyFont="1" applyBorder="1" applyAlignment="1">
      <alignment horizontal="center"/>
    </xf>
    <xf numFmtId="0" fontId="6" fillId="0" borderId="40" xfId="3" applyFont="1" applyBorder="1"/>
    <xf numFmtId="0" fontId="3" fillId="0" borderId="10" xfId="3" applyFont="1" applyBorder="1" applyAlignment="1">
      <alignment vertical="center" wrapText="1"/>
    </xf>
    <xf numFmtId="0" fontId="3" fillId="0" borderId="11" xfId="3" applyFont="1" applyBorder="1" applyAlignment="1">
      <alignment horizontal="center"/>
    </xf>
    <xf numFmtId="0" fontId="3" fillId="0" borderId="1" xfId="3" applyFont="1" applyBorder="1" applyAlignment="1">
      <alignment vertical="center" wrapText="1"/>
    </xf>
    <xf numFmtId="0" fontId="3" fillId="0" borderId="4" xfId="3" applyFont="1" applyBorder="1"/>
    <xf numFmtId="9" fontId="7" fillId="0" borderId="5" xfId="3" applyNumberFormat="1" applyFont="1" applyBorder="1" applyAlignment="1">
      <alignment horizontal="center"/>
    </xf>
    <xf numFmtId="0" fontId="3" fillId="0" borderId="6" xfId="3" applyFont="1" applyBorder="1"/>
    <xf numFmtId="0" fontId="3" fillId="0" borderId="46" xfId="3" applyFont="1" applyBorder="1" applyAlignment="1">
      <alignment horizontal="left"/>
    </xf>
    <xf numFmtId="0" fontId="6" fillId="0" borderId="0" xfId="3" applyFont="1" applyBorder="1" applyAlignment="1">
      <alignment horizontal="center"/>
    </xf>
    <xf numFmtId="0" fontId="3" fillId="0" borderId="39" xfId="3" applyFont="1" applyBorder="1"/>
    <xf numFmtId="0" fontId="6" fillId="0" borderId="40" xfId="3" applyFont="1" applyBorder="1" applyAlignment="1">
      <alignment wrapText="1"/>
    </xf>
    <xf numFmtId="0" fontId="6" fillId="0" borderId="0" xfId="3" applyFont="1" applyBorder="1" applyAlignment="1">
      <alignment vertical="top" wrapText="1"/>
    </xf>
    <xf numFmtId="0" fontId="6" fillId="0" borderId="40" xfId="3" applyFont="1" applyBorder="1" applyAlignment="1">
      <alignment vertical="top" wrapText="1"/>
    </xf>
    <xf numFmtId="0" fontId="3" fillId="0" borderId="1" xfId="3" applyFont="1" applyFill="1" applyBorder="1" applyAlignment="1">
      <alignment horizontal="center" vertical="center"/>
    </xf>
    <xf numFmtId="0" fontId="8" fillId="0" borderId="50" xfId="3" applyFont="1" applyBorder="1"/>
    <xf numFmtId="0" fontId="8" fillId="0" borderId="35" xfId="3" applyFont="1" applyBorder="1"/>
    <xf numFmtId="0" fontId="7" fillId="0" borderId="0" xfId="3" applyFont="1" applyBorder="1"/>
    <xf numFmtId="0" fontId="7" fillId="0" borderId="58" xfId="3" applyFont="1" applyBorder="1"/>
    <xf numFmtId="0" fontId="16" fillId="0" borderId="0" xfId="3" applyFont="1"/>
    <xf numFmtId="0" fontId="3" fillId="4" borderId="70" xfId="3" applyFont="1" applyFill="1" applyBorder="1" applyAlignment="1">
      <alignment horizontal="left" vertical="center" wrapText="1"/>
    </xf>
    <xf numFmtId="0" fontId="20" fillId="0" borderId="0" xfId="3" applyFont="1" applyBorder="1" applyAlignment="1">
      <alignment horizontal="center"/>
    </xf>
    <xf numFmtId="14" fontId="20" fillId="0" borderId="0" xfId="3" applyNumberFormat="1" applyFont="1" applyBorder="1" applyAlignment="1">
      <alignment horizontal="center"/>
    </xf>
    <xf numFmtId="9" fontId="20" fillId="0" borderId="0" xfId="3" applyNumberFormat="1" applyFont="1" applyBorder="1" applyAlignment="1">
      <alignment horizontal="center"/>
    </xf>
    <xf numFmtId="0" fontId="11" fillId="0" borderId="0" xfId="3" applyFont="1" applyBorder="1" applyAlignment="1">
      <alignment horizontal="left"/>
    </xf>
    <xf numFmtId="0" fontId="7" fillId="0" borderId="59" xfId="3" applyFont="1" applyBorder="1" applyAlignment="1">
      <alignment horizontal="center" vertical="center" wrapText="1"/>
    </xf>
    <xf numFmtId="0" fontId="7" fillId="0" borderId="71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/>
    </xf>
    <xf numFmtId="0" fontId="7" fillId="0" borderId="37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3" fillId="0" borderId="46" xfId="3" applyFont="1" applyBorder="1" applyAlignment="1">
      <alignment horizontal="center" vertical="center"/>
    </xf>
    <xf numFmtId="0" fontId="6" fillId="0" borderId="0" xfId="3" applyFont="1" applyBorder="1" applyAlignment="1">
      <alignment wrapText="1"/>
    </xf>
    <xf numFmtId="0" fontId="3" fillId="0" borderId="9" xfId="3" applyFont="1" applyBorder="1" applyAlignment="1">
      <alignment horizontal="left" vertical="center"/>
    </xf>
    <xf numFmtId="0" fontId="3" fillId="0" borderId="4" xfId="3" applyFont="1" applyBorder="1" applyAlignment="1">
      <alignment horizontal="left" vertical="center"/>
    </xf>
    <xf numFmtId="0" fontId="7" fillId="0" borderId="14" xfId="3" applyFont="1" applyBorder="1" applyAlignment="1">
      <alignment horizontal="center" vertical="center"/>
    </xf>
    <xf numFmtId="9" fontId="8" fillId="0" borderId="1" xfId="3" applyNumberFormat="1" applyFont="1" applyBorder="1" applyAlignment="1">
      <alignment horizontal="center"/>
    </xf>
    <xf numFmtId="9" fontId="8" fillId="0" borderId="5" xfId="3" applyNumberFormat="1" applyFont="1" applyBorder="1" applyAlignment="1">
      <alignment horizontal="center"/>
    </xf>
    <xf numFmtId="0" fontId="7" fillId="0" borderId="14" xfId="3" applyFont="1" applyBorder="1" applyAlignment="1">
      <alignment horizontal="center" vertical="center" wrapText="1"/>
    </xf>
    <xf numFmtId="9" fontId="8" fillId="0" borderId="1" xfId="3" applyNumberFormat="1" applyFont="1" applyBorder="1" applyAlignment="1">
      <alignment horizontal="center" vertical="center"/>
    </xf>
    <xf numFmtId="9" fontId="8" fillId="0" borderId="5" xfId="3" applyNumberFormat="1" applyFont="1" applyBorder="1" applyAlignment="1">
      <alignment horizontal="center" vertical="center"/>
    </xf>
    <xf numFmtId="0" fontId="7" fillId="0" borderId="57" xfId="3" applyFont="1" applyBorder="1" applyAlignment="1">
      <alignment horizontal="center"/>
    </xf>
    <xf numFmtId="0" fontId="7" fillId="0" borderId="0" xfId="3" applyFont="1" applyBorder="1" applyAlignment="1">
      <alignment horizontal="center"/>
    </xf>
    <xf numFmtId="9" fontId="8" fillId="0" borderId="3" xfId="3" applyNumberFormat="1" applyFont="1" applyBorder="1" applyAlignment="1">
      <alignment horizontal="center" vertical="center"/>
    </xf>
    <xf numFmtId="0" fontId="3" fillId="0" borderId="24" xfId="3" applyFont="1" applyBorder="1" applyAlignment="1">
      <alignment horizontal="center" vertical="top" wrapText="1"/>
    </xf>
    <xf numFmtId="0" fontId="3" fillId="0" borderId="25" xfId="3" applyFont="1" applyBorder="1" applyAlignment="1">
      <alignment horizontal="center" vertical="top" wrapText="1"/>
    </xf>
    <xf numFmtId="0" fontId="3" fillId="0" borderId="48" xfId="3" applyFont="1" applyBorder="1" applyAlignment="1">
      <alignment horizontal="center" vertical="top" wrapText="1"/>
    </xf>
    <xf numFmtId="0" fontId="3" fillId="0" borderId="57" xfId="3" applyFont="1" applyBorder="1" applyAlignment="1">
      <alignment horizontal="center" vertical="top" wrapText="1"/>
    </xf>
    <xf numFmtId="0" fontId="3" fillId="0" borderId="0" xfId="3" applyFont="1" applyBorder="1" applyAlignment="1">
      <alignment horizontal="center" vertical="top" wrapText="1"/>
    </xf>
    <xf numFmtId="0" fontId="3" fillId="0" borderId="58" xfId="3" applyFont="1" applyBorder="1" applyAlignment="1">
      <alignment horizontal="center" vertical="top" wrapText="1"/>
    </xf>
    <xf numFmtId="0" fontId="3" fillId="0" borderId="19" xfId="3" applyFont="1" applyBorder="1" applyAlignment="1">
      <alignment horizontal="center" vertical="top" wrapText="1"/>
    </xf>
    <xf numFmtId="0" fontId="3" fillId="0" borderId="53" xfId="3" applyFont="1" applyBorder="1" applyAlignment="1">
      <alignment horizontal="center" vertical="top" wrapText="1"/>
    </xf>
    <xf numFmtId="0" fontId="3" fillId="0" borderId="59" xfId="3" applyFont="1" applyBorder="1" applyAlignment="1">
      <alignment horizontal="center" vertical="top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21" xfId="3" applyFont="1" applyBorder="1" applyAlignment="1">
      <alignment horizontal="center" vertical="center"/>
    </xf>
    <xf numFmtId="0" fontId="3" fillId="0" borderId="55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0" borderId="64" xfId="3" applyFont="1" applyBorder="1" applyAlignment="1">
      <alignment horizontal="center" vertical="center"/>
    </xf>
    <xf numFmtId="0" fontId="3" fillId="0" borderId="70" xfId="3" applyFont="1" applyBorder="1" applyAlignment="1">
      <alignment horizontal="left" vertical="center"/>
    </xf>
    <xf numFmtId="0" fontId="3" fillId="0" borderId="13" xfId="3" applyFont="1" applyBorder="1" applyAlignment="1">
      <alignment horizontal="left" vertical="center"/>
    </xf>
    <xf numFmtId="0" fontId="3" fillId="0" borderId="33" xfId="3" applyFont="1" applyBorder="1" applyAlignment="1">
      <alignment horizontal="center" vertical="center"/>
    </xf>
    <xf numFmtId="0" fontId="3" fillId="0" borderId="37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3" fillId="0" borderId="36" xfId="3" applyFont="1" applyBorder="1" applyAlignment="1">
      <alignment horizontal="center" vertical="center"/>
    </xf>
    <xf numFmtId="0" fontId="3" fillId="0" borderId="23" xfId="3" applyFont="1" applyBorder="1" applyAlignment="1">
      <alignment horizontal="center" vertical="center"/>
    </xf>
    <xf numFmtId="0" fontId="6" fillId="0" borderId="57" xfId="3" applyFont="1" applyBorder="1" applyAlignment="1">
      <alignment horizontal="center" vertical="center" wrapText="1"/>
    </xf>
    <xf numFmtId="0" fontId="3" fillId="0" borderId="61" xfId="3" applyFont="1" applyBorder="1" applyAlignment="1">
      <alignment horizontal="center"/>
    </xf>
    <xf numFmtId="0" fontId="3" fillId="0" borderId="23" xfId="3" applyFont="1" applyBorder="1" applyAlignment="1">
      <alignment horizontal="center"/>
    </xf>
    <xf numFmtId="0" fontId="3" fillId="0" borderId="66" xfId="3" applyFont="1" applyBorder="1" applyAlignment="1">
      <alignment horizontal="center"/>
    </xf>
    <xf numFmtId="9" fontId="3" fillId="0" borderId="2" xfId="3" applyNumberFormat="1" applyFont="1" applyBorder="1" applyAlignment="1">
      <alignment horizontal="center"/>
    </xf>
    <xf numFmtId="9" fontId="3" fillId="0" borderId="21" xfId="3" applyNumberFormat="1" applyFont="1" applyBorder="1" applyAlignment="1">
      <alignment horizontal="center"/>
    </xf>
    <xf numFmtId="9" fontId="3" fillId="0" borderId="62" xfId="3" applyNumberFormat="1" applyFont="1" applyBorder="1" applyAlignment="1">
      <alignment horizontal="center"/>
    </xf>
    <xf numFmtId="0" fontId="3" fillId="0" borderId="12" xfId="3" applyFont="1" applyBorder="1" applyAlignment="1">
      <alignment horizontal="center" vertical="center" wrapText="1"/>
    </xf>
    <xf numFmtId="0" fontId="3" fillId="0" borderId="23" xfId="3" applyFont="1" applyBorder="1" applyAlignment="1">
      <alignment horizontal="center" vertical="center" wrapText="1"/>
    </xf>
    <xf numFmtId="0" fontId="3" fillId="0" borderId="36" xfId="3" applyFont="1" applyBorder="1" applyAlignment="1">
      <alignment horizontal="center" vertical="center" wrapText="1"/>
    </xf>
    <xf numFmtId="9" fontId="3" fillId="0" borderId="12" xfId="6" applyFont="1" applyBorder="1" applyAlignment="1">
      <alignment horizontal="center" vertical="center" wrapText="1"/>
    </xf>
    <xf numFmtId="9" fontId="3" fillId="0" borderId="23" xfId="6" applyFont="1" applyBorder="1" applyAlignment="1">
      <alignment horizontal="center" vertical="center" wrapText="1"/>
    </xf>
    <xf numFmtId="9" fontId="3" fillId="0" borderId="66" xfId="6" applyFont="1" applyBorder="1" applyAlignment="1">
      <alignment horizontal="center" vertical="center" wrapText="1"/>
    </xf>
    <xf numFmtId="0" fontId="3" fillId="0" borderId="24" xfId="3" applyFont="1" applyBorder="1" applyAlignment="1">
      <alignment horizontal="center" wrapText="1"/>
    </xf>
    <xf numFmtId="0" fontId="3" fillId="0" borderId="25" xfId="3" applyFont="1" applyBorder="1" applyAlignment="1">
      <alignment horizontal="center" wrapText="1"/>
    </xf>
    <xf numFmtId="0" fontId="3" fillId="0" borderId="48" xfId="3" applyFont="1" applyBorder="1" applyAlignment="1">
      <alignment horizontal="center" wrapText="1"/>
    </xf>
    <xf numFmtId="0" fontId="3" fillId="0" borderId="57" xfId="3" applyFont="1" applyBorder="1" applyAlignment="1">
      <alignment horizontal="center" wrapText="1"/>
    </xf>
    <xf numFmtId="0" fontId="3" fillId="0" borderId="0" xfId="3" applyFont="1" applyBorder="1" applyAlignment="1">
      <alignment horizontal="center" wrapText="1"/>
    </xf>
    <xf numFmtId="0" fontId="3" fillId="0" borderId="58" xfId="3" applyFont="1" applyBorder="1" applyAlignment="1">
      <alignment horizontal="center" wrapText="1"/>
    </xf>
    <xf numFmtId="0" fontId="3" fillId="0" borderId="19" xfId="3" applyFont="1" applyBorder="1" applyAlignment="1">
      <alignment horizontal="center" wrapText="1"/>
    </xf>
    <xf numFmtId="0" fontId="3" fillId="0" borderId="53" xfId="3" applyFont="1" applyBorder="1" applyAlignment="1">
      <alignment horizontal="center" wrapText="1"/>
    </xf>
    <xf numFmtId="0" fontId="3" fillId="0" borderId="59" xfId="3" applyFont="1" applyBorder="1" applyAlignment="1">
      <alignment horizont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21" xfId="3" applyFont="1" applyBorder="1" applyAlignment="1">
      <alignment horizontal="center" vertical="center" wrapText="1"/>
    </xf>
    <xf numFmtId="0" fontId="3" fillId="0" borderId="62" xfId="3" applyFont="1" applyBorder="1" applyAlignment="1">
      <alignment horizontal="center" vertical="center" wrapText="1"/>
    </xf>
    <xf numFmtId="0" fontId="8" fillId="0" borderId="0" xfId="3" applyFont="1" applyBorder="1" applyAlignment="1">
      <alignment wrapText="1"/>
    </xf>
    <xf numFmtId="0" fontId="8" fillId="0" borderId="58" xfId="3" applyFont="1" applyBorder="1" applyAlignment="1">
      <alignment wrapText="1"/>
    </xf>
    <xf numFmtId="9" fontId="10" fillId="0" borderId="0" xfId="6" applyFont="1" applyBorder="1" applyAlignment="1">
      <alignment horizontal="left" vertical="center" wrapText="1"/>
    </xf>
    <xf numFmtId="9" fontId="10" fillId="0" borderId="58" xfId="6" applyFont="1" applyBorder="1" applyAlignment="1">
      <alignment horizontal="left" vertical="center" wrapText="1"/>
    </xf>
    <xf numFmtId="0" fontId="3" fillId="0" borderId="52" xfId="3" applyFont="1" applyBorder="1" applyAlignment="1">
      <alignment horizontal="center" vertical="center"/>
    </xf>
    <xf numFmtId="0" fontId="3" fillId="0" borderId="59" xfId="3" applyFont="1" applyBorder="1" applyAlignment="1">
      <alignment horizontal="center" vertical="center"/>
    </xf>
    <xf numFmtId="0" fontId="6" fillId="0" borderId="68" xfId="3" applyFont="1" applyBorder="1" applyAlignment="1">
      <alignment horizontal="center" vertical="center" wrapText="1"/>
    </xf>
    <xf numFmtId="0" fontId="6" fillId="0" borderId="69" xfId="3" applyFont="1" applyBorder="1" applyAlignment="1">
      <alignment horizontal="center" vertical="center" wrapText="1"/>
    </xf>
    <xf numFmtId="0" fontId="6" fillId="0" borderId="20" xfId="3" applyFont="1" applyBorder="1" applyAlignment="1">
      <alignment horizontal="center" vertical="center" wrapText="1"/>
    </xf>
    <xf numFmtId="0" fontId="6" fillId="0" borderId="25" xfId="3" applyFont="1" applyBorder="1" applyAlignment="1">
      <alignment horizontal="center" vertical="center" wrapText="1"/>
    </xf>
    <xf numFmtId="0" fontId="6" fillId="0" borderId="0" xfId="3" applyFont="1" applyBorder="1" applyAlignment="1">
      <alignment horizontal="center" vertical="center" wrapText="1"/>
    </xf>
    <xf numFmtId="0" fontId="6" fillId="0" borderId="53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7" fillId="0" borderId="66" xfId="3" applyFont="1" applyBorder="1" applyAlignment="1">
      <alignment horizontal="center" vertical="center" wrapText="1"/>
    </xf>
    <xf numFmtId="0" fontId="6" fillId="0" borderId="25" xfId="3" applyFont="1" applyBorder="1" applyAlignment="1">
      <alignment horizontal="left" vertical="center" wrapText="1"/>
    </xf>
    <xf numFmtId="0" fontId="6" fillId="0" borderId="0" xfId="3" applyFont="1" applyBorder="1" applyAlignment="1">
      <alignment horizontal="left" vertical="center" wrapText="1"/>
    </xf>
    <xf numFmtId="0" fontId="6" fillId="0" borderId="53" xfId="3" applyFont="1" applyBorder="1" applyAlignment="1">
      <alignment horizontal="left" vertical="center" wrapText="1"/>
    </xf>
    <xf numFmtId="9" fontId="7" fillId="0" borderId="2" xfId="3" applyNumberFormat="1" applyFont="1" applyBorder="1" applyAlignment="1">
      <alignment horizontal="center" vertical="center" wrapText="1"/>
    </xf>
    <xf numFmtId="0" fontId="7" fillId="0" borderId="62" xfId="3" applyFont="1" applyBorder="1" applyAlignment="1">
      <alignment horizontal="center" vertical="center" wrapText="1"/>
    </xf>
    <xf numFmtId="9" fontId="8" fillId="0" borderId="8" xfId="3" applyNumberFormat="1" applyFont="1" applyBorder="1" applyAlignment="1">
      <alignment horizontal="center"/>
    </xf>
    <xf numFmtId="9" fontId="8" fillId="0" borderId="21" xfId="3" applyNumberFormat="1" applyFont="1" applyBorder="1" applyAlignment="1">
      <alignment horizontal="center"/>
    </xf>
    <xf numFmtId="9" fontId="8" fillId="0" borderId="62" xfId="3" applyNumberFormat="1" applyFont="1" applyBorder="1" applyAlignment="1">
      <alignment horizontal="center"/>
    </xf>
    <xf numFmtId="9" fontId="10" fillId="0" borderId="23" xfId="3" applyNumberFormat="1" applyFont="1" applyBorder="1" applyAlignment="1">
      <alignment horizontal="center" vertical="center" wrapText="1"/>
    </xf>
    <xf numFmtId="9" fontId="10" fillId="0" borderId="66" xfId="3" applyNumberFormat="1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9" fontId="10" fillId="0" borderId="24" xfId="6" applyFont="1" applyBorder="1" applyAlignment="1">
      <alignment horizontal="left" vertical="center" wrapText="1"/>
    </xf>
    <xf numFmtId="9" fontId="10" fillId="0" borderId="48" xfId="6" applyFont="1" applyBorder="1" applyAlignment="1">
      <alignment horizontal="left" vertical="center" wrapText="1"/>
    </xf>
    <xf numFmtId="9" fontId="10" fillId="0" borderId="57" xfId="6" applyFont="1" applyBorder="1" applyAlignment="1">
      <alignment horizontal="left" vertical="center" wrapText="1"/>
    </xf>
    <xf numFmtId="0" fontId="7" fillId="0" borderId="2" xfId="3" applyFont="1" applyBorder="1" applyAlignment="1">
      <alignment horizontal="center" vertical="center"/>
    </xf>
    <xf numFmtId="0" fontId="7" fillId="0" borderId="62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7" fillId="0" borderId="66" xfId="3" applyFont="1" applyBorder="1" applyAlignment="1">
      <alignment horizontal="center" vertical="center"/>
    </xf>
    <xf numFmtId="9" fontId="10" fillId="0" borderId="24" xfId="3" applyNumberFormat="1" applyFont="1" applyBorder="1" applyAlignment="1">
      <alignment horizontal="center" vertical="center" wrapText="1"/>
    </xf>
    <xf numFmtId="9" fontId="10" fillId="0" borderId="48" xfId="3" applyNumberFormat="1" applyFont="1" applyBorder="1" applyAlignment="1">
      <alignment horizontal="center" vertical="center" wrapText="1"/>
    </xf>
    <xf numFmtId="9" fontId="10" fillId="0" borderId="57" xfId="3" applyNumberFormat="1" applyFont="1" applyBorder="1" applyAlignment="1">
      <alignment horizontal="center" vertical="center" wrapText="1"/>
    </xf>
    <xf numFmtId="9" fontId="10" fillId="0" borderId="58" xfId="3" applyNumberFormat="1" applyFont="1" applyBorder="1" applyAlignment="1">
      <alignment horizontal="center" vertical="center" wrapText="1"/>
    </xf>
    <xf numFmtId="0" fontId="6" fillId="0" borderId="33" xfId="3" applyFont="1" applyBorder="1" applyAlignment="1">
      <alignment horizontal="left" vertical="center" wrapText="1"/>
    </xf>
    <xf numFmtId="0" fontId="6" fillId="0" borderId="39" xfId="3" applyFont="1" applyBorder="1" applyAlignment="1">
      <alignment horizontal="left" vertical="center" wrapText="1"/>
    </xf>
    <xf numFmtId="0" fontId="6" fillId="0" borderId="52" xfId="3" applyFont="1" applyBorder="1" applyAlignment="1">
      <alignment horizontal="left" vertical="center" wrapText="1"/>
    </xf>
    <xf numFmtId="0" fontId="3" fillId="0" borderId="48" xfId="3" applyFont="1" applyBorder="1" applyAlignment="1">
      <alignment horizontal="center" vertical="center"/>
    </xf>
    <xf numFmtId="9" fontId="10" fillId="0" borderId="24" xfId="6" applyFont="1" applyBorder="1" applyAlignment="1">
      <alignment horizontal="center" vertical="center" wrapText="1"/>
    </xf>
    <xf numFmtId="9" fontId="10" fillId="0" borderId="48" xfId="6" applyFont="1" applyBorder="1" applyAlignment="1">
      <alignment horizontal="center" vertical="center" wrapText="1"/>
    </xf>
    <xf numFmtId="9" fontId="10" fillId="0" borderId="57" xfId="6" applyFont="1" applyBorder="1" applyAlignment="1">
      <alignment horizontal="center" vertical="center" wrapText="1"/>
    </xf>
    <xf numFmtId="9" fontId="10" fillId="0" borderId="58" xfId="6" applyFont="1" applyBorder="1" applyAlignment="1">
      <alignment horizontal="center" vertical="center" wrapText="1"/>
    </xf>
    <xf numFmtId="9" fontId="8" fillId="0" borderId="21" xfId="3" applyNumberFormat="1" applyFont="1" applyBorder="1" applyAlignment="1">
      <alignment horizontal="center" vertical="center"/>
    </xf>
    <xf numFmtId="9" fontId="8" fillId="0" borderId="62" xfId="3" applyNumberFormat="1" applyFont="1" applyBorder="1" applyAlignment="1">
      <alignment horizontal="center" vertical="center"/>
    </xf>
    <xf numFmtId="9" fontId="8" fillId="0" borderId="8" xfId="3" applyNumberFormat="1" applyFont="1" applyBorder="1" applyAlignment="1">
      <alignment horizontal="center" vertical="center"/>
    </xf>
    <xf numFmtId="0" fontId="10" fillId="0" borderId="57" xfId="3" applyFont="1" applyBorder="1" applyAlignment="1">
      <alignment horizontal="center" vertical="center" wrapText="1"/>
    </xf>
    <xf numFmtId="0" fontId="10" fillId="0" borderId="58" xfId="3" applyFont="1" applyBorder="1" applyAlignment="1">
      <alignment horizontal="center" vertical="center" wrapText="1"/>
    </xf>
    <xf numFmtId="0" fontId="7" fillId="0" borderId="33" xfId="3" applyFont="1" applyBorder="1" applyAlignment="1">
      <alignment horizontal="center" vertical="center" wrapText="1"/>
    </xf>
    <xf numFmtId="0" fontId="7" fillId="0" borderId="48" xfId="3" applyFont="1" applyBorder="1" applyAlignment="1">
      <alignment horizontal="center" vertical="center" wrapText="1"/>
    </xf>
    <xf numFmtId="0" fontId="7" fillId="0" borderId="52" xfId="3" applyFont="1" applyBorder="1" applyAlignment="1">
      <alignment horizontal="center" vertical="center"/>
    </xf>
    <xf numFmtId="0" fontId="7" fillId="0" borderId="59" xfId="3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 wrapText="1"/>
    </xf>
    <xf numFmtId="0" fontId="7" fillId="0" borderId="18" xfId="3" applyFont="1" applyBorder="1" applyAlignment="1">
      <alignment horizontal="center" vertical="center" wrapText="1"/>
    </xf>
    <xf numFmtId="0" fontId="7" fillId="0" borderId="37" xfId="3" applyFont="1" applyBorder="1" applyAlignment="1">
      <alignment horizontal="center" vertical="center" wrapText="1"/>
    </xf>
    <xf numFmtId="0" fontId="7" fillId="0" borderId="51" xfId="3" applyFont="1" applyBorder="1" applyAlignment="1">
      <alignment horizontal="center" vertical="center" wrapText="1"/>
    </xf>
    <xf numFmtId="0" fontId="6" fillId="0" borderId="24" xfId="3" applyFont="1" applyBorder="1" applyAlignment="1">
      <alignment horizontal="left" vertical="center" wrapText="1"/>
    </xf>
    <xf numFmtId="0" fontId="6" fillId="0" borderId="57" xfId="3" applyFont="1" applyBorder="1" applyAlignment="1">
      <alignment horizontal="left" vertical="center" wrapText="1"/>
    </xf>
    <xf numFmtId="0" fontId="6" fillId="0" borderId="19" xfId="3" applyFont="1" applyBorder="1" applyAlignment="1">
      <alignment horizontal="left" vertical="center" wrapText="1"/>
    </xf>
    <xf numFmtId="0" fontId="10" fillId="0" borderId="24" xfId="3" applyFont="1" applyBorder="1" applyAlignment="1">
      <alignment horizontal="center" vertical="center" wrapText="1"/>
    </xf>
    <xf numFmtId="0" fontId="10" fillId="0" borderId="48" xfId="3" applyFont="1" applyBorder="1" applyAlignment="1">
      <alignment horizontal="center" vertical="center" wrapText="1"/>
    </xf>
    <xf numFmtId="0" fontId="3" fillId="0" borderId="38" xfId="3" applyFont="1" applyBorder="1" applyAlignment="1">
      <alignment horizontal="left" vertical="center"/>
    </xf>
    <xf numFmtId="0" fontId="3" fillId="0" borderId="71" xfId="3" applyFont="1" applyBorder="1" applyAlignment="1">
      <alignment horizontal="left" vertical="center"/>
    </xf>
    <xf numFmtId="0" fontId="7" fillId="0" borderId="32" xfId="3" applyFont="1" applyBorder="1" applyAlignment="1">
      <alignment horizontal="center" vertical="center" wrapText="1"/>
    </xf>
    <xf numFmtId="0" fontId="7" fillId="0" borderId="44" xfId="3" applyFont="1" applyBorder="1" applyAlignment="1">
      <alignment horizontal="center" vertical="center" wrapText="1"/>
    </xf>
    <xf numFmtId="0" fontId="7" fillId="0" borderId="16" xfId="3" applyFont="1" applyBorder="1" applyAlignment="1">
      <alignment horizontal="center" vertical="center" wrapText="1"/>
    </xf>
    <xf numFmtId="0" fontId="7" fillId="0" borderId="17" xfId="3" applyFont="1" applyBorder="1" applyAlignment="1">
      <alignment horizontal="center" vertical="center" wrapText="1"/>
    </xf>
    <xf numFmtId="0" fontId="7" fillId="0" borderId="70" xfId="3" applyFont="1" applyBorder="1" applyAlignment="1">
      <alignment horizontal="center" vertical="center" wrapText="1"/>
    </xf>
    <xf numFmtId="0" fontId="7" fillId="0" borderId="71" xfId="3" applyFont="1" applyBorder="1" applyAlignment="1">
      <alignment horizontal="center" vertical="center" wrapText="1"/>
    </xf>
    <xf numFmtId="0" fontId="9" fillId="0" borderId="24" xfId="3" applyFont="1" applyBorder="1" applyAlignment="1">
      <alignment horizontal="center" vertical="center" wrapText="1"/>
    </xf>
    <xf numFmtId="0" fontId="9" fillId="0" borderId="25" xfId="3" applyFont="1" applyBorder="1" applyAlignment="1">
      <alignment horizontal="center" vertical="center" wrapText="1"/>
    </xf>
    <xf numFmtId="0" fontId="9" fillId="0" borderId="48" xfId="3" applyFont="1" applyBorder="1" applyAlignment="1">
      <alignment horizontal="center" vertical="center" wrapText="1"/>
    </xf>
    <xf numFmtId="0" fontId="9" fillId="0" borderId="57" xfId="3" applyFont="1" applyBorder="1" applyAlignment="1">
      <alignment horizontal="center" vertical="center" wrapText="1"/>
    </xf>
    <xf numFmtId="0" fontId="9" fillId="0" borderId="0" xfId="3" applyFont="1" applyBorder="1" applyAlignment="1">
      <alignment horizontal="center" vertical="center" wrapText="1"/>
    </xf>
    <xf numFmtId="0" fontId="9" fillId="0" borderId="58" xfId="3" applyFont="1" applyBorder="1" applyAlignment="1">
      <alignment horizontal="center" vertical="center" wrapText="1"/>
    </xf>
    <xf numFmtId="0" fontId="9" fillId="0" borderId="19" xfId="3" applyFont="1" applyBorder="1" applyAlignment="1">
      <alignment horizontal="center" vertical="center" wrapText="1"/>
    </xf>
    <xf numFmtId="0" fontId="9" fillId="0" borderId="53" xfId="3" applyFont="1" applyBorder="1" applyAlignment="1">
      <alignment horizontal="center" vertical="center" wrapText="1"/>
    </xf>
    <xf numFmtId="0" fontId="9" fillId="0" borderId="59" xfId="3" applyFont="1" applyBorder="1" applyAlignment="1">
      <alignment horizontal="center" vertical="center" wrapText="1"/>
    </xf>
    <xf numFmtId="0" fontId="7" fillId="0" borderId="61" xfId="3" applyFont="1" applyBorder="1" applyAlignment="1">
      <alignment horizontal="left" vertical="center" wrapText="1"/>
    </xf>
    <xf numFmtId="0" fontId="7" fillId="0" borderId="66" xfId="3" applyFont="1" applyBorder="1" applyAlignment="1">
      <alignment horizontal="left" vertical="center" wrapText="1"/>
    </xf>
    <xf numFmtId="0" fontId="7" fillId="0" borderId="8" xfId="3" applyFont="1" applyBorder="1" applyAlignment="1">
      <alignment horizontal="left" vertical="center" wrapText="1"/>
    </xf>
    <xf numFmtId="0" fontId="7" fillId="0" borderId="62" xfId="3" applyFont="1" applyBorder="1" applyAlignment="1">
      <alignment horizontal="left" vertical="center" wrapText="1"/>
    </xf>
    <xf numFmtId="0" fontId="7" fillId="0" borderId="67" xfId="3" applyFont="1" applyBorder="1" applyAlignment="1">
      <alignment horizontal="left" vertical="center" wrapText="1"/>
    </xf>
    <xf numFmtId="0" fontId="7" fillId="0" borderId="49" xfId="3" applyFont="1" applyBorder="1" applyAlignment="1">
      <alignment horizontal="left" vertical="center" wrapText="1"/>
    </xf>
    <xf numFmtId="0" fontId="11" fillId="0" borderId="0" xfId="3" applyFont="1" applyBorder="1" applyAlignment="1">
      <alignment horizontal="left"/>
    </xf>
    <xf numFmtId="0" fontId="7" fillId="0" borderId="68" xfId="3" applyFont="1" applyBorder="1" applyAlignment="1">
      <alignment horizontal="center" vertical="center"/>
    </xf>
    <xf numFmtId="0" fontId="7" fillId="0" borderId="69" xfId="3" applyFont="1" applyBorder="1" applyAlignment="1">
      <alignment horizontal="center" vertical="center"/>
    </xf>
    <xf numFmtId="0" fontId="7" fillId="0" borderId="20" xfId="3" applyFont="1" applyBorder="1" applyAlignment="1">
      <alignment horizontal="center" vertical="center"/>
    </xf>
    <xf numFmtId="0" fontId="7" fillId="0" borderId="68" xfId="3" applyFont="1" applyBorder="1" applyAlignment="1">
      <alignment horizontal="center" vertical="center" wrapText="1"/>
    </xf>
    <xf numFmtId="0" fontId="7" fillId="0" borderId="69" xfId="3" applyFont="1" applyBorder="1" applyAlignment="1">
      <alignment horizontal="center" vertical="center" wrapText="1"/>
    </xf>
    <xf numFmtId="0" fontId="7" fillId="0" borderId="20" xfId="3" applyFont="1" applyBorder="1" applyAlignment="1">
      <alignment horizontal="center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57" xfId="3" applyFont="1" applyBorder="1" applyAlignment="1">
      <alignment horizontal="center" vertical="center" wrapText="1"/>
    </xf>
    <xf numFmtId="0" fontId="7" fillId="0" borderId="58" xfId="3" applyFont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7" fillId="0" borderId="59" xfId="3" applyFont="1" applyBorder="1" applyAlignment="1">
      <alignment horizontal="center" vertical="center" wrapText="1"/>
    </xf>
    <xf numFmtId="0" fontId="7" fillId="0" borderId="16" xfId="3" applyFont="1" applyBorder="1" applyAlignment="1">
      <alignment horizontal="center" wrapText="1"/>
    </xf>
    <xf numFmtId="0" fontId="7" fillId="0" borderId="17" xfId="3" applyFont="1" applyBorder="1" applyAlignment="1">
      <alignment horizontal="center" wrapText="1"/>
    </xf>
    <xf numFmtId="0" fontId="7" fillId="0" borderId="18" xfId="3" applyFont="1" applyBorder="1" applyAlignment="1">
      <alignment horizontal="center" wrapText="1"/>
    </xf>
    <xf numFmtId="0" fontId="7" fillId="0" borderId="24" xfId="3" applyFont="1" applyBorder="1" applyAlignment="1">
      <alignment horizontal="left" vertical="center" wrapText="1"/>
    </xf>
    <xf numFmtId="0" fontId="7" fillId="0" borderId="48" xfId="3" applyFont="1" applyBorder="1" applyAlignment="1">
      <alignment horizontal="left" vertical="center" wrapText="1"/>
    </xf>
    <xf numFmtId="0" fontId="7" fillId="0" borderId="19" xfId="3" applyFont="1" applyBorder="1" applyAlignment="1">
      <alignment horizontal="left" vertical="center" wrapText="1"/>
    </xf>
    <xf numFmtId="0" fontId="7" fillId="0" borderId="59" xfId="3" applyFont="1" applyBorder="1" applyAlignment="1">
      <alignment horizontal="left" vertical="center" wrapText="1"/>
    </xf>
    <xf numFmtId="0" fontId="10" fillId="0" borderId="31" xfId="3" applyFont="1" applyBorder="1" applyAlignment="1">
      <alignment horizontal="center" vertical="center"/>
    </xf>
    <xf numFmtId="0" fontId="10" fillId="0" borderId="41" xfId="3" applyFont="1" applyBorder="1" applyAlignment="1">
      <alignment horizontal="center" vertical="center"/>
    </xf>
    <xf numFmtId="0" fontId="10" fillId="0" borderId="24" xfId="3" applyFont="1" applyBorder="1" applyAlignment="1">
      <alignment horizontal="center" vertical="center"/>
    </xf>
    <xf numFmtId="0" fontId="10" fillId="0" borderId="57" xfId="3" applyFont="1" applyBorder="1" applyAlignment="1">
      <alignment horizontal="center" vertical="center"/>
    </xf>
    <xf numFmtId="0" fontId="10" fillId="0" borderId="68" xfId="3" applyFont="1" applyBorder="1" applyAlignment="1">
      <alignment horizontal="center" vertical="center" wrapText="1"/>
    </xf>
    <xf numFmtId="0" fontId="10" fillId="0" borderId="69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wrapText="1"/>
    </xf>
    <xf numFmtId="0" fontId="6" fillId="0" borderId="17" xfId="3" applyFont="1" applyBorder="1" applyAlignment="1">
      <alignment horizontal="center" wrapText="1"/>
    </xf>
    <xf numFmtId="0" fontId="6" fillId="0" borderId="27" xfId="3" applyFont="1" applyBorder="1" applyAlignment="1">
      <alignment horizontal="center" wrapText="1"/>
    </xf>
    <xf numFmtId="0" fontId="10" fillId="0" borderId="16" xfId="3" applyFont="1" applyBorder="1" applyAlignment="1">
      <alignment horizontal="center" vertical="center" wrapText="1"/>
    </xf>
    <xf numFmtId="0" fontId="10" fillId="0" borderId="17" xfId="3" applyFont="1" applyBorder="1" applyAlignment="1">
      <alignment horizontal="center" vertical="center" wrapText="1"/>
    </xf>
    <xf numFmtId="0" fontId="10" fillId="0" borderId="18" xfId="3" applyFont="1" applyBorder="1" applyAlignment="1">
      <alignment horizontal="center" vertical="center" wrapText="1"/>
    </xf>
    <xf numFmtId="0" fontId="6" fillId="0" borderId="30" xfId="3" applyFont="1" applyBorder="1" applyAlignment="1">
      <alignment horizontal="left" vertical="center" wrapText="1"/>
    </xf>
    <xf numFmtId="0" fontId="6" fillId="0" borderId="54" xfId="3" applyFont="1" applyBorder="1" applyAlignment="1">
      <alignment horizontal="left" vertical="center" wrapText="1"/>
    </xf>
    <xf numFmtId="0" fontId="10" fillId="0" borderId="31" xfId="3" applyFont="1" applyBorder="1" applyAlignment="1">
      <alignment horizontal="center" vertical="center" wrapText="1"/>
    </xf>
    <xf numFmtId="0" fontId="10" fillId="0" borderId="41" xfId="3" applyFont="1" applyBorder="1" applyAlignment="1">
      <alignment horizontal="center" vertical="center" wrapText="1"/>
    </xf>
    <xf numFmtId="0" fontId="10" fillId="0" borderId="72" xfId="3" applyFont="1" applyBorder="1" applyAlignment="1">
      <alignment horizontal="center" vertical="center" wrapText="1"/>
    </xf>
    <xf numFmtId="0" fontId="3" fillId="0" borderId="43" xfId="3" applyFont="1" applyBorder="1" applyAlignment="1">
      <alignment vertical="center" wrapText="1"/>
    </xf>
    <xf numFmtId="0" fontId="3" fillId="0" borderId="34" xfId="3" applyFont="1" applyBorder="1" applyAlignment="1">
      <alignment vertical="center" wrapText="1"/>
    </xf>
    <xf numFmtId="0" fontId="7" fillId="0" borderId="55" xfId="3" applyFont="1" applyBorder="1" applyAlignment="1">
      <alignment horizontal="center" vertical="center"/>
    </xf>
    <xf numFmtId="9" fontId="8" fillId="0" borderId="4" xfId="3" applyNumberFormat="1" applyFont="1" applyBorder="1" applyAlignment="1">
      <alignment horizontal="center" vertical="center"/>
    </xf>
    <xf numFmtId="9" fontId="8" fillId="0" borderId="1" xfId="3" applyNumberFormat="1" applyFont="1" applyBorder="1" applyAlignment="1">
      <alignment horizontal="center" vertical="center"/>
    </xf>
    <xf numFmtId="9" fontId="8" fillId="0" borderId="5" xfId="3" applyNumberFormat="1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 wrapText="1"/>
    </xf>
    <xf numFmtId="0" fontId="10" fillId="0" borderId="44" xfId="3" applyFont="1" applyBorder="1" applyAlignment="1">
      <alignment horizontal="center" vertical="center" wrapText="1"/>
    </xf>
    <xf numFmtId="0" fontId="6" fillId="0" borderId="42" xfId="3" applyFont="1" applyBorder="1" applyAlignment="1">
      <alignment horizontal="left" vertical="center" wrapText="1"/>
    </xf>
    <xf numFmtId="0" fontId="6" fillId="0" borderId="44" xfId="3" applyFont="1" applyBorder="1" applyAlignment="1">
      <alignment horizontal="left" vertical="center" wrapText="1"/>
    </xf>
    <xf numFmtId="0" fontId="10" fillId="0" borderId="32" xfId="3" applyFont="1" applyBorder="1" applyAlignment="1">
      <alignment horizontal="center" vertical="center" wrapText="1"/>
    </xf>
    <xf numFmtId="9" fontId="10" fillId="0" borderId="33" xfId="3" applyNumberFormat="1" applyFont="1" applyBorder="1" applyAlignment="1">
      <alignment horizontal="center" vertical="center"/>
    </xf>
    <xf numFmtId="9" fontId="10" fillId="0" borderId="39" xfId="3" applyNumberFormat="1" applyFont="1" applyBorder="1" applyAlignment="1">
      <alignment horizontal="center" vertical="center"/>
    </xf>
    <xf numFmtId="0" fontId="7" fillId="0" borderId="14" xfId="3" applyFont="1" applyBorder="1" applyAlignment="1">
      <alignment horizontal="center" vertical="center"/>
    </xf>
    <xf numFmtId="9" fontId="6" fillId="0" borderId="0" xfId="6" applyFont="1" applyBorder="1" applyAlignment="1">
      <alignment horizontal="left" vertical="center" wrapText="1"/>
    </xf>
    <xf numFmtId="9" fontId="6" fillId="0" borderId="40" xfId="6" applyFont="1" applyBorder="1" applyAlignment="1">
      <alignment horizontal="left" vertical="center" wrapText="1"/>
    </xf>
    <xf numFmtId="0" fontId="7" fillId="0" borderId="14" xfId="3" applyFont="1" applyBorder="1" applyAlignment="1">
      <alignment horizontal="center" vertical="center" wrapText="1"/>
    </xf>
    <xf numFmtId="0" fontId="7" fillId="0" borderId="52" xfId="3" applyFont="1" applyBorder="1" applyAlignment="1">
      <alignment horizontal="center" vertical="center" wrapText="1"/>
    </xf>
    <xf numFmtId="9" fontId="8" fillId="0" borderId="4" xfId="3" applyNumberFormat="1" applyFont="1" applyBorder="1" applyAlignment="1">
      <alignment horizontal="center"/>
    </xf>
    <xf numFmtId="9" fontId="8" fillId="0" borderId="1" xfId="3" applyNumberFormat="1" applyFont="1" applyBorder="1" applyAlignment="1">
      <alignment horizontal="center"/>
    </xf>
    <xf numFmtId="9" fontId="8" fillId="0" borderId="5" xfId="3" applyNumberFormat="1" applyFont="1" applyBorder="1" applyAlignment="1">
      <alignment horizontal="center"/>
    </xf>
    <xf numFmtId="9" fontId="6" fillId="0" borderId="57" xfId="6" applyFont="1" applyBorder="1" applyAlignment="1">
      <alignment horizontal="left" vertical="center" wrapText="1"/>
    </xf>
    <xf numFmtId="9" fontId="3" fillId="0" borderId="9" xfId="6" applyFont="1" applyBorder="1" applyAlignment="1">
      <alignment horizontal="center" vertical="center"/>
    </xf>
    <xf numFmtId="9" fontId="3" fillId="0" borderId="10" xfId="6" applyFont="1" applyBorder="1" applyAlignment="1">
      <alignment horizontal="center" vertical="center"/>
    </xf>
    <xf numFmtId="9" fontId="3" fillId="0" borderId="11" xfId="6" applyFont="1" applyBorder="1" applyAlignment="1">
      <alignment horizontal="center" vertical="center"/>
    </xf>
    <xf numFmtId="0" fontId="3" fillId="0" borderId="21" xfId="3" applyFont="1" applyBorder="1" applyAlignment="1">
      <alignment horizontal="center"/>
    </xf>
    <xf numFmtId="0" fontId="3" fillId="0" borderId="62" xfId="3" applyFont="1" applyBorder="1" applyAlignment="1">
      <alignment horizontal="center"/>
    </xf>
    <xf numFmtId="9" fontId="3" fillId="0" borderId="2" xfId="6" applyFont="1" applyBorder="1" applyAlignment="1">
      <alignment horizontal="left"/>
    </xf>
    <xf numFmtId="9" fontId="3" fillId="0" borderId="21" xfId="6" applyFont="1" applyBorder="1" applyAlignment="1">
      <alignment horizontal="left"/>
    </xf>
    <xf numFmtId="9" fontId="3" fillId="0" borderId="62" xfId="6" applyFont="1" applyBorder="1" applyAlignment="1">
      <alignment horizontal="left"/>
    </xf>
    <xf numFmtId="9" fontId="3" fillId="0" borderId="55" xfId="3" applyNumberFormat="1" applyFont="1" applyBorder="1" applyAlignment="1">
      <alignment horizontal="left"/>
    </xf>
    <xf numFmtId="9" fontId="3" fillId="0" borderId="64" xfId="3" applyNumberFormat="1" applyFont="1" applyBorder="1" applyAlignment="1">
      <alignment horizontal="left"/>
    </xf>
    <xf numFmtId="9" fontId="3" fillId="0" borderId="65" xfId="3" applyNumberFormat="1" applyFont="1" applyBorder="1" applyAlignment="1">
      <alignment horizontal="left"/>
    </xf>
    <xf numFmtId="0" fontId="6" fillId="0" borderId="0" xfId="3" applyFont="1" applyBorder="1" applyAlignment="1">
      <alignment wrapText="1"/>
    </xf>
    <xf numFmtId="0" fontId="3" fillId="0" borderId="9" xfId="3" applyFont="1" applyBorder="1" applyAlignment="1">
      <alignment horizontal="left" vertical="center"/>
    </xf>
    <xf numFmtId="0" fontId="3" fillId="0" borderId="4" xfId="3" applyFont="1" applyBorder="1" applyAlignment="1">
      <alignment horizontal="left" vertical="center"/>
    </xf>
    <xf numFmtId="0" fontId="3" fillId="0" borderId="10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10" xfId="3" applyFont="1" applyBorder="1" applyAlignment="1">
      <alignment horizontal="center" vertical="center" wrapText="1"/>
    </xf>
    <xf numFmtId="9" fontId="3" fillId="0" borderId="10" xfId="6" applyFont="1" applyBorder="1" applyAlignment="1">
      <alignment horizontal="center" vertical="center" wrapText="1"/>
    </xf>
    <xf numFmtId="9" fontId="3" fillId="0" borderId="11" xfId="6" applyFont="1" applyBorder="1" applyAlignment="1">
      <alignment horizontal="center" vertical="center" wrapText="1"/>
    </xf>
    <xf numFmtId="0" fontId="3" fillId="0" borderId="2" xfId="3" applyFont="1" applyBorder="1" applyAlignment="1">
      <alignment horizontal="left"/>
    </xf>
    <xf numFmtId="0" fontId="3" fillId="0" borderId="21" xfId="3" applyFont="1" applyBorder="1" applyAlignment="1">
      <alignment horizontal="left"/>
    </xf>
    <xf numFmtId="0" fontId="3" fillId="0" borderId="3" xfId="3" applyFont="1" applyBorder="1" applyAlignment="1">
      <alignment horizontal="left"/>
    </xf>
    <xf numFmtId="0" fontId="3" fillId="0" borderId="2" xfId="3" applyFont="1" applyBorder="1" applyAlignment="1">
      <alignment horizontal="center"/>
    </xf>
    <xf numFmtId="0" fontId="3" fillId="0" borderId="3" xfId="3" applyFont="1" applyBorder="1" applyAlignment="1">
      <alignment horizontal="center"/>
    </xf>
    <xf numFmtId="0" fontId="3" fillId="0" borderId="46" xfId="3" applyFont="1" applyBorder="1" applyAlignment="1">
      <alignment horizontal="center" vertical="center"/>
    </xf>
    <xf numFmtId="0" fontId="7" fillId="0" borderId="57" xfId="3" applyFont="1" applyBorder="1" applyAlignment="1">
      <alignment horizontal="center"/>
    </xf>
    <xf numFmtId="0" fontId="7" fillId="0" borderId="0" xfId="3" applyFont="1" applyBorder="1" applyAlignment="1">
      <alignment horizontal="center"/>
    </xf>
    <xf numFmtId="9" fontId="8" fillId="0" borderId="73" xfId="3" applyNumberFormat="1" applyFont="1" applyBorder="1" applyAlignment="1">
      <alignment horizontal="center" vertical="center"/>
    </xf>
    <xf numFmtId="9" fontId="8" fillId="0" borderId="50" xfId="3" applyNumberFormat="1" applyFont="1" applyBorder="1" applyAlignment="1">
      <alignment horizontal="center" vertical="center"/>
    </xf>
    <xf numFmtId="9" fontId="8" fillId="0" borderId="51" xfId="3" applyNumberFormat="1" applyFont="1" applyBorder="1" applyAlignment="1">
      <alignment horizontal="center" vertical="center"/>
    </xf>
    <xf numFmtId="9" fontId="10" fillId="0" borderId="5" xfId="3" applyNumberFormat="1" applyFont="1" applyBorder="1" applyAlignment="1">
      <alignment vertical="center" wrapText="1"/>
    </xf>
    <xf numFmtId="1" fontId="8" fillId="3" borderId="70" xfId="3" applyNumberFormat="1" applyFont="1" applyFill="1" applyBorder="1" applyAlignment="1">
      <alignment horizontal="center" vertical="center"/>
    </xf>
    <xf numFmtId="1" fontId="8" fillId="3" borderId="32" xfId="3" applyNumberFormat="1" applyFont="1" applyFill="1" applyBorder="1" applyAlignment="1">
      <alignment horizontal="center" vertical="center"/>
    </xf>
    <xf numFmtId="1" fontId="8" fillId="3" borderId="31" xfId="3" applyNumberFormat="1" applyFont="1" applyFill="1" applyBorder="1" applyAlignment="1">
      <alignment horizontal="center" vertical="center"/>
    </xf>
    <xf numFmtId="1" fontId="8" fillId="2" borderId="48" xfId="3" applyNumberFormat="1" applyFont="1" applyFill="1" applyBorder="1" applyAlignment="1">
      <alignment horizontal="center" vertical="center"/>
    </xf>
    <xf numFmtId="1" fontId="10" fillId="3" borderId="70" xfId="3" applyNumberFormat="1" applyFont="1" applyFill="1" applyBorder="1" applyAlignment="1">
      <alignment horizontal="center" vertical="center"/>
    </xf>
    <xf numFmtId="1" fontId="10" fillId="3" borderId="4" xfId="3" applyNumberFormat="1" applyFont="1" applyFill="1" applyBorder="1" applyAlignment="1">
      <alignment horizontal="center" vertical="center"/>
    </xf>
    <xf numFmtId="1" fontId="8" fillId="3" borderId="71" xfId="3" applyNumberFormat="1" applyFont="1" applyFill="1" applyBorder="1" applyAlignment="1">
      <alignment horizontal="center" vertical="center"/>
    </xf>
    <xf numFmtId="1" fontId="8" fillId="3" borderId="44" xfId="3" applyNumberFormat="1" applyFont="1" applyFill="1" applyBorder="1" applyAlignment="1">
      <alignment horizontal="center" vertical="center"/>
    </xf>
    <xf numFmtId="1" fontId="8" fillId="3" borderId="72" xfId="3" applyNumberFormat="1" applyFont="1" applyFill="1" applyBorder="1" applyAlignment="1">
      <alignment horizontal="center" vertical="center"/>
    </xf>
    <xf numFmtId="1" fontId="8" fillId="3" borderId="71" xfId="6" applyNumberFormat="1" applyFont="1" applyFill="1" applyBorder="1" applyAlignment="1">
      <alignment horizontal="center" vertical="center"/>
    </xf>
    <xf numFmtId="1" fontId="8" fillId="3" borderId="44" xfId="6" applyNumberFormat="1" applyFont="1" applyFill="1" applyBorder="1" applyAlignment="1">
      <alignment horizontal="center" vertical="center"/>
    </xf>
    <xf numFmtId="1" fontId="8" fillId="3" borderId="72" xfId="6" applyNumberFormat="1" applyFont="1" applyFill="1" applyBorder="1" applyAlignment="1">
      <alignment horizontal="center" vertical="center"/>
    </xf>
    <xf numFmtId="1" fontId="10" fillId="2" borderId="70" xfId="3" applyNumberFormat="1" applyFont="1" applyFill="1" applyBorder="1" applyAlignment="1">
      <alignment horizontal="center" vertical="center"/>
    </xf>
    <xf numFmtId="1" fontId="8" fillId="2" borderId="59" xfId="6" applyNumberFormat="1" applyFont="1" applyFill="1" applyBorder="1" applyAlignment="1">
      <alignment horizontal="center" vertical="center"/>
    </xf>
    <xf numFmtId="1" fontId="8" fillId="3" borderId="9" xfId="3" applyNumberFormat="1" applyFont="1" applyFill="1" applyBorder="1" applyAlignment="1">
      <alignment horizontal="center" vertical="center"/>
    </xf>
    <xf numFmtId="1" fontId="8" fillId="3" borderId="10" xfId="3" applyNumberFormat="1" applyFont="1" applyFill="1" applyBorder="1" applyAlignment="1">
      <alignment horizontal="center" vertical="center"/>
    </xf>
    <xf numFmtId="1" fontId="8" fillId="3" borderId="12" xfId="3" applyNumberFormat="1" applyFont="1" applyFill="1" applyBorder="1" applyAlignment="1">
      <alignment horizontal="center" vertical="center"/>
    </xf>
    <xf numFmtId="1" fontId="8" fillId="3" borderId="11" xfId="3" applyNumberFormat="1" applyFont="1" applyFill="1" applyBorder="1" applyAlignment="1">
      <alignment horizontal="center" vertical="center"/>
    </xf>
    <xf numFmtId="1" fontId="8" fillId="3" borderId="52" xfId="6" applyNumberFormat="1" applyFont="1" applyFill="1" applyBorder="1" applyAlignment="1">
      <alignment horizontal="center" vertical="center"/>
    </xf>
    <xf numFmtId="1" fontId="8" fillId="3" borderId="52" xfId="3" applyNumberFormat="1" applyFont="1" applyFill="1" applyBorder="1" applyAlignment="1">
      <alignment horizontal="center" vertical="center"/>
    </xf>
    <xf numFmtId="1" fontId="8" fillId="3" borderId="35" xfId="6" applyNumberFormat="1" applyFont="1" applyFill="1" applyBorder="1" applyAlignment="1">
      <alignment horizontal="center" vertical="center"/>
    </xf>
    <xf numFmtId="1" fontId="8" fillId="3" borderId="34" xfId="6" applyNumberFormat="1" applyFont="1" applyFill="1" applyBorder="1" applyAlignment="1">
      <alignment horizontal="center" vertical="center"/>
    </xf>
    <xf numFmtId="1" fontId="8" fillId="3" borderId="37" xfId="6" applyNumberFormat="1" applyFont="1" applyFill="1" applyBorder="1" applyAlignment="1">
      <alignment horizontal="center" vertical="center"/>
    </xf>
    <xf numFmtId="1" fontId="8" fillId="3" borderId="61" xfId="6" applyNumberFormat="1" applyFont="1" applyFill="1" applyBorder="1" applyAlignment="1">
      <alignment horizontal="center" vertical="center"/>
    </xf>
    <xf numFmtId="1" fontId="8" fillId="3" borderId="23" xfId="6" applyNumberFormat="1" applyFont="1" applyFill="1" applyBorder="1" applyAlignment="1">
      <alignment horizontal="center" vertical="center"/>
    </xf>
    <xf numFmtId="1" fontId="8" fillId="3" borderId="66" xfId="6" applyNumberFormat="1" applyFont="1" applyFill="1" applyBorder="1" applyAlignment="1">
      <alignment horizontal="center" vertical="center"/>
    </xf>
    <xf numFmtId="1" fontId="8" fillId="3" borderId="35" xfId="3" applyNumberFormat="1" applyFont="1" applyFill="1" applyBorder="1" applyAlignment="1">
      <alignment horizontal="center" vertical="center"/>
    </xf>
    <xf numFmtId="1" fontId="8" fillId="3" borderId="34" xfId="3" applyNumberFormat="1" applyFont="1" applyFill="1" applyBorder="1" applyAlignment="1">
      <alignment horizontal="center" vertical="center"/>
    </xf>
    <xf numFmtId="1" fontId="8" fillId="3" borderId="37" xfId="3" applyNumberFormat="1" applyFont="1" applyFill="1" applyBorder="1" applyAlignment="1">
      <alignment horizontal="center" vertical="center"/>
    </xf>
    <xf numFmtId="1" fontId="8" fillId="3" borderId="56" xfId="3" applyNumberFormat="1" applyFont="1" applyFill="1" applyBorder="1" applyAlignment="1">
      <alignment horizontal="center" vertical="center"/>
    </xf>
    <xf numFmtId="1" fontId="8" fillId="3" borderId="3" xfId="6" applyNumberFormat="1" applyFont="1" applyFill="1" applyBorder="1" applyAlignment="1">
      <alignment horizontal="center" vertical="center"/>
    </xf>
    <xf numFmtId="1" fontId="8" fillId="3" borderId="1" xfId="6" applyNumberFormat="1" applyFont="1" applyFill="1" applyBorder="1" applyAlignment="1">
      <alignment horizontal="center" vertical="center"/>
    </xf>
    <xf numFmtId="1" fontId="8" fillId="3" borderId="2" xfId="6" applyNumberFormat="1" applyFont="1" applyFill="1" applyBorder="1" applyAlignment="1">
      <alignment horizontal="center" vertical="center"/>
    </xf>
    <xf numFmtId="1" fontId="8" fillId="3" borderId="8" xfId="6" applyNumberFormat="1" applyFont="1" applyFill="1" applyBorder="1" applyAlignment="1">
      <alignment horizontal="center" vertical="center"/>
    </xf>
    <xf numFmtId="1" fontId="8" fillId="3" borderId="21" xfId="6" applyNumberFormat="1" applyFont="1" applyFill="1" applyBorder="1" applyAlignment="1">
      <alignment horizontal="center" vertical="center"/>
    </xf>
    <xf numFmtId="1" fontId="8" fillId="3" borderId="62" xfId="6" applyNumberFormat="1" applyFont="1" applyFill="1" applyBorder="1" applyAlignment="1">
      <alignment horizontal="center" vertical="center"/>
    </xf>
    <xf numFmtId="1" fontId="8" fillId="3" borderId="3" xfId="3" applyNumberFormat="1" applyFont="1" applyFill="1" applyBorder="1" applyAlignment="1">
      <alignment horizontal="center" vertical="center"/>
    </xf>
    <xf numFmtId="1" fontId="8" fillId="3" borderId="1" xfId="3" applyNumberFormat="1" applyFont="1" applyFill="1" applyBorder="1" applyAlignment="1">
      <alignment horizontal="center" vertical="center"/>
    </xf>
    <xf numFmtId="1" fontId="8" fillId="3" borderId="2" xfId="3" applyNumberFormat="1" applyFont="1" applyFill="1" applyBorder="1" applyAlignment="1">
      <alignment horizontal="center" vertical="center"/>
    </xf>
    <xf numFmtId="1" fontId="8" fillId="3" borderId="5" xfId="3" applyNumberFormat="1" applyFont="1" applyFill="1" applyBorder="1" applyAlignment="1">
      <alignment horizontal="center" vertical="center"/>
    </xf>
    <xf numFmtId="1" fontId="8" fillId="3" borderId="67" xfId="6" applyNumberFormat="1" applyFont="1" applyFill="1" applyBorder="1" applyAlignment="1">
      <alignment horizontal="center" vertical="center"/>
    </xf>
    <xf numFmtId="1" fontId="8" fillId="3" borderId="22" xfId="6" applyNumberFormat="1" applyFont="1" applyFill="1" applyBorder="1" applyAlignment="1">
      <alignment horizontal="center" vertical="center"/>
    </xf>
    <xf numFmtId="1" fontId="8" fillId="3" borderId="49" xfId="6" applyNumberFormat="1" applyFont="1" applyFill="1" applyBorder="1" applyAlignment="1">
      <alignment horizontal="center" vertical="center"/>
    </xf>
    <xf numFmtId="1" fontId="8" fillId="3" borderId="3" xfId="3" applyNumberFormat="1" applyFont="1" applyFill="1" applyBorder="1" applyAlignment="1">
      <alignment horizontal="center"/>
    </xf>
    <xf numFmtId="1" fontId="8" fillId="3" borderId="61" xfId="3" applyNumberFormat="1" applyFont="1" applyFill="1" applyBorder="1" applyAlignment="1">
      <alignment horizontal="center" vertical="center"/>
    </xf>
    <xf numFmtId="1" fontId="8" fillId="3" borderId="23" xfId="3" applyNumberFormat="1" applyFont="1" applyFill="1" applyBorder="1" applyAlignment="1">
      <alignment horizontal="center" vertical="center"/>
    </xf>
    <xf numFmtId="1" fontId="8" fillId="3" borderId="66" xfId="3" applyNumberFormat="1" applyFont="1" applyFill="1" applyBorder="1" applyAlignment="1">
      <alignment horizontal="center" vertical="center"/>
    </xf>
    <xf numFmtId="1" fontId="8" fillId="3" borderId="21" xfId="3" applyNumberFormat="1" applyFont="1" applyFill="1" applyBorder="1" applyAlignment="1">
      <alignment horizontal="center" vertical="center"/>
    </xf>
    <xf numFmtId="1" fontId="8" fillId="3" borderId="62" xfId="3" applyNumberFormat="1" applyFont="1" applyFill="1" applyBorder="1" applyAlignment="1">
      <alignment horizontal="center" vertical="center"/>
    </xf>
    <xf numFmtId="1" fontId="8" fillId="3" borderId="8" xfId="3" applyNumberFormat="1" applyFont="1" applyFill="1" applyBorder="1" applyAlignment="1">
      <alignment horizontal="center" vertical="center"/>
    </xf>
    <xf numFmtId="1" fontId="8" fillId="3" borderId="61" xfId="6" applyNumberFormat="1" applyFont="1" applyFill="1" applyBorder="1" applyAlignment="1">
      <alignment horizontal="center"/>
    </xf>
    <xf numFmtId="1" fontId="8" fillId="3" borderId="23" xfId="6" applyNumberFormat="1" applyFont="1" applyFill="1" applyBorder="1" applyAlignment="1">
      <alignment horizontal="center"/>
    </xf>
    <xf numFmtId="1" fontId="8" fillId="3" borderId="66" xfId="6" applyNumberFormat="1" applyFont="1" applyFill="1" applyBorder="1" applyAlignment="1">
      <alignment horizontal="center"/>
    </xf>
    <xf numFmtId="1" fontId="8" fillId="3" borderId="1" xfId="6" applyNumberFormat="1" applyFont="1" applyFill="1" applyBorder="1" applyAlignment="1">
      <alignment horizontal="center"/>
    </xf>
    <xf numFmtId="1" fontId="8" fillId="3" borderId="2" xfId="6" applyNumberFormat="1" applyFont="1" applyFill="1" applyBorder="1" applyAlignment="1">
      <alignment horizontal="center"/>
    </xf>
    <xf numFmtId="1" fontId="8" fillId="3" borderId="5" xfId="6" applyNumberFormat="1" applyFont="1" applyFill="1" applyBorder="1" applyAlignment="1">
      <alignment horizontal="center"/>
    </xf>
    <xf numFmtId="1" fontId="8" fillId="3" borderId="8" xfId="6" applyNumberFormat="1" applyFont="1" applyFill="1" applyBorder="1" applyAlignment="1">
      <alignment horizontal="center"/>
    </xf>
    <xf numFmtId="1" fontId="8" fillId="3" borderId="21" xfId="6" applyNumberFormat="1" applyFont="1" applyFill="1" applyBorder="1" applyAlignment="1">
      <alignment horizontal="center"/>
    </xf>
    <xf numFmtId="1" fontId="8" fillId="3" borderId="62" xfId="6" applyNumberFormat="1" applyFont="1" applyFill="1" applyBorder="1" applyAlignment="1">
      <alignment horizontal="center"/>
    </xf>
    <xf numFmtId="9" fontId="7" fillId="3" borderId="2" xfId="3" applyNumberFormat="1" applyFont="1" applyFill="1" applyBorder="1" applyAlignment="1">
      <alignment horizontal="center" vertical="center" wrapText="1"/>
    </xf>
    <xf numFmtId="0" fontId="7" fillId="3" borderId="62" xfId="3" applyFont="1" applyFill="1" applyBorder="1" applyAlignment="1">
      <alignment horizontal="center" vertical="center" wrapText="1"/>
    </xf>
    <xf numFmtId="9" fontId="7" fillId="3" borderId="63" xfId="4" applyFont="1" applyFill="1" applyBorder="1" applyAlignment="1">
      <alignment horizontal="center" vertical="center"/>
    </xf>
    <xf numFmtId="9" fontId="7" fillId="3" borderId="7" xfId="4" applyFont="1" applyFill="1" applyBorder="1" applyAlignment="1">
      <alignment horizontal="center" vertical="center"/>
    </xf>
    <xf numFmtId="168" fontId="21" fillId="2" borderId="2" xfId="3" applyNumberFormat="1" applyFont="1" applyFill="1" applyBorder="1" applyAlignment="1">
      <alignment horizontal="center" vertical="center"/>
    </xf>
    <xf numFmtId="168" fontId="21" fillId="2" borderId="21" xfId="3" applyNumberFormat="1" applyFont="1" applyFill="1" applyBorder="1" applyAlignment="1">
      <alignment horizontal="center" vertical="center"/>
    </xf>
    <xf numFmtId="168" fontId="21" fillId="2" borderId="3" xfId="3" applyNumberFormat="1" applyFont="1" applyFill="1" applyBorder="1" applyAlignment="1">
      <alignment horizontal="center" vertical="center"/>
    </xf>
    <xf numFmtId="10" fontId="21" fillId="2" borderId="2" xfId="4" applyNumberFormat="1" applyFont="1" applyFill="1" applyBorder="1" applyAlignment="1">
      <alignment horizontal="center" vertical="center"/>
    </xf>
    <xf numFmtId="10" fontId="21" fillId="2" borderId="21" xfId="4" applyNumberFormat="1" applyFont="1" applyFill="1" applyBorder="1" applyAlignment="1">
      <alignment horizontal="center" vertical="center"/>
    </xf>
    <xf numFmtId="10" fontId="21" fillId="2" borderId="62" xfId="4" applyNumberFormat="1" applyFont="1" applyFill="1" applyBorder="1" applyAlignment="1">
      <alignment horizontal="center" vertical="center"/>
    </xf>
    <xf numFmtId="9" fontId="21" fillId="2" borderId="2" xfId="3" applyNumberFormat="1" applyFont="1" applyFill="1" applyBorder="1" applyAlignment="1">
      <alignment horizontal="center" vertical="center"/>
    </xf>
    <xf numFmtId="0" fontId="21" fillId="2" borderId="21" xfId="3" applyFont="1" applyFill="1" applyBorder="1" applyAlignment="1">
      <alignment horizontal="center" vertical="center"/>
    </xf>
    <xf numFmtId="0" fontId="21" fillId="2" borderId="3" xfId="3" applyFont="1" applyFill="1" applyBorder="1" applyAlignment="1">
      <alignment horizontal="center" vertical="center"/>
    </xf>
    <xf numFmtId="9" fontId="21" fillId="2" borderId="2" xfId="4" applyFont="1" applyFill="1" applyBorder="1" applyAlignment="1">
      <alignment horizontal="center" vertical="center"/>
    </xf>
    <xf numFmtId="9" fontId="21" fillId="2" borderId="21" xfId="4" applyFont="1" applyFill="1" applyBorder="1" applyAlignment="1">
      <alignment horizontal="center" vertical="center"/>
    </xf>
    <xf numFmtId="9" fontId="21" fillId="2" borderId="62" xfId="4" applyFont="1" applyFill="1" applyBorder="1" applyAlignment="1">
      <alignment horizontal="center" vertical="center"/>
    </xf>
    <xf numFmtId="0" fontId="21" fillId="2" borderId="55" xfId="3" applyFont="1" applyFill="1" applyBorder="1" applyAlignment="1">
      <alignment horizontal="center" vertical="center"/>
    </xf>
    <xf numFmtId="0" fontId="21" fillId="2" borderId="64" xfId="3" applyFont="1" applyFill="1" applyBorder="1" applyAlignment="1">
      <alignment horizontal="center" vertical="center"/>
    </xf>
    <xf numFmtId="0" fontId="21" fillId="2" borderId="7" xfId="3" applyFont="1" applyFill="1" applyBorder="1" applyAlignment="1">
      <alignment horizontal="center" vertical="center"/>
    </xf>
    <xf numFmtId="9" fontId="21" fillId="2" borderId="55" xfId="4" applyNumberFormat="1" applyFont="1" applyFill="1" applyBorder="1" applyAlignment="1">
      <alignment horizontal="center" vertical="center"/>
    </xf>
    <xf numFmtId="9" fontId="21" fillId="2" borderId="64" xfId="4" applyNumberFormat="1" applyFont="1" applyFill="1" applyBorder="1" applyAlignment="1">
      <alignment horizontal="center" vertical="center"/>
    </xf>
    <xf numFmtId="9" fontId="21" fillId="2" borderId="65" xfId="4" applyNumberFormat="1" applyFont="1" applyFill="1" applyBorder="1" applyAlignment="1">
      <alignment horizontal="center" vertical="center"/>
    </xf>
    <xf numFmtId="16" fontId="10" fillId="3" borderId="9" xfId="3" applyNumberFormat="1" applyFont="1" applyFill="1" applyBorder="1" applyAlignment="1">
      <alignment horizontal="center" vertical="center"/>
    </xf>
    <xf numFmtId="9" fontId="10" fillId="3" borderId="10" xfId="3" applyNumberFormat="1" applyFont="1" applyFill="1" applyBorder="1" applyAlignment="1">
      <alignment horizontal="center" vertical="center"/>
    </xf>
    <xf numFmtId="9" fontId="7" fillId="2" borderId="8" xfId="4" applyNumberFormat="1" applyFont="1" applyFill="1" applyBorder="1" applyAlignment="1">
      <alignment horizontal="center" vertical="center"/>
    </xf>
    <xf numFmtId="9" fontId="7" fillId="2" borderId="15" xfId="4" applyFont="1" applyFill="1" applyBorder="1" applyAlignment="1">
      <alignment horizontal="center" vertical="center"/>
    </xf>
    <xf numFmtId="9" fontId="7" fillId="2" borderId="4" xfId="4" applyFont="1" applyFill="1" applyBorder="1" applyAlignment="1">
      <alignment horizontal="center" vertical="center"/>
    </xf>
    <xf numFmtId="1" fontId="8" fillId="2" borderId="61" xfId="4" applyNumberFormat="1" applyFont="1" applyFill="1" applyBorder="1" applyAlignment="1">
      <alignment horizontal="center" vertical="center"/>
    </xf>
    <xf numFmtId="1" fontId="8" fillId="2" borderId="23" xfId="4" applyNumberFormat="1" applyFont="1" applyFill="1" applyBorder="1" applyAlignment="1">
      <alignment horizontal="center" vertical="center"/>
    </xf>
    <xf numFmtId="1" fontId="8" fillId="2" borderId="66" xfId="4" applyNumberFormat="1" applyFont="1" applyFill="1" applyBorder="1" applyAlignment="1">
      <alignment horizontal="center" vertical="center"/>
    </xf>
    <xf numFmtId="1" fontId="8" fillId="2" borderId="35" xfId="3" applyNumberFormat="1" applyFont="1" applyFill="1" applyBorder="1" applyAlignment="1">
      <alignment horizontal="center" vertical="center"/>
    </xf>
    <xf numFmtId="9" fontId="8" fillId="2" borderId="63" xfId="6" applyNumberFormat="1" applyFont="1" applyFill="1" applyBorder="1" applyAlignment="1">
      <alignment horizontal="center" vertical="center"/>
    </xf>
    <xf numFmtId="9" fontId="8" fillId="2" borderId="64" xfId="6" applyNumberFormat="1" applyFont="1" applyFill="1" applyBorder="1" applyAlignment="1">
      <alignment horizontal="center" vertical="center"/>
    </xf>
    <xf numFmtId="9" fontId="8" fillId="2" borderId="65" xfId="6" applyNumberFormat="1" applyFont="1" applyFill="1" applyBorder="1" applyAlignment="1">
      <alignment horizontal="center" vertical="center"/>
    </xf>
    <xf numFmtId="9" fontId="8" fillId="2" borderId="63" xfId="6" applyFont="1" applyFill="1" applyBorder="1" applyAlignment="1">
      <alignment horizontal="center" vertical="center"/>
    </xf>
    <xf numFmtId="9" fontId="8" fillId="2" borderId="64" xfId="6" applyFont="1" applyFill="1" applyBorder="1" applyAlignment="1">
      <alignment horizontal="center" vertical="center"/>
    </xf>
    <xf numFmtId="9" fontId="8" fillId="2" borderId="65" xfId="6" applyFont="1" applyFill="1" applyBorder="1" applyAlignment="1">
      <alignment horizontal="center" vertical="center"/>
    </xf>
    <xf numFmtId="9" fontId="8" fillId="2" borderId="7" xfId="6" applyFont="1" applyFill="1" applyBorder="1" applyAlignment="1">
      <alignment horizontal="center" vertical="center"/>
    </xf>
    <xf numFmtId="1" fontId="8" fillId="2" borderId="26" xfId="6" applyNumberFormat="1" applyFont="1" applyFill="1" applyBorder="1" applyAlignment="1">
      <alignment horizontal="center" vertical="center"/>
    </xf>
    <xf numFmtId="1" fontId="8" fillId="2" borderId="28" xfId="6" applyNumberFormat="1" applyFont="1" applyFill="1" applyBorder="1" applyAlignment="1">
      <alignment horizontal="center" vertical="center"/>
    </xf>
    <xf numFmtId="1" fontId="8" fillId="2" borderId="60" xfId="6" applyNumberFormat="1" applyFont="1" applyFill="1" applyBorder="1" applyAlignment="1">
      <alignment horizontal="center" vertical="center"/>
    </xf>
    <xf numFmtId="1" fontId="8" fillId="2" borderId="3" xfId="6" applyNumberFormat="1" applyFont="1" applyFill="1" applyBorder="1" applyAlignment="1">
      <alignment horizontal="center" vertical="center"/>
    </xf>
    <xf numFmtId="1" fontId="8" fillId="2" borderId="1" xfId="6" applyNumberFormat="1" applyFont="1" applyFill="1" applyBorder="1" applyAlignment="1">
      <alignment horizontal="center" vertical="center"/>
    </xf>
    <xf numFmtId="1" fontId="8" fillId="2" borderId="2" xfId="6" applyNumberFormat="1" applyFont="1" applyFill="1" applyBorder="1" applyAlignment="1">
      <alignment horizontal="center" vertical="center"/>
    </xf>
    <xf numFmtId="1" fontId="8" fillId="2" borderId="8" xfId="6" applyNumberFormat="1" applyFont="1" applyFill="1" applyBorder="1" applyAlignment="1">
      <alignment horizontal="center" vertical="center"/>
    </xf>
    <xf numFmtId="1" fontId="8" fillId="2" borderId="21" xfId="6" applyNumberFormat="1" applyFont="1" applyFill="1" applyBorder="1" applyAlignment="1">
      <alignment horizontal="center" vertical="center"/>
    </xf>
    <xf numFmtId="1" fontId="8" fillId="2" borderId="62" xfId="6" applyNumberFormat="1" applyFont="1" applyFill="1" applyBorder="1" applyAlignment="1">
      <alignment horizontal="center" vertical="center"/>
    </xf>
    <xf numFmtId="1" fontId="8" fillId="2" borderId="3" xfId="3" applyNumberFormat="1" applyFont="1" applyFill="1" applyBorder="1" applyAlignment="1">
      <alignment horizontal="center" vertical="center"/>
    </xf>
    <xf numFmtId="168" fontId="10" fillId="2" borderId="47" xfId="3" applyNumberFormat="1" applyFont="1" applyFill="1" applyBorder="1" applyAlignment="1">
      <alignment vertical="center" wrapText="1"/>
    </xf>
    <xf numFmtId="1" fontId="8" fillId="2" borderId="8" xfId="3" applyNumberFormat="1" applyFont="1" applyFill="1" applyBorder="1" applyAlignment="1">
      <alignment horizontal="center"/>
    </xf>
    <xf numFmtId="1" fontId="8" fillId="2" borderId="21" xfId="3" applyNumberFormat="1" applyFont="1" applyFill="1" applyBorder="1" applyAlignment="1">
      <alignment horizontal="center"/>
    </xf>
    <xf numFmtId="1" fontId="8" fillId="2" borderId="62" xfId="3" applyNumberFormat="1" applyFont="1" applyFill="1" applyBorder="1" applyAlignment="1">
      <alignment horizontal="center"/>
    </xf>
    <xf numFmtId="1" fontId="8" fillId="2" borderId="1" xfId="6" applyNumberFormat="1" applyFont="1" applyFill="1" applyBorder="1" applyAlignment="1">
      <alignment horizontal="center"/>
    </xf>
    <xf numFmtId="1" fontId="7" fillId="2" borderId="8" xfId="3" applyNumberFormat="1" applyFont="1" applyFill="1" applyBorder="1" applyAlignment="1">
      <alignment horizontal="center" vertical="center"/>
    </xf>
    <xf numFmtId="1" fontId="7" fillId="2" borderId="21" xfId="3" applyNumberFormat="1" applyFont="1" applyFill="1" applyBorder="1" applyAlignment="1">
      <alignment horizontal="center" vertical="center"/>
    </xf>
    <xf numFmtId="1" fontId="7" fillId="2" borderId="62" xfId="3" applyNumberFormat="1" applyFont="1" applyFill="1" applyBorder="1" applyAlignment="1">
      <alignment horizontal="center" vertical="center"/>
    </xf>
    <xf numFmtId="1" fontId="7" fillId="2" borderId="1" xfId="3" applyNumberFormat="1" applyFont="1" applyFill="1" applyBorder="1" applyAlignment="1">
      <alignment horizontal="center" vertical="center"/>
    </xf>
    <xf numFmtId="9" fontId="8" fillId="2" borderId="43" xfId="6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6" fillId="0" borderId="30" xfId="3" applyFont="1" applyBorder="1" applyAlignment="1">
      <alignment vertical="center" wrapText="1"/>
    </xf>
    <xf numFmtId="0" fontId="6" fillId="0" borderId="0" xfId="3" applyFont="1" applyBorder="1" applyAlignment="1">
      <alignment vertical="center" wrapText="1"/>
    </xf>
    <xf numFmtId="0" fontId="6" fillId="0" borderId="40" xfId="3" applyFont="1" applyBorder="1" applyAlignment="1">
      <alignment vertical="center" wrapText="1"/>
    </xf>
    <xf numFmtId="0" fontId="6" fillId="0" borderId="53" xfId="3" applyFont="1" applyBorder="1" applyAlignment="1">
      <alignment vertical="center" wrapText="1"/>
    </xf>
    <xf numFmtId="0" fontId="6" fillId="0" borderId="54" xfId="3" applyFont="1" applyBorder="1" applyAlignment="1">
      <alignment vertical="center" wrapText="1"/>
    </xf>
    <xf numFmtId="0" fontId="2" fillId="0" borderId="0" xfId="3" applyFont="1"/>
    <xf numFmtId="0" fontId="11" fillId="0" borderId="39" xfId="3" applyFont="1" applyBorder="1" applyAlignment="1">
      <alignment horizontal="left"/>
    </xf>
    <xf numFmtId="1" fontId="7" fillId="3" borderId="11" xfId="3" applyNumberFormat="1" applyFont="1" applyFill="1" applyBorder="1" applyAlignment="1">
      <alignment horizontal="center" vertical="center" wrapText="1"/>
    </xf>
    <xf numFmtId="0" fontId="7" fillId="3" borderId="11" xfId="3" applyFont="1" applyFill="1" applyBorder="1" applyAlignment="1">
      <alignment horizontal="center" vertical="center" wrapText="1"/>
    </xf>
    <xf numFmtId="1" fontId="7" fillId="3" borderId="12" xfId="3" applyNumberFormat="1" applyFont="1" applyFill="1" applyBorder="1" applyAlignment="1">
      <alignment horizontal="center" vertical="center" wrapText="1"/>
    </xf>
    <xf numFmtId="1" fontId="7" fillId="3" borderId="66" xfId="3" applyNumberFormat="1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/>
    </xf>
    <xf numFmtId="0" fontId="7" fillId="3" borderId="2" xfId="3" applyFont="1" applyFill="1" applyBorder="1" applyAlignment="1">
      <alignment horizontal="center" vertical="center"/>
    </xf>
    <xf numFmtId="0" fontId="7" fillId="3" borderId="62" xfId="3" applyFont="1" applyFill="1" applyBorder="1" applyAlignment="1">
      <alignment horizontal="center" vertical="center"/>
    </xf>
    <xf numFmtId="0" fontId="7" fillId="3" borderId="5" xfId="3" applyFont="1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8" fillId="0" borderId="5" xfId="3" applyFont="1" applyBorder="1" applyAlignment="1">
      <alignment horizontal="center"/>
    </xf>
    <xf numFmtId="0" fontId="8" fillId="0" borderId="47" xfId="3" applyFont="1" applyBorder="1" applyAlignment="1">
      <alignment horizontal="center"/>
    </xf>
    <xf numFmtId="0" fontId="2" fillId="0" borderId="0" xfId="3" applyFont="1" applyBorder="1"/>
    <xf numFmtId="0" fontId="22" fillId="0" borderId="0" xfId="3" applyFont="1" applyBorder="1"/>
    <xf numFmtId="0" fontId="7" fillId="3" borderId="2" xfId="3" applyFont="1" applyFill="1" applyBorder="1" applyAlignment="1">
      <alignment horizontal="center" vertical="center" wrapText="1"/>
    </xf>
    <xf numFmtId="0" fontId="7" fillId="3" borderId="21" xfId="3" applyFont="1" applyFill="1" applyBorder="1" applyAlignment="1">
      <alignment horizontal="center" vertical="center" wrapText="1"/>
    </xf>
    <xf numFmtId="1" fontId="7" fillId="2" borderId="2" xfId="3" applyNumberFormat="1" applyFont="1" applyFill="1" applyBorder="1" applyAlignment="1">
      <alignment horizontal="center" vertical="center" wrapText="1"/>
    </xf>
    <xf numFmtId="0" fontId="7" fillId="2" borderId="21" xfId="3" applyFont="1" applyFill="1" applyBorder="1" applyAlignment="1">
      <alignment horizontal="center" vertical="center" wrapText="1"/>
    </xf>
    <xf numFmtId="0" fontId="7" fillId="2" borderId="62" xfId="3" applyFont="1" applyFill="1" applyBorder="1" applyAlignment="1">
      <alignment horizontal="center" vertical="center" wrapText="1"/>
    </xf>
    <xf numFmtId="1" fontId="8" fillId="2" borderId="25" xfId="3" applyNumberFormat="1" applyFont="1" applyFill="1" applyBorder="1" applyAlignment="1">
      <alignment horizontal="center" vertical="center"/>
    </xf>
    <xf numFmtId="9" fontId="8" fillId="0" borderId="2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vertical="center" wrapText="1"/>
    </xf>
    <xf numFmtId="1" fontId="6" fillId="0" borderId="1" xfId="3" applyNumberFormat="1" applyFont="1" applyBorder="1" applyAlignment="1">
      <alignment vertical="center" wrapText="1"/>
    </xf>
    <xf numFmtId="9" fontId="6" fillId="0" borderId="67" xfId="6" applyFont="1" applyBorder="1" applyAlignment="1">
      <alignment horizontal="left" vertical="center" wrapText="1"/>
    </xf>
    <xf numFmtId="9" fontId="6" fillId="0" borderId="22" xfId="6" applyFont="1" applyBorder="1" applyAlignment="1">
      <alignment horizontal="left" vertical="center" wrapText="1"/>
    </xf>
    <xf numFmtId="9" fontId="6" fillId="0" borderId="45" xfId="6" applyFont="1" applyBorder="1" applyAlignment="1">
      <alignment horizontal="left" vertical="center" wrapText="1"/>
    </xf>
    <xf numFmtId="9" fontId="6" fillId="0" borderId="19" xfId="6" applyFont="1" applyBorder="1" applyAlignment="1">
      <alignment horizontal="left" vertical="center" wrapText="1"/>
    </xf>
    <xf numFmtId="9" fontId="6" fillId="0" borderId="53" xfId="6" applyFont="1" applyBorder="1" applyAlignment="1">
      <alignment horizontal="left" vertical="center" wrapText="1"/>
    </xf>
    <xf numFmtId="9" fontId="6" fillId="0" borderId="54" xfId="6" applyFont="1" applyBorder="1" applyAlignment="1">
      <alignment horizontal="left" vertical="center" wrapText="1"/>
    </xf>
    <xf numFmtId="9" fontId="6" fillId="0" borderId="1" xfId="3" applyNumberFormat="1" applyFont="1" applyBorder="1" applyAlignment="1">
      <alignment vertical="center" wrapText="1"/>
    </xf>
    <xf numFmtId="0" fontId="7" fillId="2" borderId="2" xfId="3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/>
    </xf>
    <xf numFmtId="0" fontId="7" fillId="2" borderId="21" xfId="3" applyFont="1" applyFill="1" applyBorder="1" applyAlignment="1">
      <alignment horizontal="center" vertical="center"/>
    </xf>
    <xf numFmtId="0" fontId="7" fillId="2" borderId="62" xfId="3" applyFont="1" applyFill="1" applyBorder="1" applyAlignment="1">
      <alignment horizontal="center" vertical="center"/>
    </xf>
    <xf numFmtId="9" fontId="8" fillId="2" borderId="6" xfId="3" applyNumberFormat="1" applyFont="1" applyFill="1" applyBorder="1" applyAlignment="1">
      <alignment horizontal="center"/>
    </xf>
    <xf numFmtId="9" fontId="8" fillId="2" borderId="46" xfId="3" applyNumberFormat="1" applyFont="1" applyFill="1" applyBorder="1" applyAlignment="1">
      <alignment horizontal="center"/>
    </xf>
    <xf numFmtId="9" fontId="8" fillId="2" borderId="47" xfId="3" applyNumberFormat="1" applyFont="1" applyFill="1" applyBorder="1" applyAlignment="1">
      <alignment horizontal="center"/>
    </xf>
    <xf numFmtId="9" fontId="8" fillId="2" borderId="5" xfId="3" applyNumberFormat="1" applyFont="1" applyFill="1" applyBorder="1" applyAlignment="1">
      <alignment horizontal="center"/>
    </xf>
    <xf numFmtId="9" fontId="3" fillId="2" borderId="2" xfId="3" applyNumberFormat="1" applyFont="1" applyFill="1" applyBorder="1" applyAlignment="1">
      <alignment horizontal="center" vertical="center"/>
    </xf>
    <xf numFmtId="0" fontId="3" fillId="2" borderId="21" xfId="3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9" fontId="3" fillId="2" borderId="1" xfId="3" applyNumberFormat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5" xfId="3" applyFont="1" applyFill="1" applyBorder="1" applyAlignment="1">
      <alignment horizontal="center" vertical="center"/>
    </xf>
    <xf numFmtId="9" fontId="3" fillId="2" borderId="46" xfId="3" applyNumberFormat="1" applyFont="1" applyFill="1" applyBorder="1" applyAlignment="1">
      <alignment horizontal="center" vertical="center"/>
    </xf>
    <xf numFmtId="0" fontId="3" fillId="2" borderId="46" xfId="3" applyFont="1" applyFill="1" applyBorder="1" applyAlignment="1">
      <alignment horizontal="center" vertical="center"/>
    </xf>
    <xf numFmtId="0" fontId="3" fillId="2" borderId="47" xfId="3" applyFont="1" applyFill="1" applyBorder="1" applyAlignment="1">
      <alignment horizontal="center" vertical="center"/>
    </xf>
    <xf numFmtId="0" fontId="11" fillId="0" borderId="0" xfId="3" applyFont="1" applyFill="1" applyBorder="1" applyAlignment="1">
      <alignment horizontal="center"/>
    </xf>
    <xf numFmtId="0" fontId="11" fillId="0" borderId="0" xfId="3" applyFont="1" applyBorder="1" applyAlignment="1">
      <alignment horizontal="center"/>
    </xf>
  </cellXfs>
  <cellStyles count="13">
    <cellStyle name="Normal" xfId="0" builtinId="0"/>
    <cellStyle name="Normal 10" xfId="10"/>
    <cellStyle name="Normal 2" xfId="3"/>
    <cellStyle name="Normal 2 2" xfId="11"/>
    <cellStyle name="Normal 3" xfId="1"/>
    <cellStyle name="Normal 3 2" xfId="8"/>
    <cellStyle name="Normal 3 3" xfId="9"/>
    <cellStyle name="Normal 4" xfId="5"/>
    <cellStyle name="Normal 5" xfId="12"/>
    <cellStyle name="Percent" xfId="4" builtinId="5"/>
    <cellStyle name="Percent 2" xfId="2"/>
    <cellStyle name="Percent 2 2" xfId="6"/>
    <cellStyle name="標準_Sheet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60;\VEPL%20data\AK-12-06-17\04.CT100%20Group\Documents%20and%20Settings\sds_1046\Local%20Settings\Temporary%20Internet%20Files\Content.Outlook\5VFQE3W0\Documents%20and%20Settings\press\Desktop\Jagdamba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jay\My%20Documents\QS9000\C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2005_Auto\10811-2005%20Honda%20CSM\3_Analysis\Template\1_AfterSales\2005%20D-CSI%20Honda%20REGIONAL%20TEMPLATE%2012%20jun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G-TNS\2004%20International\Honda%20International\Presentation\Asian%20Honda%20CSS%20DLR%20Presentation%20Prep%2028-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G-TNS\2005\International\2005%20Honda%20SSI\2005%20Honda%20SSI%20Korea\2005%20Honda%20D-SSI%20Korea%20Template%2014-11-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gcl06\my%20documents\&#22770;&#19978;&#38306;&#36899;\&#36554;WH&#22770;&#19978;\&#35211;&#36234;&#25163;&#37197;&#22770;&#19978;&#23455;&#32318;&#65420;&#65387;&#65435;&#65392;&#24037;&#25968;&#25512;&#3122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0658ae35\d%20drive\WINNT\Profiles\eaoffice\Desktop\sms02-03\DLO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726&#12539;728&#20986;&#22259;&#31649;&#29702;\726&#36554;&#20001;&#37096;&#21697;&#20986;&#22259;&#31649;&#29702;\726MISS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-server\&#29983;&#29987;&#25216;&#34899;&#35506;\HOEI\E.&#20316;&#26989;&#26085;&#35468;\&#29790;&#31298;214W_2&#65288;&#27425;&#19990;&#20195;&#12496;&#12531;&#65289;\&#22238;&#36335;&#12487;&#12540;&#1247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60;\VEPL%20data\AK-12-06-17\04.CT100%20Group\Documents%20and%20Settings\sds_1046\Local%20Settings\Temporary%20Internet%20Files\Content.Outlook\5VFQE3W0\Reports%20toMD\R.Bajaj%20report%20to%20MD\Cons.monthly%20report%20for%20R.Bajaj\SPROCT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gcl06\my%20documents\&#35069;&#21697;&#27531;\&#21361;&#38522;&#22312;&#24235;\2000&#24180;&#24230;\200101&#26411;&#22312;&#24235;&#12481;&#12455;&#12483;&#12463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0658ae35\d%20drive\WINNTNEW\Profiles\skd\Desktop\3ANGchk2sFEB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G-TNS\2005\International\2005%20Honda%20CSI%20-%20New\2005%20Honda%20CSI%20Korea\2005%20D-CSI%20Honda%20Korea%20TEMPLATE%201-12-0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G-TNS\2005\International\2005%20Honda%20CSI%20-%20New\2005%20Honda%20CSI%20India\PhilippineFactorStructur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-server\&#29983;&#29987;&#25216;&#34899;&#35506;\HOEI\E.&#20316;&#26989;&#26085;&#35468;\&#29790;&#31298;214W_2&#65288;&#27425;&#19990;&#20195;&#12496;&#12531;&#65289;\&#37096;&#21697;&#12487;&#12540;&#1247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2269;&#20869;&#21517;&#31807;&#65411;&#65438;&#65392;&#6540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0658ae35\d%20drive\TEMP\IMPROVEMENT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60;\VEPL%20data\AK-12-06-17\04.CT100%20Group\Documents%20and%20Settings\sds_1046\Local%20Settings\Temporary%20Internet%20Files\Content.Outlook\5VFQE3W0\Reports%20toMD\R.Bajaj%20report%20to%20MD\Cons.monthly%20report%20for%20R.Bajaj\JAN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quality\Documents%20and%20Settings\press\Desktop\Jagdamba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Desktop\G_TOYOTA(&#26032;)\G_343W\ST\&#27161;&#28310;&#24037;&#25968;&#34920;&#35079;&#21697;&#29992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G-TNS\2005\International\2005%20Honda%20CSI\2005%20Honda%20CSI%20%20FINAL%20CUBE%20&amp;%20TEMPLATE\Asian%20Honda%20CSS%20DLR%20rep%2029-05%20(combined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-server\&#29983;&#29987;&#25216;&#34899;&#35506;\HOEI\E.&#20316;&#26989;&#26085;&#35468;\&#29790;&#31298;214W_2&#65288;&#27425;&#19990;&#20195;&#12496;&#12531;&#65289;\&#35914;&#33521;OI-005-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-server\&#29983;&#29987;&#25216;&#34899;&#35506;\HOEI\E.&#20316;&#26989;&#26085;&#35468;\&#29790;&#31298;214W_2&#65288;&#27425;&#19990;&#20195;&#12496;&#12531;&#65289;\&#38651;&#32218;&#31471;&#23376;&#26842;&#12487;&#12540;&#1247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y-jag"/>
      <sheetName val="occ-jag"/>
      <sheetName val="Sheet1"/>
      <sheetName val="Sheet1 (2)"/>
      <sheetName val="Sheet1 (3)"/>
      <sheetName val="Sheet1 (4)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Sheet2"/>
      <sheetName val="Sheet1 (5)"/>
    </sheetNames>
    <sheetDataSet>
      <sheetData sheetId="0"/>
      <sheetData sheetId="1"/>
      <sheetData sheetId="2">
        <row r="2">
          <cell r="A2" t="str">
            <v>30300014611</v>
          </cell>
          <cell r="B2" t="str">
            <v>AK01</v>
          </cell>
          <cell r="C2" t="str">
            <v>DH101080</v>
          </cell>
          <cell r="D2" t="str">
            <v>GEAR - 3RD :- DRIVE</v>
          </cell>
          <cell r="E2" t="str">
            <v>DFCE Excess</v>
          </cell>
          <cell r="F2" t="str">
            <v/>
          </cell>
          <cell r="G2" t="str">
            <v>02</v>
          </cell>
          <cell r="H2" t="str">
            <v>Vendor Claim</v>
          </cell>
          <cell r="I2" t="str">
            <v>102079</v>
          </cell>
          <cell r="J2" t="str">
            <v>JAGADAMBA AUTO-COMPONENTS LIMITED</v>
          </cell>
          <cell r="K2" t="str">
            <v>MF1</v>
          </cell>
          <cell r="L2">
            <v>38448</v>
          </cell>
          <cell r="M2">
            <v>9</v>
          </cell>
        </row>
        <row r="3">
          <cell r="A3" t="str">
            <v>30300014611</v>
          </cell>
          <cell r="B3" t="str">
            <v>AK01</v>
          </cell>
          <cell r="C3" t="str">
            <v>DH101113</v>
          </cell>
          <cell r="D3" t="str">
            <v>GEAR - 5TH :- DRIVEN</v>
          </cell>
          <cell r="E3" t="str">
            <v>DFCE Excess</v>
          </cell>
          <cell r="F3" t="str">
            <v/>
          </cell>
          <cell r="G3" t="str">
            <v>02</v>
          </cell>
          <cell r="H3" t="str">
            <v>Vendor Claim</v>
          </cell>
          <cell r="I3" t="str">
            <v>102079</v>
          </cell>
          <cell r="J3" t="str">
            <v>JAGADAMBA AUTO-COMPONENTS LIMITED</v>
          </cell>
          <cell r="K3" t="str">
            <v>MF1</v>
          </cell>
          <cell r="L3">
            <v>38448</v>
          </cell>
          <cell r="M3">
            <v>23</v>
          </cell>
        </row>
        <row r="4">
          <cell r="A4" t="str">
            <v>30300014672</v>
          </cell>
          <cell r="B4" t="str">
            <v>AK01</v>
          </cell>
          <cell r="C4" t="str">
            <v>52DS0009</v>
          </cell>
          <cell r="D4" t="str">
            <v>SEMIFINISH GEAR 1ST DRIVEN</v>
          </cell>
          <cell r="E4" t="str">
            <v>Not OK</v>
          </cell>
          <cell r="F4" t="str">
            <v>TEETH PRIFILE HOBBING ROUGH</v>
          </cell>
          <cell r="G4" t="str">
            <v>02</v>
          </cell>
          <cell r="H4" t="str">
            <v>Vendor Claim</v>
          </cell>
          <cell r="I4" t="str">
            <v>102079</v>
          </cell>
          <cell r="J4" t="str">
            <v>JAGADAMBA AUTO-COMPONENTS LIMITED</v>
          </cell>
          <cell r="K4" t="str">
            <v>MF1</v>
          </cell>
          <cell r="L4">
            <v>38453</v>
          </cell>
          <cell r="M4">
            <v>28</v>
          </cell>
        </row>
        <row r="5">
          <cell r="A5" t="str">
            <v>30300014672</v>
          </cell>
          <cell r="B5" t="str">
            <v>AK01</v>
          </cell>
          <cell r="C5" t="str">
            <v>DH101080</v>
          </cell>
          <cell r="D5" t="str">
            <v>GEAR - 3RD :- DRIVE</v>
          </cell>
          <cell r="E5" t="str">
            <v>Not OK</v>
          </cell>
          <cell r="F5" t="str">
            <v>DFCE EXCESS,FACE OUT</v>
          </cell>
          <cell r="G5" t="str">
            <v>02</v>
          </cell>
          <cell r="H5" t="str">
            <v>Vendor Claim</v>
          </cell>
          <cell r="I5" t="str">
            <v>102079</v>
          </cell>
          <cell r="J5" t="str">
            <v>JAGADAMBA AUTO-COMPONENTS LIMITED</v>
          </cell>
          <cell r="K5" t="str">
            <v>MF1</v>
          </cell>
          <cell r="L5">
            <v>38453</v>
          </cell>
          <cell r="M5">
            <v>26</v>
          </cell>
        </row>
        <row r="6">
          <cell r="A6" t="str">
            <v>30300014672</v>
          </cell>
          <cell r="B6" t="str">
            <v>AK01</v>
          </cell>
          <cell r="C6" t="str">
            <v>DH101084</v>
          </cell>
          <cell r="D6" t="str">
            <v>GEAR - 2ND :- DRIVE</v>
          </cell>
          <cell r="E6" t="str">
            <v>DFCE Excess</v>
          </cell>
          <cell r="F6" t="str">
            <v/>
          </cell>
          <cell r="G6" t="str">
            <v>02</v>
          </cell>
          <cell r="H6" t="str">
            <v>Vendor Claim</v>
          </cell>
          <cell r="I6" t="str">
            <v>102079</v>
          </cell>
          <cell r="J6" t="str">
            <v>JAGADAMBA AUTO-COMPONENTS LIMITED</v>
          </cell>
          <cell r="K6" t="str">
            <v>MF1</v>
          </cell>
          <cell r="L6">
            <v>38453</v>
          </cell>
          <cell r="M6">
            <v>6</v>
          </cell>
        </row>
        <row r="7">
          <cell r="A7" t="str">
            <v>30300014672</v>
          </cell>
          <cell r="B7" t="str">
            <v>AK01</v>
          </cell>
          <cell r="C7" t="str">
            <v>DH101113</v>
          </cell>
          <cell r="D7" t="str">
            <v>GEAR - 5TH :- DRIVEN</v>
          </cell>
          <cell r="E7" t="str">
            <v>DFCE Excess</v>
          </cell>
          <cell r="F7" t="str">
            <v>DFCE EXCESS,GR.STEP,SCORING</v>
          </cell>
          <cell r="G7" t="str">
            <v>02</v>
          </cell>
          <cell r="H7" t="str">
            <v>Vendor Claim</v>
          </cell>
          <cell r="I7" t="str">
            <v>102079</v>
          </cell>
          <cell r="J7" t="str">
            <v>JAGADAMBA AUTO-COMPONENTS LIMITED</v>
          </cell>
          <cell r="K7" t="str">
            <v>MF1</v>
          </cell>
          <cell r="L7">
            <v>38453</v>
          </cell>
          <cell r="M7">
            <v>23</v>
          </cell>
        </row>
        <row r="8">
          <cell r="A8" t="str">
            <v>30300014730</v>
          </cell>
          <cell r="B8" t="str">
            <v>AK01</v>
          </cell>
          <cell r="C8" t="str">
            <v>52DH5082</v>
          </cell>
          <cell r="D8" t="str">
            <v>Gear 5th drive after HT</v>
          </cell>
          <cell r="E8" t="str">
            <v>DFCE Excess</v>
          </cell>
          <cell r="F8" t="str">
            <v>FLICKER</v>
          </cell>
          <cell r="G8" t="str">
            <v>02</v>
          </cell>
          <cell r="H8" t="str">
            <v>Vendor Claim</v>
          </cell>
          <cell r="I8" t="str">
            <v>102079</v>
          </cell>
          <cell r="J8" t="str">
            <v>JAGADAMBA AUTO-COMPONENTS LIMITED</v>
          </cell>
          <cell r="K8" t="str">
            <v>MF1</v>
          </cell>
          <cell r="L8">
            <v>38455</v>
          </cell>
          <cell r="M8">
            <v>22</v>
          </cell>
        </row>
        <row r="9">
          <cell r="A9" t="str">
            <v>30300014731</v>
          </cell>
          <cell r="B9" t="str">
            <v>AK01</v>
          </cell>
          <cell r="C9" t="str">
            <v>52DH0093</v>
          </cell>
          <cell r="D9" t="str">
            <v>SF:GEAR STARTER CLU</v>
          </cell>
          <cell r="E9" t="str">
            <v>Oversize</v>
          </cell>
          <cell r="F9" t="str">
            <v>CW O/S</v>
          </cell>
          <cell r="G9" t="str">
            <v>02</v>
          </cell>
          <cell r="H9" t="str">
            <v>Vendor Claim</v>
          </cell>
          <cell r="I9" t="str">
            <v>102079</v>
          </cell>
          <cell r="J9" t="str">
            <v>JAGADAMBA AUTO-COMPONENTS LIMITED</v>
          </cell>
          <cell r="K9" t="str">
            <v>MF1</v>
          </cell>
          <cell r="L9">
            <v>38455</v>
          </cell>
          <cell r="M9">
            <v>61</v>
          </cell>
        </row>
        <row r="10">
          <cell r="A10" t="str">
            <v>30300014733</v>
          </cell>
          <cell r="B10" t="str">
            <v>AK01</v>
          </cell>
          <cell r="C10" t="str">
            <v>52DH0161</v>
          </cell>
          <cell r="D10" t="str">
            <v>SF:GEAR STARTER COUNTER  DH101472</v>
          </cell>
          <cell r="E10" t="str">
            <v>Misc.</v>
          </cell>
          <cell r="F10" t="str">
            <v>OD CUT</v>
          </cell>
          <cell r="G10" t="str">
            <v>02</v>
          </cell>
          <cell r="H10" t="str">
            <v>Vendor Claim</v>
          </cell>
          <cell r="I10" t="str">
            <v>102079</v>
          </cell>
          <cell r="J10" t="str">
            <v>JAGADAMBA AUTO-COMPONENTS LIMITED</v>
          </cell>
          <cell r="K10" t="str">
            <v>MF1</v>
          </cell>
          <cell r="L10">
            <v>38455</v>
          </cell>
          <cell r="M10">
            <v>80</v>
          </cell>
        </row>
        <row r="11">
          <cell r="A11" t="str">
            <v>30300014734</v>
          </cell>
          <cell r="B11" t="str">
            <v>AK01</v>
          </cell>
          <cell r="C11" t="str">
            <v>52DS0011</v>
          </cell>
          <cell r="D11" t="str">
            <v>SF OF GEAR 3RD DRIVEN</v>
          </cell>
          <cell r="E11" t="str">
            <v>DFCE Excess</v>
          </cell>
          <cell r="F11" t="str">
            <v>FLICKER</v>
          </cell>
          <cell r="G11" t="str">
            <v>02</v>
          </cell>
          <cell r="H11" t="str">
            <v>Vendor Claim</v>
          </cell>
          <cell r="I11" t="str">
            <v>102079</v>
          </cell>
          <cell r="J11" t="str">
            <v>JAGADAMBA AUTO-COMPONENTS LIMITED</v>
          </cell>
          <cell r="K11" t="str">
            <v>MF1</v>
          </cell>
          <cell r="L11">
            <v>38455</v>
          </cell>
          <cell r="M11">
            <v>39</v>
          </cell>
        </row>
        <row r="12">
          <cell r="A12" t="str">
            <v>30300014735</v>
          </cell>
          <cell r="B12" t="str">
            <v>AK01</v>
          </cell>
          <cell r="C12" t="str">
            <v>52DS0010</v>
          </cell>
          <cell r="D12" t="str">
            <v>SF GEAR 3RD DRIVE</v>
          </cell>
          <cell r="E12" t="str">
            <v>DFCE Excess</v>
          </cell>
          <cell r="F12" t="str">
            <v/>
          </cell>
          <cell r="G12" t="str">
            <v>02</v>
          </cell>
          <cell r="H12" t="str">
            <v>Vendor Claim</v>
          </cell>
          <cell r="I12" t="str">
            <v>102079</v>
          </cell>
          <cell r="J12" t="str">
            <v>JAGADAMBA AUTO-COMPONENTS LIMITED</v>
          </cell>
          <cell r="K12" t="str">
            <v>MF1</v>
          </cell>
          <cell r="L12">
            <v>38455</v>
          </cell>
          <cell r="M12">
            <v>9</v>
          </cell>
        </row>
        <row r="13">
          <cell r="A13" t="str">
            <v>30300014737</v>
          </cell>
          <cell r="B13" t="str">
            <v>AK01</v>
          </cell>
          <cell r="C13" t="str">
            <v>52DS0005</v>
          </cell>
          <cell r="D13" t="str">
            <v>SF GEAR 4TH DRIVE</v>
          </cell>
          <cell r="E13" t="str">
            <v>DFCE Excess</v>
          </cell>
          <cell r="F13" t="str">
            <v/>
          </cell>
          <cell r="G13" t="str">
            <v>02</v>
          </cell>
          <cell r="H13" t="str">
            <v>Vendor Claim</v>
          </cell>
          <cell r="I13" t="str">
            <v>102079</v>
          </cell>
          <cell r="J13" t="str">
            <v>JAGADAMBA AUTO-COMPONENTS LIMITED</v>
          </cell>
          <cell r="K13" t="str">
            <v>MF1</v>
          </cell>
          <cell r="L13">
            <v>38455</v>
          </cell>
          <cell r="M13">
            <v>6</v>
          </cell>
        </row>
        <row r="14">
          <cell r="A14" t="str">
            <v>30300014802</v>
          </cell>
          <cell r="B14" t="str">
            <v>AK01</v>
          </cell>
          <cell r="C14" t="str">
            <v>DH101080</v>
          </cell>
          <cell r="D14" t="str">
            <v>GEAR - 3RD :- DRIVE</v>
          </cell>
          <cell r="E14" t="str">
            <v>DFCE Excess</v>
          </cell>
          <cell r="F14" t="str">
            <v/>
          </cell>
          <cell r="G14" t="str">
            <v>02</v>
          </cell>
          <cell r="H14" t="str">
            <v>Vendor Claim</v>
          </cell>
          <cell r="I14" t="str">
            <v>102079</v>
          </cell>
          <cell r="J14" t="str">
            <v>JAGADAMBA AUTO-COMPONENTS LIMITED</v>
          </cell>
          <cell r="K14" t="str">
            <v>MF1</v>
          </cell>
          <cell r="L14">
            <v>38460</v>
          </cell>
          <cell r="M14">
            <v>4</v>
          </cell>
        </row>
        <row r="15">
          <cell r="A15" t="str">
            <v>30300014802</v>
          </cell>
          <cell r="B15" t="str">
            <v>AK01</v>
          </cell>
          <cell r="C15" t="str">
            <v>DH101110</v>
          </cell>
          <cell r="D15" t="str">
            <v>GEAR - 4TH :- DRIVEN</v>
          </cell>
          <cell r="E15" t="str">
            <v>DFCE Excess</v>
          </cell>
          <cell r="F15" t="str">
            <v/>
          </cell>
          <cell r="G15" t="str">
            <v>02</v>
          </cell>
          <cell r="H15" t="str">
            <v>Vendor Claim</v>
          </cell>
          <cell r="I15" t="str">
            <v>102079</v>
          </cell>
          <cell r="J15" t="str">
            <v>JAGADAMBA AUTO-COMPONENTS LIMITED</v>
          </cell>
          <cell r="K15" t="str">
            <v>MF1</v>
          </cell>
          <cell r="L15">
            <v>38460</v>
          </cell>
          <cell r="M15">
            <v>3</v>
          </cell>
        </row>
        <row r="16">
          <cell r="A16" t="str">
            <v>30300014802</v>
          </cell>
          <cell r="B16" t="str">
            <v>AK01</v>
          </cell>
          <cell r="C16" t="str">
            <v>DH101113</v>
          </cell>
          <cell r="D16" t="str">
            <v>GEAR - 5TH :- DRIVEN</v>
          </cell>
          <cell r="E16" t="str">
            <v>DFCE Excess</v>
          </cell>
          <cell r="F16" t="str">
            <v/>
          </cell>
          <cell r="G16" t="str">
            <v>02</v>
          </cell>
          <cell r="H16" t="str">
            <v>Vendor Claim</v>
          </cell>
          <cell r="I16" t="str">
            <v>102079</v>
          </cell>
          <cell r="J16" t="str">
            <v>JAGADAMBA AUTO-COMPONENTS LIMITED</v>
          </cell>
          <cell r="K16" t="str">
            <v>MF1</v>
          </cell>
          <cell r="L16">
            <v>38460</v>
          </cell>
          <cell r="M16">
            <v>36</v>
          </cell>
        </row>
        <row r="17">
          <cell r="A17" t="str">
            <v>30300014901</v>
          </cell>
          <cell r="B17" t="str">
            <v>AK01</v>
          </cell>
          <cell r="C17" t="str">
            <v>52DH0161</v>
          </cell>
          <cell r="D17" t="str">
            <v>SF:GEAR STARTER COUNTER  DH101472</v>
          </cell>
          <cell r="E17" t="str">
            <v>Dents</v>
          </cell>
          <cell r="F17" t="str">
            <v/>
          </cell>
          <cell r="G17" t="str">
            <v>02</v>
          </cell>
          <cell r="H17" t="str">
            <v>Vendor Claim</v>
          </cell>
          <cell r="I17" t="str">
            <v>102079</v>
          </cell>
          <cell r="J17" t="str">
            <v>JAGADAMBA AUTO-COMPONENTS LIMITED</v>
          </cell>
          <cell r="K17" t="str">
            <v>MF1</v>
          </cell>
          <cell r="L17">
            <v>38465</v>
          </cell>
          <cell r="M17">
            <v>30</v>
          </cell>
        </row>
        <row r="18">
          <cell r="A18" t="str">
            <v>30300014902</v>
          </cell>
          <cell r="B18" t="str">
            <v>AK01</v>
          </cell>
          <cell r="C18" t="str">
            <v>52DH0093</v>
          </cell>
          <cell r="D18" t="str">
            <v>SF:GEAR STARTER CLU</v>
          </cell>
          <cell r="E18" t="str">
            <v>Improper Teeth</v>
          </cell>
          <cell r="F18" t="str">
            <v>C/W O/S &amp; U/S</v>
          </cell>
          <cell r="G18" t="str">
            <v>02</v>
          </cell>
          <cell r="H18" t="str">
            <v>Vendor Claim</v>
          </cell>
          <cell r="I18" t="str">
            <v>102079</v>
          </cell>
          <cell r="J18" t="str">
            <v>JAGADAMBA AUTO-COMPONENTS LIMITED</v>
          </cell>
          <cell r="K18" t="str">
            <v>MF1</v>
          </cell>
          <cell r="L18">
            <v>38465</v>
          </cell>
          <cell r="M18">
            <v>4</v>
          </cell>
        </row>
        <row r="19">
          <cell r="A19" t="str">
            <v>30300014903</v>
          </cell>
          <cell r="B19" t="str">
            <v>AK01</v>
          </cell>
          <cell r="C19" t="str">
            <v>52DH5082</v>
          </cell>
          <cell r="D19" t="str">
            <v>Gear 5th drive after HT</v>
          </cell>
          <cell r="E19" t="str">
            <v>DFCE Excess</v>
          </cell>
          <cell r="F19" t="str">
            <v>FLICKER</v>
          </cell>
          <cell r="G19" t="str">
            <v>02</v>
          </cell>
          <cell r="H19" t="str">
            <v>Vendor Claim</v>
          </cell>
          <cell r="I19" t="str">
            <v>102079</v>
          </cell>
          <cell r="J19" t="str">
            <v>JAGADAMBA AUTO-COMPONENTS LIMITED</v>
          </cell>
          <cell r="K19" t="str">
            <v>MF1</v>
          </cell>
          <cell r="L19">
            <v>38465</v>
          </cell>
          <cell r="M19">
            <v>4</v>
          </cell>
        </row>
        <row r="20">
          <cell r="A20" t="str">
            <v>30300014906</v>
          </cell>
          <cell r="B20" t="str">
            <v>AK01</v>
          </cell>
          <cell r="C20" t="str">
            <v>52DS0012</v>
          </cell>
          <cell r="D20" t="str">
            <v>SF OF GEAR 4TH DRIVEN</v>
          </cell>
          <cell r="E20" t="str">
            <v>DFCE Excess</v>
          </cell>
          <cell r="F20" t="str">
            <v/>
          </cell>
          <cell r="G20" t="str">
            <v>02</v>
          </cell>
          <cell r="H20" t="str">
            <v>Vendor Claim</v>
          </cell>
          <cell r="I20" t="str">
            <v>102079</v>
          </cell>
          <cell r="J20" t="str">
            <v>JAGADAMBA AUTO-COMPONENTS LIMITED</v>
          </cell>
          <cell r="K20" t="str">
            <v>MF1</v>
          </cell>
          <cell r="L20">
            <v>38465</v>
          </cell>
          <cell r="M20">
            <v>22</v>
          </cell>
        </row>
        <row r="21">
          <cell r="A21" t="str">
            <v>30300014907</v>
          </cell>
          <cell r="B21" t="str">
            <v>AK01</v>
          </cell>
          <cell r="C21" t="str">
            <v>52DS0005</v>
          </cell>
          <cell r="D21" t="str">
            <v>SF GEAR 4TH DRIVE</v>
          </cell>
          <cell r="E21" t="str">
            <v>DFCE Excess</v>
          </cell>
          <cell r="F21" t="str">
            <v>FLICKER</v>
          </cell>
          <cell r="G21" t="str">
            <v>02</v>
          </cell>
          <cell r="H21" t="str">
            <v>Vendor Claim</v>
          </cell>
          <cell r="I21" t="str">
            <v>102079</v>
          </cell>
          <cell r="J21" t="str">
            <v>JAGADAMBA AUTO-COMPONENTS LIMITED</v>
          </cell>
          <cell r="K21" t="str">
            <v>MF1</v>
          </cell>
          <cell r="L21">
            <v>38465</v>
          </cell>
          <cell r="M21">
            <v>13</v>
          </cell>
        </row>
        <row r="22">
          <cell r="A22" t="str">
            <v>30300014908</v>
          </cell>
          <cell r="B22" t="str">
            <v>AK01</v>
          </cell>
          <cell r="C22" t="str">
            <v>52DS0010</v>
          </cell>
          <cell r="D22" t="str">
            <v>SF GEAR 3RD DRIVE</v>
          </cell>
          <cell r="E22" t="str">
            <v>DFCE Excess</v>
          </cell>
          <cell r="F22" t="str">
            <v/>
          </cell>
          <cell r="G22" t="str">
            <v>02</v>
          </cell>
          <cell r="H22" t="str">
            <v>Vendor Claim</v>
          </cell>
          <cell r="I22" t="str">
            <v>102079</v>
          </cell>
          <cell r="J22" t="str">
            <v>JAGADAMBA AUTO-COMPONENTS LIMITED</v>
          </cell>
          <cell r="K22" t="str">
            <v>MF1</v>
          </cell>
          <cell r="L22">
            <v>38465</v>
          </cell>
          <cell r="M22">
            <v>8</v>
          </cell>
        </row>
        <row r="23">
          <cell r="A23" t="str">
            <v>30300014909</v>
          </cell>
          <cell r="B23" t="str">
            <v>AK01</v>
          </cell>
          <cell r="C23" t="str">
            <v>52DS0011</v>
          </cell>
          <cell r="D23" t="str">
            <v>SF OF GEAR 3RD DRIVEN</v>
          </cell>
          <cell r="E23" t="str">
            <v>DFCE Excess</v>
          </cell>
          <cell r="F23" t="str">
            <v>FLICKER</v>
          </cell>
          <cell r="G23" t="str">
            <v>02</v>
          </cell>
          <cell r="H23" t="str">
            <v>Vendor Claim</v>
          </cell>
          <cell r="I23" t="str">
            <v>102079</v>
          </cell>
          <cell r="J23" t="str">
            <v>JAGADAMBA AUTO-COMPONENTS LIMITED</v>
          </cell>
          <cell r="K23" t="str">
            <v>MF1</v>
          </cell>
          <cell r="L23">
            <v>38465</v>
          </cell>
          <cell r="M23">
            <v>16</v>
          </cell>
        </row>
        <row r="24">
          <cell r="A24" t="str">
            <v>30300014936</v>
          </cell>
          <cell r="B24" t="str">
            <v>AK01</v>
          </cell>
          <cell r="C24" t="str">
            <v>DH101113</v>
          </cell>
          <cell r="D24" t="str">
            <v>GEAR - 5TH :- DRIVEN</v>
          </cell>
          <cell r="E24" t="str">
            <v>DFCE Excess</v>
          </cell>
          <cell r="F24" t="str">
            <v>GROOVE STEP,U/S. DFCE.</v>
          </cell>
          <cell r="G24" t="str">
            <v>02</v>
          </cell>
          <cell r="H24" t="str">
            <v>Vendor Claim</v>
          </cell>
          <cell r="I24" t="str">
            <v>102079</v>
          </cell>
          <cell r="J24" t="str">
            <v>JAGADAMBA AUTO-COMPONENTS LIMITED</v>
          </cell>
          <cell r="K24" t="str">
            <v>MF1</v>
          </cell>
          <cell r="L24">
            <v>38468</v>
          </cell>
          <cell r="M24">
            <v>88</v>
          </cell>
        </row>
        <row r="25">
          <cell r="A25" t="str">
            <v>30300014977</v>
          </cell>
          <cell r="B25" t="str">
            <v>AK01</v>
          </cell>
          <cell r="C25" t="str">
            <v>DH101080</v>
          </cell>
          <cell r="D25" t="str">
            <v>GEAR - 3RD :- DRIVE</v>
          </cell>
          <cell r="E25" t="str">
            <v>Improper Machining</v>
          </cell>
          <cell r="F25" t="str">
            <v>FACE OUT</v>
          </cell>
          <cell r="G25" t="str">
            <v>02</v>
          </cell>
          <cell r="H25" t="str">
            <v>Vendor Claim</v>
          </cell>
          <cell r="I25" t="str">
            <v>102079</v>
          </cell>
          <cell r="J25" t="str">
            <v>JAGADAMBA AUTO-COMPONENTS LIMITED</v>
          </cell>
          <cell r="K25" t="str">
            <v>MF1</v>
          </cell>
          <cell r="L25">
            <v>38470</v>
          </cell>
          <cell r="M25">
            <v>10</v>
          </cell>
        </row>
        <row r="26">
          <cell r="A26" t="str">
            <v>30500021271</v>
          </cell>
          <cell r="B26" t="str">
            <v>WA01</v>
          </cell>
          <cell r="C26" t="str">
            <v>52310099</v>
          </cell>
          <cell r="D26" t="str">
            <v>SEMIFINISHED PART FOR GEAR TRANSMISSION</v>
          </cell>
          <cell r="E26" t="str">
            <v>JERKY-ROLLING</v>
          </cell>
          <cell r="F26" t="str">
            <v>DENT.</v>
          </cell>
          <cell r="G26" t="str">
            <v>02</v>
          </cell>
          <cell r="H26" t="str">
            <v>Vendor Claim</v>
          </cell>
          <cell r="I26" t="str">
            <v>102079</v>
          </cell>
          <cell r="J26" t="str">
            <v>JAGADAMBA AUTO-COMPONENTS LIMITED</v>
          </cell>
          <cell r="K26" t="str">
            <v>MF1</v>
          </cell>
          <cell r="L26">
            <v>38447</v>
          </cell>
          <cell r="M26">
            <v>94</v>
          </cell>
        </row>
        <row r="27">
          <cell r="A27" t="str">
            <v>30500021271</v>
          </cell>
          <cell r="B27" t="str">
            <v>WA01</v>
          </cell>
          <cell r="C27" t="str">
            <v>DU101037</v>
          </cell>
          <cell r="D27" t="str">
            <v>GEAR 4TH OUTPUT</v>
          </cell>
          <cell r="E27" t="str">
            <v>NOT OK</v>
          </cell>
          <cell r="F27" t="str">
            <v>SPLINE BRO</v>
          </cell>
          <cell r="G27" t="str">
            <v>02</v>
          </cell>
          <cell r="H27" t="str">
            <v>Vendor Claim</v>
          </cell>
          <cell r="I27" t="str">
            <v>102079</v>
          </cell>
          <cell r="J27" t="str">
            <v>JAGADAMBA AUTO-COMPONENTS LIMITED</v>
          </cell>
          <cell r="K27" t="str">
            <v>MF3</v>
          </cell>
          <cell r="L27">
            <v>38447</v>
          </cell>
          <cell r="M27">
            <v>10</v>
          </cell>
        </row>
        <row r="28">
          <cell r="A28" t="str">
            <v>30500021271</v>
          </cell>
          <cell r="B28" t="str">
            <v>WA01</v>
          </cell>
          <cell r="C28" t="str">
            <v>DU101053</v>
          </cell>
          <cell r="D28" t="str">
            <v>GEAR TRANSMI SPUR</v>
          </cell>
          <cell r="E28" t="str">
            <v>NOT OK</v>
          </cell>
          <cell r="F28" t="str">
            <v>SPLINE BRO</v>
          </cell>
          <cell r="G28" t="str">
            <v>02</v>
          </cell>
          <cell r="H28" t="str">
            <v>Vendor Claim</v>
          </cell>
          <cell r="I28" t="str">
            <v>102079</v>
          </cell>
          <cell r="J28" t="str">
            <v>JAGADAMBA AUTO-COMPONENTS LIMITED</v>
          </cell>
          <cell r="K28" t="str">
            <v>MF3</v>
          </cell>
          <cell r="L28">
            <v>38447</v>
          </cell>
          <cell r="M28">
            <v>6</v>
          </cell>
        </row>
        <row r="29">
          <cell r="A29" t="str">
            <v>30500021435</v>
          </cell>
          <cell r="B29" t="str">
            <v>WA01</v>
          </cell>
          <cell r="C29" t="str">
            <v>52310099</v>
          </cell>
          <cell r="D29" t="str">
            <v>SEMIFINISHED PART FOR GEAR TRANSMISSION</v>
          </cell>
          <cell r="E29" t="str">
            <v>JERKY-ROLLING</v>
          </cell>
          <cell r="F29" t="str">
            <v>JERKY ROLL</v>
          </cell>
          <cell r="G29" t="str">
            <v>02</v>
          </cell>
          <cell r="H29" t="str">
            <v>Vendor Claim</v>
          </cell>
          <cell r="I29" t="str">
            <v>102079</v>
          </cell>
          <cell r="J29" t="str">
            <v>JAGADAMBA AUTO-COMPONENTS LIMITED</v>
          </cell>
          <cell r="K29" t="str">
            <v>MF1</v>
          </cell>
          <cell r="L29">
            <v>38453</v>
          </cell>
          <cell r="M29">
            <v>11</v>
          </cell>
        </row>
        <row r="30">
          <cell r="A30" t="str">
            <v>30500021435</v>
          </cell>
          <cell r="B30" t="str">
            <v>WA01</v>
          </cell>
          <cell r="C30" t="str">
            <v>52310099</v>
          </cell>
          <cell r="D30" t="str">
            <v>SEMIFINISHED PART FOR GEAR TRANSMISSION</v>
          </cell>
          <cell r="E30" t="str">
            <v>NOT OK</v>
          </cell>
          <cell r="F30" t="str">
            <v>DENTS.</v>
          </cell>
          <cell r="G30" t="str">
            <v>02</v>
          </cell>
          <cell r="H30" t="str">
            <v>Vendor Claim</v>
          </cell>
          <cell r="I30" t="str">
            <v>102079</v>
          </cell>
          <cell r="J30" t="str">
            <v>JAGADAMBA AUTO-COMPONENTS LIMITED</v>
          </cell>
          <cell r="K30" t="str">
            <v>MF1</v>
          </cell>
          <cell r="L30">
            <v>38453</v>
          </cell>
          <cell r="M30">
            <v>23</v>
          </cell>
        </row>
        <row r="31">
          <cell r="A31" t="str">
            <v>30500022289</v>
          </cell>
          <cell r="B31" t="str">
            <v>WA01</v>
          </cell>
          <cell r="C31" t="str">
            <v>52310099</v>
          </cell>
          <cell r="D31" t="str">
            <v>SEMIFINISHED PART FOR GEAR TRANSMISSION</v>
          </cell>
          <cell r="E31" t="str">
            <v>JERKY-ROLLING</v>
          </cell>
          <cell r="F31" t="str">
            <v/>
          </cell>
          <cell r="G31" t="str">
            <v>02</v>
          </cell>
          <cell r="H31" t="str">
            <v>Vendor Claim</v>
          </cell>
          <cell r="I31" t="str">
            <v>102079</v>
          </cell>
          <cell r="J31" t="str">
            <v>JAGADAMBA AUTO-COMPONENTS LIMITED</v>
          </cell>
          <cell r="K31" t="str">
            <v>MF1</v>
          </cell>
          <cell r="L31">
            <v>38471</v>
          </cell>
          <cell r="M31">
            <v>26</v>
          </cell>
        </row>
        <row r="32">
          <cell r="A32" t="str">
            <v>30500022289</v>
          </cell>
          <cell r="B32" t="str">
            <v>WA01</v>
          </cell>
          <cell r="C32" t="str">
            <v>52310099</v>
          </cell>
          <cell r="D32" t="str">
            <v>SEMIFINISHED PART FOR GEAR TRANSMISSION</v>
          </cell>
          <cell r="E32" t="str">
            <v>DENTS</v>
          </cell>
          <cell r="F32" t="str">
            <v/>
          </cell>
          <cell r="G32" t="str">
            <v>02</v>
          </cell>
          <cell r="H32" t="str">
            <v>Vendor Claim</v>
          </cell>
          <cell r="I32" t="str">
            <v>102079</v>
          </cell>
          <cell r="J32" t="str">
            <v>JAGADAMBA AUTO-COMPONENTS LIMITED</v>
          </cell>
          <cell r="K32" t="str">
            <v>MF1</v>
          </cell>
          <cell r="L32">
            <v>38471</v>
          </cell>
          <cell r="M32">
            <v>25</v>
          </cell>
        </row>
        <row r="33">
          <cell r="A33" t="str">
            <v>30500022290</v>
          </cell>
          <cell r="B33" t="str">
            <v>WA01</v>
          </cell>
          <cell r="C33" t="str">
            <v>DU101053</v>
          </cell>
          <cell r="D33" t="str">
            <v>GEAR TRANSMI SPUR</v>
          </cell>
          <cell r="E33" t="str">
            <v>INCOMPLETE MACHINING</v>
          </cell>
          <cell r="F33" t="str">
            <v>OLD JOB</v>
          </cell>
          <cell r="G33" t="str">
            <v>02</v>
          </cell>
          <cell r="H33" t="str">
            <v>Vendor Claim</v>
          </cell>
          <cell r="I33" t="str">
            <v>102079</v>
          </cell>
          <cell r="J33" t="str">
            <v>JAGADAMBA AUTO-COMPONENTS LIMITED</v>
          </cell>
          <cell r="K33" t="str">
            <v>MF3</v>
          </cell>
          <cell r="L33">
            <v>38471</v>
          </cell>
          <cell r="M33">
            <v>6</v>
          </cell>
        </row>
        <row r="34">
          <cell r="A34" t="str">
            <v>30500022290</v>
          </cell>
          <cell r="B34" t="str">
            <v>WA01</v>
          </cell>
          <cell r="C34" t="str">
            <v>DU101053</v>
          </cell>
          <cell r="D34" t="str">
            <v>GEAR TRANSMI SPUR</v>
          </cell>
          <cell r="E34" t="str">
            <v>DAMAGE</v>
          </cell>
          <cell r="F34" t="str">
            <v>BROCHING</v>
          </cell>
          <cell r="G34" t="str">
            <v>02</v>
          </cell>
          <cell r="H34" t="str">
            <v>Vendor Claim</v>
          </cell>
          <cell r="I34" t="str">
            <v>102079</v>
          </cell>
          <cell r="J34" t="str">
            <v>JAGADAMBA AUTO-COMPONENTS LIMITED</v>
          </cell>
          <cell r="K34" t="str">
            <v>MF3</v>
          </cell>
          <cell r="L34">
            <v>38471</v>
          </cell>
          <cell r="M34">
            <v>4</v>
          </cell>
        </row>
        <row r="35">
          <cell r="A35" t="str">
            <v>30500022290</v>
          </cell>
          <cell r="B35" t="str">
            <v>WA01</v>
          </cell>
          <cell r="C35" t="str">
            <v>DU101053</v>
          </cell>
          <cell r="D35" t="str">
            <v>GEAR TRANSMI SPUR</v>
          </cell>
          <cell r="E35" t="str">
            <v>RUSTY</v>
          </cell>
          <cell r="F35" t="str">
            <v/>
          </cell>
          <cell r="G35" t="str">
            <v>02</v>
          </cell>
          <cell r="H35" t="str">
            <v>Vendor Claim</v>
          </cell>
          <cell r="I35" t="str">
            <v>102079</v>
          </cell>
          <cell r="J35" t="str">
            <v>JAGADAMBA AUTO-COMPONENTS LIMITED</v>
          </cell>
          <cell r="K35" t="str">
            <v>MF3</v>
          </cell>
          <cell r="L35">
            <v>38471</v>
          </cell>
          <cell r="M35">
            <v>19</v>
          </cell>
        </row>
        <row r="36">
          <cell r="A36" t="str">
            <v>30500022290</v>
          </cell>
          <cell r="B36" t="str">
            <v>WA01</v>
          </cell>
          <cell r="C36" t="str">
            <v>DU101053</v>
          </cell>
          <cell r="D36" t="str">
            <v>GEAR TRANSMI SPUR</v>
          </cell>
          <cell r="E36" t="str">
            <v>DAMAGE</v>
          </cell>
          <cell r="F36" t="str">
            <v>DENT</v>
          </cell>
          <cell r="G36" t="str">
            <v>02</v>
          </cell>
          <cell r="H36" t="str">
            <v>Vendor Claim</v>
          </cell>
          <cell r="I36" t="str">
            <v>102079</v>
          </cell>
          <cell r="J36" t="str">
            <v>JAGADAMBA AUTO-COMPONENTS LIMITED</v>
          </cell>
          <cell r="K36" t="str">
            <v>MF3</v>
          </cell>
          <cell r="L36">
            <v>38471</v>
          </cell>
          <cell r="M36">
            <v>2</v>
          </cell>
        </row>
        <row r="37">
          <cell r="A37" t="str">
            <v>30500022291</v>
          </cell>
          <cell r="B37" t="str">
            <v>WA01</v>
          </cell>
          <cell r="C37" t="str">
            <v>DU101037</v>
          </cell>
          <cell r="D37" t="str">
            <v>GEAR 4TH OUTPUT</v>
          </cell>
          <cell r="E37" t="str">
            <v>UNDERSIZE</v>
          </cell>
          <cell r="F37" t="str">
            <v>GROOVE U/S</v>
          </cell>
          <cell r="G37" t="str">
            <v>02</v>
          </cell>
          <cell r="H37" t="str">
            <v>Vendor Claim</v>
          </cell>
          <cell r="I37" t="str">
            <v>102079</v>
          </cell>
          <cell r="J37" t="str">
            <v>JAGADAMBA AUTO-COMPONENTS LIMITED</v>
          </cell>
          <cell r="K37" t="str">
            <v>MF3</v>
          </cell>
          <cell r="L37">
            <v>38471</v>
          </cell>
          <cell r="M37">
            <v>4</v>
          </cell>
        </row>
        <row r="38">
          <cell r="A38" t="str">
            <v>30500022291</v>
          </cell>
          <cell r="B38" t="str">
            <v>WA01</v>
          </cell>
          <cell r="C38" t="str">
            <v>DU101037</v>
          </cell>
          <cell r="D38" t="str">
            <v>GEAR 4TH OUTPUT</v>
          </cell>
          <cell r="E38" t="str">
            <v>LUG BEND</v>
          </cell>
          <cell r="F38" t="str">
            <v>LUG BEND</v>
          </cell>
          <cell r="G38" t="str">
            <v>02</v>
          </cell>
          <cell r="H38" t="str">
            <v>Vendor Claim</v>
          </cell>
          <cell r="I38" t="str">
            <v>102079</v>
          </cell>
          <cell r="J38" t="str">
            <v>JAGADAMBA AUTO-COMPONENTS LIMITED</v>
          </cell>
          <cell r="K38" t="str">
            <v>MF3</v>
          </cell>
          <cell r="L38">
            <v>38471</v>
          </cell>
          <cell r="M38">
            <v>6</v>
          </cell>
        </row>
        <row r="39">
          <cell r="A39" t="str">
            <v>30500022291</v>
          </cell>
          <cell r="B39" t="str">
            <v>WA01</v>
          </cell>
          <cell r="C39" t="str">
            <v>DU101037</v>
          </cell>
          <cell r="D39" t="str">
            <v>GEAR 4TH OUTPUT</v>
          </cell>
          <cell r="E39" t="str">
            <v>DAMAGE</v>
          </cell>
          <cell r="F39" t="str">
            <v>BROCHING</v>
          </cell>
          <cell r="G39" t="str">
            <v>02</v>
          </cell>
          <cell r="H39" t="str">
            <v>Vendor Claim</v>
          </cell>
          <cell r="I39" t="str">
            <v>102079</v>
          </cell>
          <cell r="J39" t="str">
            <v>JAGADAMBA AUTO-COMPONENTS LIMITED</v>
          </cell>
          <cell r="K39" t="str">
            <v>MF3</v>
          </cell>
          <cell r="L39">
            <v>38471</v>
          </cell>
          <cell r="M39">
            <v>7</v>
          </cell>
        </row>
        <row r="40">
          <cell r="A40" t="str">
            <v>30500022291</v>
          </cell>
          <cell r="B40" t="str">
            <v>WA01</v>
          </cell>
          <cell r="C40" t="str">
            <v>DU101037</v>
          </cell>
          <cell r="D40" t="str">
            <v>GEAR 4TH OUTPUT</v>
          </cell>
          <cell r="E40" t="str">
            <v>RUSTY</v>
          </cell>
          <cell r="F40" t="str">
            <v/>
          </cell>
          <cell r="G40" t="str">
            <v>02</v>
          </cell>
          <cell r="H40" t="str">
            <v>Vendor Claim</v>
          </cell>
          <cell r="I40" t="str">
            <v>102079</v>
          </cell>
          <cell r="J40" t="str">
            <v>JAGADAMBA AUTO-COMPONENTS LIMITED</v>
          </cell>
          <cell r="K40" t="str">
            <v>MF3</v>
          </cell>
          <cell r="L40">
            <v>38471</v>
          </cell>
          <cell r="M40">
            <v>21</v>
          </cell>
        </row>
        <row r="41">
          <cell r="A41" t="str">
            <v>30500022292</v>
          </cell>
          <cell r="B41" t="str">
            <v>WA01</v>
          </cell>
          <cell r="C41" t="str">
            <v>52DP0005</v>
          </cell>
          <cell r="D41" t="str">
            <v>SEMIFINISH DRAWING FOR GEAR TRANSMISSION</v>
          </cell>
          <cell r="E41" t="str">
            <v>UNDERSIZE</v>
          </cell>
          <cell r="F41" t="str">
            <v>GROOVE U/S</v>
          </cell>
          <cell r="G41" t="str">
            <v>02</v>
          </cell>
          <cell r="H41" t="str">
            <v>Vendor Claim</v>
          </cell>
          <cell r="I41" t="str">
            <v>102079</v>
          </cell>
          <cell r="J41" t="str">
            <v>JAGADAMBA AUTO-COMPONENTS LIMITED</v>
          </cell>
          <cell r="K41" t="str">
            <v>MF1</v>
          </cell>
          <cell r="L41">
            <v>38471</v>
          </cell>
          <cell r="M41">
            <v>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.WT.-HMSI"/>
      <sheetName val="FW-F8D-26-230101"/>
      <sheetName val="C. CHART-blank"/>
      <sheetName val="O.C.-CD100"/>
      <sheetName val="CD-LP-28"/>
      <sheetName val="SPC-BLANK"/>
      <sheetName val="SPC-BLANK (2)"/>
      <sheetName val="SPC-OC"/>
      <sheetName val="C. CHART-F.W.-P3R"/>
      <sheetName val="C. CHART-L.P.-P40"/>
      <sheetName val="C. CHART-O.C.-CD100"/>
      <sheetName val="C. CHART-L.P.-CD100"/>
      <sheetName val="L.P.-CD100"/>
      <sheetName val="O.C.-GBG"/>
      <sheetName val="CC-80"/>
      <sheetName val="CC-50"/>
      <sheetName val="CC-30"/>
      <sheetName val="CD-OC-21"/>
      <sheetName val="FW-HSCI(RICO-XX)"/>
      <sheetName val="FW-HSCI (RICO-YY)"/>
      <sheetName val="FW-HSCI (FRL-XX)"/>
      <sheetName val="FW-HSCI (FRL-YY)"/>
      <sheetName val="SPC_OC"/>
      <sheetName val="FACT.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FCC RICO LIMITED GURGAON</v>
          </cell>
        </row>
        <row r="2">
          <cell r="H2" t="str">
            <v xml:space="preserve">                      _</v>
          </cell>
        </row>
        <row r="3">
          <cell r="H3" t="str">
            <v xml:space="preserve">                      X &amp; R CHART</v>
          </cell>
        </row>
        <row r="4">
          <cell r="N4" t="str">
            <v/>
          </cell>
        </row>
        <row r="5">
          <cell r="D5" t="str">
            <v>PART NAME:</v>
          </cell>
          <cell r="F5" t="str">
            <v>O.CL.</v>
          </cell>
          <cell r="I5" t="str">
            <v>PART NO.:</v>
          </cell>
          <cell r="J5" t="str">
            <v/>
          </cell>
          <cell r="M5" t="str">
            <v>DATE:</v>
          </cell>
          <cell r="N5" t="str">
            <v>31.08.1999</v>
          </cell>
        </row>
        <row r="6"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  <cell r="P6" t="str">
            <v>-</v>
          </cell>
          <cell r="Q6" t="str">
            <v/>
          </cell>
        </row>
        <row r="7">
          <cell r="A7" t="str">
            <v>:</v>
          </cell>
          <cell r="B7" t="str">
            <v>ENGG.SPEC.:</v>
          </cell>
          <cell r="E7" t="str">
            <v/>
          </cell>
          <cell r="F7" t="str">
            <v>21.0 / + 0.031  +0.010</v>
          </cell>
          <cell r="I7" t="str">
            <v xml:space="preserve">    M/C :</v>
          </cell>
          <cell r="J7" t="str">
            <v>CNC</v>
          </cell>
          <cell r="K7" t="str">
            <v>:OPERATION:</v>
          </cell>
          <cell r="L7">
            <v>10</v>
          </cell>
          <cell r="M7" t="str">
            <v xml:space="preserve">        :</v>
          </cell>
          <cell r="N7" t="str">
            <v>SAMPLE SIZE FRQY.:</v>
          </cell>
          <cell r="P7" t="str">
            <v>CONT. 30 NOS.</v>
          </cell>
          <cell r="Q7" t="str">
            <v>:</v>
          </cell>
        </row>
        <row r="8">
          <cell r="A8" t="str">
            <v>:</v>
          </cell>
          <cell r="B8" t="str">
            <v>-</v>
          </cell>
          <cell r="C8" t="str">
            <v>-</v>
          </cell>
          <cell r="D8" t="str">
            <v>-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-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:</v>
          </cell>
        </row>
        <row r="9">
          <cell r="A9" t="str">
            <v>:</v>
          </cell>
          <cell r="B9" t="str">
            <v xml:space="preserve">   DATE/TIME</v>
          </cell>
          <cell r="E9" t="str">
            <v>:</v>
          </cell>
          <cell r="F9">
            <v>1</v>
          </cell>
          <cell r="G9">
            <v>2</v>
          </cell>
          <cell r="H9">
            <v>3</v>
          </cell>
          <cell r="I9">
            <v>4</v>
          </cell>
          <cell r="J9">
            <v>5</v>
          </cell>
          <cell r="K9">
            <v>6</v>
          </cell>
          <cell r="L9">
            <v>7</v>
          </cell>
          <cell r="M9">
            <v>8</v>
          </cell>
          <cell r="N9">
            <v>9</v>
          </cell>
          <cell r="O9">
            <v>10</v>
          </cell>
          <cell r="Q9" t="str">
            <v>:</v>
          </cell>
        </row>
        <row r="10">
          <cell r="A10" t="str">
            <v>:</v>
          </cell>
          <cell r="B10" t="str">
            <v>-</v>
          </cell>
          <cell r="C10" t="str">
            <v>-</v>
          </cell>
          <cell r="D10" t="str">
            <v>-</v>
          </cell>
          <cell r="E10" t="str">
            <v>-</v>
          </cell>
          <cell r="F10" t="str">
            <v>-</v>
          </cell>
          <cell r="G10" t="str">
            <v>-</v>
          </cell>
          <cell r="H10" t="str">
            <v>-</v>
          </cell>
          <cell r="I10" t="str">
            <v>-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  <cell r="P10" t="str">
            <v>-</v>
          </cell>
          <cell r="Q10" t="str">
            <v>:</v>
          </cell>
        </row>
        <row r="11">
          <cell r="A11" t="str">
            <v>:</v>
          </cell>
          <cell r="B11" t="str">
            <v>R</v>
          </cell>
          <cell r="C11" t="str">
            <v>:</v>
          </cell>
          <cell r="D11" t="str">
            <v>1</v>
          </cell>
          <cell r="E11" t="str">
            <v>:</v>
          </cell>
          <cell r="F11">
            <v>21.015000000000001</v>
          </cell>
          <cell r="G11">
            <v>21.018000000000001</v>
          </cell>
          <cell r="H11">
            <v>21.02</v>
          </cell>
          <cell r="I11">
            <v>21.018000000000001</v>
          </cell>
          <cell r="J11">
            <v>21.018999999999998</v>
          </cell>
          <cell r="K11">
            <v>21.02</v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>:</v>
          </cell>
        </row>
        <row r="12">
          <cell r="A12" t="str">
            <v>:</v>
          </cell>
          <cell r="B12" t="str">
            <v>A</v>
          </cell>
          <cell r="C12" t="str">
            <v>:</v>
          </cell>
          <cell r="D12" t="str">
            <v>2</v>
          </cell>
          <cell r="E12" t="str">
            <v>:</v>
          </cell>
          <cell r="F12">
            <v>21.015999999999998</v>
          </cell>
          <cell r="G12">
            <v>21.016999999999999</v>
          </cell>
          <cell r="H12">
            <v>21.018000000000001</v>
          </cell>
          <cell r="I12">
            <v>21.018999999999998</v>
          </cell>
          <cell r="J12">
            <v>21.02</v>
          </cell>
          <cell r="K12">
            <v>21.021000000000001</v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>:</v>
          </cell>
        </row>
        <row r="13">
          <cell r="A13" t="str">
            <v>:</v>
          </cell>
          <cell r="B13" t="str">
            <v>I</v>
          </cell>
          <cell r="C13" t="str">
            <v>:</v>
          </cell>
          <cell r="D13" t="str">
            <v>3</v>
          </cell>
          <cell r="E13" t="str">
            <v>:</v>
          </cell>
          <cell r="F13">
            <v>21.015000000000001</v>
          </cell>
          <cell r="G13">
            <v>21.018000000000001</v>
          </cell>
          <cell r="H13">
            <v>21.016999999999999</v>
          </cell>
          <cell r="I13">
            <v>21.018000000000001</v>
          </cell>
          <cell r="J13">
            <v>21.018999999999998</v>
          </cell>
          <cell r="K13">
            <v>21.021000000000001</v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>:</v>
          </cell>
        </row>
        <row r="14">
          <cell r="A14" t="str">
            <v>:</v>
          </cell>
          <cell r="B14" t="str">
            <v>G</v>
          </cell>
          <cell r="C14" t="str">
            <v>:</v>
          </cell>
          <cell r="D14" t="str">
            <v>4</v>
          </cell>
          <cell r="E14" t="str">
            <v/>
          </cell>
          <cell r="F14">
            <v>21.016999999999999</v>
          </cell>
          <cell r="G14">
            <v>21.018000000000001</v>
          </cell>
          <cell r="H14">
            <v>21.018999999999998</v>
          </cell>
          <cell r="I14">
            <v>21.015999999999998</v>
          </cell>
          <cell r="J14">
            <v>21.018000000000001</v>
          </cell>
          <cell r="K14">
            <v>21.02</v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Q14" t="str">
            <v>:</v>
          </cell>
        </row>
        <row r="15">
          <cell r="A15" t="str">
            <v>:</v>
          </cell>
          <cell r="B15" t="str">
            <v/>
          </cell>
          <cell r="C15" t="str">
            <v>:</v>
          </cell>
          <cell r="D15" t="str">
            <v>5</v>
          </cell>
          <cell r="E15" t="str">
            <v>:</v>
          </cell>
          <cell r="F15">
            <v>21.018000000000001</v>
          </cell>
          <cell r="G15">
            <v>21.018999999999998</v>
          </cell>
          <cell r="H15">
            <v>21.02</v>
          </cell>
          <cell r="I15">
            <v>21.02</v>
          </cell>
          <cell r="J15">
            <v>21.02</v>
          </cell>
          <cell r="K15">
            <v>21.018000000000001</v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>:</v>
          </cell>
        </row>
        <row r="16">
          <cell r="A16" t="str">
            <v>:</v>
          </cell>
          <cell r="B16" t="str">
            <v>-</v>
          </cell>
          <cell r="C16" t="str">
            <v>-</v>
          </cell>
          <cell r="D16" t="str">
            <v>-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:</v>
          </cell>
        </row>
        <row r="17">
          <cell r="A17" t="str">
            <v>:</v>
          </cell>
          <cell r="D17" t="str">
            <v>SUM</v>
          </cell>
          <cell r="E17" t="str">
            <v>:</v>
          </cell>
          <cell r="F17">
            <v>105.081</v>
          </cell>
          <cell r="G17">
            <v>105.09</v>
          </cell>
          <cell r="H17">
            <v>105.09399999999998</v>
          </cell>
          <cell r="I17">
            <v>105.09099999999999</v>
          </cell>
          <cell r="J17">
            <v>105.09599999999999</v>
          </cell>
          <cell r="K17">
            <v>105.1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 t="str">
            <v>:</v>
          </cell>
        </row>
        <row r="18">
          <cell r="A18" t="str">
            <v>:</v>
          </cell>
          <cell r="B18" t="str">
            <v>=</v>
          </cell>
          <cell r="C18" t="str">
            <v>=</v>
          </cell>
          <cell r="D18" t="str">
            <v>=</v>
          </cell>
          <cell r="E18" t="str">
            <v>=</v>
          </cell>
          <cell r="F18" t="str">
            <v>=</v>
          </cell>
          <cell r="G18" t="str">
            <v>=</v>
          </cell>
          <cell r="H18" t="str">
            <v>=</v>
          </cell>
          <cell r="I18" t="str">
            <v>=</v>
          </cell>
          <cell r="J18" t="str">
            <v>=</v>
          </cell>
          <cell r="K18" t="str">
            <v>=</v>
          </cell>
          <cell r="L18" t="str">
            <v>=</v>
          </cell>
          <cell r="M18" t="str">
            <v>=</v>
          </cell>
          <cell r="N18" t="str">
            <v>=</v>
          </cell>
          <cell r="O18" t="str">
            <v>=</v>
          </cell>
          <cell r="P18" t="str">
            <v>=</v>
          </cell>
          <cell r="Q18" t="str">
            <v>:</v>
          </cell>
        </row>
        <row r="19">
          <cell r="A19" t="str">
            <v>:</v>
          </cell>
          <cell r="B19" t="str">
            <v>_</v>
          </cell>
          <cell r="D19" t="str">
            <v>SUM</v>
          </cell>
          <cell r="E19" t="str">
            <v>:</v>
          </cell>
          <cell r="Q19" t="str">
            <v>:</v>
          </cell>
        </row>
        <row r="20">
          <cell r="A20" t="str">
            <v>:</v>
          </cell>
          <cell r="B20" t="str">
            <v>X</v>
          </cell>
          <cell r="C20" t="str">
            <v>=</v>
          </cell>
          <cell r="D20" t="str">
            <v>-</v>
          </cell>
          <cell r="E20" t="str">
            <v>:</v>
          </cell>
          <cell r="F20">
            <v>21.016200000000001</v>
          </cell>
          <cell r="G20">
            <v>21.018000000000001</v>
          </cell>
          <cell r="H20">
            <v>21.018799999999995</v>
          </cell>
          <cell r="I20">
            <v>21.0182</v>
          </cell>
          <cell r="J20">
            <v>21.019199999999998</v>
          </cell>
          <cell r="K20">
            <v>21.02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 t="str">
            <v>:</v>
          </cell>
        </row>
        <row r="21">
          <cell r="A21" t="str">
            <v>:</v>
          </cell>
          <cell r="B21" t="str">
            <v>NO.OF READINGS</v>
          </cell>
          <cell r="E21" t="str">
            <v>:</v>
          </cell>
          <cell r="Q21" t="str">
            <v>:</v>
          </cell>
        </row>
        <row r="22">
          <cell r="A22" t="str">
            <v>:</v>
          </cell>
          <cell r="B22" t="str">
            <v>-</v>
          </cell>
          <cell r="C22" t="str">
            <v>-</v>
          </cell>
          <cell r="D22" t="str">
            <v>-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-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:</v>
          </cell>
        </row>
        <row r="23">
          <cell r="A23" t="str">
            <v>:</v>
          </cell>
          <cell r="F23">
            <v>21.015000000000001</v>
          </cell>
          <cell r="G23">
            <v>21.016999999999999</v>
          </cell>
          <cell r="H23">
            <v>21.016999999999999</v>
          </cell>
          <cell r="I23">
            <v>21.015999999999998</v>
          </cell>
          <cell r="J23">
            <v>21.018000000000001</v>
          </cell>
          <cell r="K23">
            <v>21.018000000000001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Q23" t="str">
            <v>:</v>
          </cell>
        </row>
        <row r="24">
          <cell r="A24" t="str">
            <v>:</v>
          </cell>
          <cell r="F24">
            <v>21.018000000000001</v>
          </cell>
          <cell r="G24">
            <v>21.018999999999998</v>
          </cell>
          <cell r="H24">
            <v>21.02</v>
          </cell>
          <cell r="I24">
            <v>21.02</v>
          </cell>
          <cell r="J24">
            <v>21.02</v>
          </cell>
          <cell r="K24">
            <v>21.021000000000001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Q24" t="str">
            <v>:</v>
          </cell>
        </row>
        <row r="25">
          <cell r="A25" t="str">
            <v>:</v>
          </cell>
          <cell r="B25" t="str">
            <v>R</v>
          </cell>
          <cell r="C25" t="str">
            <v>=</v>
          </cell>
          <cell r="D25" t="str">
            <v>HIGH-LOW</v>
          </cell>
          <cell r="E25" t="str">
            <v>:</v>
          </cell>
          <cell r="F25">
            <v>3.0000000000001137E-3</v>
          </cell>
          <cell r="G25">
            <v>1.9999999999988916E-3</v>
          </cell>
          <cell r="H25">
            <v>3.0000000000001137E-3</v>
          </cell>
          <cell r="I25">
            <v>4.0000000000013358E-3</v>
          </cell>
          <cell r="J25">
            <v>1.9999999999988916E-3</v>
          </cell>
          <cell r="K25">
            <v>3.0000000000001137E-3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Q25" t="str">
            <v>:</v>
          </cell>
        </row>
        <row r="26">
          <cell r="A26" t="str">
            <v>:</v>
          </cell>
          <cell r="B26" t="str">
            <v>-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:</v>
          </cell>
        </row>
        <row r="27">
          <cell r="A27" t="str">
            <v>:</v>
          </cell>
          <cell r="D27" t="str">
            <v>USL</v>
          </cell>
          <cell r="E27" t="str">
            <v>=</v>
          </cell>
          <cell r="F27">
            <v>21.030999999999999</v>
          </cell>
          <cell r="H27" t="str">
            <v>LSL       =</v>
          </cell>
          <cell r="I27">
            <v>21.01</v>
          </cell>
          <cell r="K27" t="str">
            <v/>
          </cell>
          <cell r="L27" t="str">
            <v/>
          </cell>
          <cell r="Q27" t="str">
            <v>:</v>
          </cell>
        </row>
        <row r="28">
          <cell r="A28" t="str">
            <v>:</v>
          </cell>
          <cell r="K28" t="str">
            <v>ô(SIGMA) =</v>
          </cell>
          <cell r="L28">
            <v>1.6103115178627513E-3</v>
          </cell>
          <cell r="M28" t="str">
            <v/>
          </cell>
          <cell r="Q28" t="str">
            <v>:</v>
          </cell>
        </row>
        <row r="29">
          <cell r="A29" t="str">
            <v>:</v>
          </cell>
          <cell r="B29" t="str">
            <v>=</v>
          </cell>
          <cell r="D29" t="str">
            <v xml:space="preserve">        _</v>
          </cell>
          <cell r="H29" t="str">
            <v xml:space="preserve">    =    _</v>
          </cell>
          <cell r="K29" t="str">
            <v xml:space="preserve">    =    _</v>
          </cell>
          <cell r="Q29" t="str">
            <v>:</v>
          </cell>
        </row>
        <row r="30">
          <cell r="A30" t="str">
            <v>:</v>
          </cell>
          <cell r="B30" t="str">
            <v>X</v>
          </cell>
          <cell r="C30" t="str">
            <v>=</v>
          </cell>
          <cell r="D30" t="str">
            <v xml:space="preserve">AVERAGE X </v>
          </cell>
          <cell r="E30" t="str">
            <v>=</v>
          </cell>
          <cell r="F30">
            <v>21.0184</v>
          </cell>
          <cell r="H30" t="str">
            <v>UCL=X+A2*R=</v>
          </cell>
          <cell r="I30">
            <v>21.019759999999998</v>
          </cell>
          <cell r="K30" t="str">
            <v>LCL=X-A2*R=</v>
          </cell>
          <cell r="L30">
            <v>21.017040000000001</v>
          </cell>
          <cell r="Q30" t="str">
            <v>:</v>
          </cell>
        </row>
        <row r="31">
          <cell r="A31" t="str">
            <v>:</v>
          </cell>
          <cell r="B31" t="str">
            <v>_</v>
          </cell>
          <cell r="H31" t="str">
            <v xml:space="preserve">       _</v>
          </cell>
          <cell r="K31" t="str">
            <v xml:space="preserve">       _</v>
          </cell>
          <cell r="Q31" t="str">
            <v>:</v>
          </cell>
        </row>
        <row r="32">
          <cell r="A32" t="str">
            <v>:</v>
          </cell>
          <cell r="B32" t="str">
            <v>R</v>
          </cell>
          <cell r="C32" t="str">
            <v>=</v>
          </cell>
          <cell r="D32" t="str">
            <v xml:space="preserve">AVERAGE R </v>
          </cell>
          <cell r="E32" t="str">
            <v>=</v>
          </cell>
          <cell r="F32">
            <v>2.8333333333332433E-3</v>
          </cell>
          <cell r="H32" t="str">
            <v>UCL=D4*R  =</v>
          </cell>
          <cell r="I32">
            <v>5.6666666666664867E-3</v>
          </cell>
          <cell r="K32" t="str">
            <v>LCL=D3*R  =</v>
          </cell>
          <cell r="L32">
            <v>0</v>
          </cell>
          <cell r="Q32" t="str">
            <v>:</v>
          </cell>
        </row>
        <row r="33">
          <cell r="A33" t="str">
            <v>:</v>
          </cell>
          <cell r="I33" t="str">
            <v xml:space="preserve">      =</v>
          </cell>
          <cell r="M33" t="str">
            <v xml:space="preserve">  =</v>
          </cell>
          <cell r="Q33" t="str">
            <v>:</v>
          </cell>
        </row>
        <row r="34">
          <cell r="A34" t="str">
            <v>:</v>
          </cell>
          <cell r="D34" t="str">
            <v xml:space="preserve">  USL-LSL</v>
          </cell>
          <cell r="F34">
            <v>2.0999999999997243E-2</v>
          </cell>
          <cell r="I34" t="str">
            <v xml:space="preserve">  USL-X</v>
          </cell>
          <cell r="J34">
            <v>1.2599999999999056E-2</v>
          </cell>
          <cell r="M34" t="str">
            <v xml:space="preserve">  X-LSL</v>
          </cell>
          <cell r="N34">
            <v>8.3999999999981867E-3</v>
          </cell>
          <cell r="Q34" t="str">
            <v>:</v>
          </cell>
        </row>
        <row r="35">
          <cell r="A35" t="str">
            <v>:</v>
          </cell>
          <cell r="B35" t="str">
            <v>Cp</v>
          </cell>
          <cell r="D35" t="str">
            <v>=-----------</v>
          </cell>
          <cell r="E35" t="str">
            <v>=</v>
          </cell>
          <cell r="F35" t="str">
            <v>--------=</v>
          </cell>
          <cell r="G35">
            <v>2.1734924958152413</v>
          </cell>
          <cell r="H35" t="str">
            <v xml:space="preserve">     Cpk  =</v>
          </cell>
          <cell r="I35" t="str">
            <v>-</v>
          </cell>
          <cell r="J35" t="str">
            <v>=-------=</v>
          </cell>
          <cell r="K35">
            <v>2.6081909949784365</v>
          </cell>
          <cell r="L35" t="str">
            <v xml:space="preserve">     Cpk=</v>
          </cell>
          <cell r="M35" t="str">
            <v>-</v>
          </cell>
          <cell r="N35" t="str">
            <v>=--------=</v>
          </cell>
          <cell r="O35">
            <v>1.7387939966520458</v>
          </cell>
          <cell r="Q35" t="str">
            <v>:</v>
          </cell>
        </row>
        <row r="36">
          <cell r="A36" t="str">
            <v>:</v>
          </cell>
          <cell r="D36" t="str">
            <v xml:space="preserve">    6*ô</v>
          </cell>
          <cell r="F36">
            <v>9.6618691071765073E-3</v>
          </cell>
          <cell r="I36" t="str">
            <v xml:space="preserve">    3*ô</v>
          </cell>
          <cell r="J36">
            <v>4.8309345535882536E-3</v>
          </cell>
          <cell r="M36" t="str">
            <v xml:space="preserve">    3*ô</v>
          </cell>
          <cell r="N36">
            <v>4.8309345535882536E-3</v>
          </cell>
          <cell r="Q36" t="str">
            <v>:</v>
          </cell>
        </row>
        <row r="37">
          <cell r="A37" t="str">
            <v>:</v>
          </cell>
          <cell r="L37" t="str">
            <v xml:space="preserve"> -----------</v>
          </cell>
          <cell r="M37" t="str">
            <v>----------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:</v>
          </cell>
        </row>
        <row r="38">
          <cell r="A38" t="str">
            <v>:</v>
          </cell>
          <cell r="F38" t="str">
            <v/>
          </cell>
          <cell r="L38" t="str">
            <v>:</v>
          </cell>
          <cell r="N38" t="str">
            <v xml:space="preserve">    T A B L E</v>
          </cell>
          <cell r="Q38" t="str">
            <v>:</v>
          </cell>
        </row>
        <row r="39">
          <cell r="A39" t="str">
            <v>:</v>
          </cell>
          <cell r="C39" t="str">
            <v/>
          </cell>
          <cell r="D39" t="str">
            <v xml:space="preserve">        Cp        </v>
          </cell>
          <cell r="E39" t="str">
            <v>=</v>
          </cell>
          <cell r="F39">
            <v>2.1734924958152413</v>
          </cell>
          <cell r="J39" t="str">
            <v>Cpk     =</v>
          </cell>
          <cell r="K39">
            <v>1.7387939966520458</v>
          </cell>
          <cell r="L39" t="str">
            <v>:--------------------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:</v>
          </cell>
        </row>
        <row r="40">
          <cell r="A40" t="str">
            <v>:</v>
          </cell>
          <cell r="F40" t="str">
            <v/>
          </cell>
          <cell r="J40" t="str">
            <v>(MIN.)</v>
          </cell>
          <cell r="L40" t="str">
            <v>:     n</v>
          </cell>
          <cell r="M40" t="str">
            <v>d2</v>
          </cell>
          <cell r="N40" t="str">
            <v>A2</v>
          </cell>
          <cell r="O40" t="str">
            <v>D3</v>
          </cell>
          <cell r="P40" t="str">
            <v>D4</v>
          </cell>
          <cell r="Q40" t="str">
            <v>:</v>
          </cell>
        </row>
        <row r="41">
          <cell r="A41" t="str">
            <v>:</v>
          </cell>
          <cell r="L41" t="str">
            <v>:-------------------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:</v>
          </cell>
        </row>
        <row r="42">
          <cell r="A42" t="str">
            <v>:</v>
          </cell>
          <cell r="K42" t="str">
            <v/>
          </cell>
          <cell r="L42" t="str">
            <v>:      1</v>
          </cell>
          <cell r="M42" t="str">
            <v>-</v>
          </cell>
          <cell r="N42">
            <v>2.66</v>
          </cell>
          <cell r="O42">
            <v>0</v>
          </cell>
          <cell r="P42">
            <v>3.2679999999999998</v>
          </cell>
          <cell r="Q42" t="str">
            <v>:</v>
          </cell>
        </row>
        <row r="43">
          <cell r="A43" t="str">
            <v>:</v>
          </cell>
          <cell r="L43" t="str">
            <v>:      2</v>
          </cell>
          <cell r="M43">
            <v>1.1299999999999999</v>
          </cell>
          <cell r="N43">
            <v>1.88</v>
          </cell>
          <cell r="O43">
            <v>0</v>
          </cell>
          <cell r="P43">
            <v>3.2679999999999998</v>
          </cell>
          <cell r="Q43" t="str">
            <v>:</v>
          </cell>
        </row>
        <row r="44">
          <cell r="A44" t="str">
            <v>:</v>
          </cell>
          <cell r="L44" t="str">
            <v>:      3</v>
          </cell>
          <cell r="M44">
            <v>1.69</v>
          </cell>
          <cell r="N44">
            <v>1.0229999999999999</v>
          </cell>
          <cell r="O44">
            <v>0</v>
          </cell>
          <cell r="P44">
            <v>2.5739999999999998</v>
          </cell>
          <cell r="Q44" t="str">
            <v>:</v>
          </cell>
        </row>
        <row r="45">
          <cell r="A45" t="str">
            <v>:</v>
          </cell>
          <cell r="L45" t="str">
            <v>:      4</v>
          </cell>
          <cell r="M45">
            <v>2.06</v>
          </cell>
          <cell r="N45">
            <v>0.72899999999999998</v>
          </cell>
          <cell r="O45">
            <v>0</v>
          </cell>
          <cell r="P45">
            <v>2.282</v>
          </cell>
          <cell r="Q45" t="str">
            <v>:</v>
          </cell>
        </row>
        <row r="46">
          <cell r="A46" t="str">
            <v>:</v>
          </cell>
          <cell r="L46" t="str">
            <v>:      5</v>
          </cell>
          <cell r="M46">
            <v>2.33</v>
          </cell>
          <cell r="N46">
            <v>0.57699999999999996</v>
          </cell>
          <cell r="O46">
            <v>0</v>
          </cell>
          <cell r="P46">
            <v>2.1139999999999999</v>
          </cell>
          <cell r="Q46" t="str">
            <v>:</v>
          </cell>
        </row>
        <row r="47">
          <cell r="A47" t="str">
            <v>:</v>
          </cell>
          <cell r="L47" t="str">
            <v>:      6</v>
          </cell>
          <cell r="M47">
            <v>2.5299999999999998</v>
          </cell>
          <cell r="N47">
            <v>0.48</v>
          </cell>
          <cell r="O47">
            <v>0</v>
          </cell>
          <cell r="P47" t="str">
            <v xml:space="preserve">   2.000</v>
          </cell>
          <cell r="Q47" t="str">
            <v>:</v>
          </cell>
        </row>
        <row r="48">
          <cell r="A48" t="str">
            <v>:</v>
          </cell>
          <cell r="L48" t="str">
            <v>:      7</v>
          </cell>
          <cell r="M48">
            <v>2.7</v>
          </cell>
          <cell r="N48">
            <v>0.42</v>
          </cell>
          <cell r="O48">
            <v>0.08</v>
          </cell>
          <cell r="P48" t="str">
            <v xml:space="preserve">   1.920</v>
          </cell>
          <cell r="Q48" t="str">
            <v>:</v>
          </cell>
        </row>
        <row r="49">
          <cell r="A49" t="str">
            <v>:</v>
          </cell>
          <cell r="L49" t="str">
            <v>:      8</v>
          </cell>
          <cell r="M49">
            <v>2.85</v>
          </cell>
          <cell r="N49">
            <v>0.37</v>
          </cell>
          <cell r="O49">
            <v>0.14000000000000001</v>
          </cell>
          <cell r="P49" t="str">
            <v xml:space="preserve">   1.860</v>
          </cell>
          <cell r="Q49" t="str">
            <v>:</v>
          </cell>
        </row>
        <row r="50">
          <cell r="A50" t="str">
            <v>:</v>
          </cell>
          <cell r="L50" t="str">
            <v>:      9</v>
          </cell>
          <cell r="M50">
            <v>2.97</v>
          </cell>
          <cell r="N50">
            <v>0.34</v>
          </cell>
          <cell r="O50">
            <v>0.18</v>
          </cell>
          <cell r="P50" t="str">
            <v xml:space="preserve">   1.820</v>
          </cell>
          <cell r="Q50" t="str">
            <v>:</v>
          </cell>
        </row>
        <row r="51">
          <cell r="A51" t="str">
            <v>:</v>
          </cell>
          <cell r="L51" t="str">
            <v>:     10</v>
          </cell>
          <cell r="M51">
            <v>3.08</v>
          </cell>
          <cell r="N51">
            <v>0.31</v>
          </cell>
          <cell r="O51">
            <v>0.22</v>
          </cell>
          <cell r="P51" t="str">
            <v xml:space="preserve">   1.780</v>
          </cell>
          <cell r="Q51" t="str">
            <v>:</v>
          </cell>
        </row>
        <row r="52">
          <cell r="A52" t="str">
            <v/>
          </cell>
          <cell r="B52" t="str">
            <v>=</v>
          </cell>
          <cell r="C52" t="str">
            <v>=</v>
          </cell>
          <cell r="D52" t="str">
            <v>=</v>
          </cell>
          <cell r="E52" t="str">
            <v>=</v>
          </cell>
          <cell r="F52" t="str">
            <v>=</v>
          </cell>
          <cell r="G52" t="str">
            <v>=</v>
          </cell>
          <cell r="H52" t="str">
            <v>=</v>
          </cell>
          <cell r="I52" t="str">
            <v>=</v>
          </cell>
          <cell r="J52" t="str">
            <v>=</v>
          </cell>
          <cell r="K52" t="str">
            <v>=</v>
          </cell>
          <cell r="L52" t="str">
            <v>=</v>
          </cell>
          <cell r="M52" t="str">
            <v>=</v>
          </cell>
          <cell r="N52" t="str">
            <v>=</v>
          </cell>
          <cell r="O52" t="str">
            <v>=</v>
          </cell>
          <cell r="P52" t="str">
            <v>=</v>
          </cell>
          <cell r="Q52" t="str">
            <v/>
          </cell>
        </row>
        <row r="55">
          <cell r="D55" t="str">
            <v>PREPARED BY</v>
          </cell>
          <cell r="J55" t="str">
            <v>CHECKED BY</v>
          </cell>
          <cell r="N55" t="str">
            <v>APPROVED BY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id Descriptions"/>
      <sheetName val="Project Details"/>
      <sheetName val="Group Details"/>
      <sheetName val="Range"/>
      <sheetName val="TOC"/>
      <sheetName val="GroupRank"/>
      <sheetName val="SuperGroupRank"/>
      <sheetName val="CoverPage"/>
      <sheetName val="dashboard"/>
      <sheetName val="Sheet1"/>
      <sheetName val="score trends"/>
      <sheetName val="priority analysis"/>
      <sheetName val="standards trend"/>
      <sheetName val="service timing"/>
      <sheetName val="Fix it First Time"/>
      <sheetName val="Product Problems"/>
      <sheetName val="Parts"/>
      <sheetName val="Mgmt Rpt Data - 1"/>
      <sheetName val="Mgmt Data - 2"/>
      <sheetName val="priority analysis(mgmt sum)"/>
      <sheetName val="score card (mgmt sum)"/>
      <sheetName val="Eng to Bhasa"/>
      <sheetName val="Slide Mgmt"/>
      <sheetName val="Sample Indo"/>
      <sheetName val="Sample MY"/>
      <sheetName val="Sample India"/>
      <sheetName val="Sample PH"/>
      <sheetName val="Sample TH"/>
      <sheetName val="Factor &amp; Attr"/>
      <sheetName val="Topline trends"/>
      <sheetName val="ﾛｲﾔﾘﾃｨ-"/>
      <sheetName val="SPT vs PHI"/>
      <sheetName val="６中３版"/>
      <sheetName val="SRP FH"/>
    </sheetNames>
    <sheetDataSet>
      <sheetData sheetId="0" refreshError="1"/>
      <sheetData sheetId="1" refreshError="1"/>
      <sheetData sheetId="2" refreshError="1"/>
      <sheetData sheetId="3" refreshError="1">
        <row r="2">
          <cell r="A2">
            <v>1</v>
          </cell>
          <cell r="B2" t="str">
            <v>Thailand</v>
          </cell>
          <cell r="C2" t="str">
            <v>066</v>
          </cell>
        </row>
        <row r="3">
          <cell r="A3">
            <v>2</v>
          </cell>
          <cell r="B3" t="str">
            <v>Malaysia</v>
          </cell>
          <cell r="C3" t="str">
            <v>060</v>
          </cell>
        </row>
        <row r="4">
          <cell r="A4">
            <v>3</v>
          </cell>
          <cell r="B4" t="str">
            <v>Philippines</v>
          </cell>
          <cell r="C4" t="str">
            <v>063</v>
          </cell>
        </row>
        <row r="5">
          <cell r="A5">
            <v>4</v>
          </cell>
          <cell r="B5" t="str">
            <v>Indonesia</v>
          </cell>
          <cell r="C5" t="str">
            <v>062</v>
          </cell>
        </row>
        <row r="6">
          <cell r="A6">
            <v>5</v>
          </cell>
          <cell r="B6" t="str">
            <v>India</v>
          </cell>
          <cell r="C6" t="str">
            <v>091</v>
          </cell>
        </row>
        <row r="7">
          <cell r="A7">
            <v>6</v>
          </cell>
          <cell r="B7" t="str">
            <v>Pakistan</v>
          </cell>
          <cell r="C7" t="str">
            <v>092</v>
          </cell>
        </row>
        <row r="8">
          <cell r="A8">
            <v>7</v>
          </cell>
          <cell r="B8" t="str">
            <v>Korea</v>
          </cell>
          <cell r="C8" t="str">
            <v>082</v>
          </cell>
        </row>
        <row r="9">
          <cell r="A9">
            <v>8</v>
          </cell>
          <cell r="B9" t="str">
            <v>Vietnam</v>
          </cell>
          <cell r="C9" t="str">
            <v>084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31">
          <cell r="A31" t="str">
            <v>Thailand</v>
          </cell>
          <cell r="B31" t="str">
            <v>UniqueName</v>
          </cell>
          <cell r="C31" t="str">
            <v>Comparison segment</v>
          </cell>
          <cell r="D31" t="str">
            <v>Ranked Type</v>
          </cell>
          <cell r="F31" t="str">
            <v>User ID</v>
          </cell>
          <cell r="G31" t="str">
            <v>Report Type</v>
          </cell>
          <cell r="H31" t="str">
            <v>Code</v>
          </cell>
          <cell r="I31" t="str">
            <v>Filename</v>
          </cell>
        </row>
        <row r="32">
          <cell r="A32">
            <v>1</v>
          </cell>
          <cell r="B32" t="str">
            <v>Study Total</v>
          </cell>
          <cell r="C32" t="str">
            <v>Study Total</v>
          </cell>
          <cell r="E32" t="str">
            <v>Best Dealer</v>
          </cell>
          <cell r="F32" t="str">
            <v>Study Total.honda</v>
          </cell>
          <cell r="G32" t="str">
            <v>Study Total</v>
          </cell>
          <cell r="H32" t="str">
            <v>01</v>
          </cell>
          <cell r="I32" t="str">
            <v>Study Total.honda.05Q4.csi.01.066</v>
          </cell>
        </row>
        <row r="33">
          <cell r="A33">
            <v>2</v>
          </cell>
          <cell r="B33" t="str">
            <v>Jazz</v>
          </cell>
          <cell r="C33" t="str">
            <v>Study Total</v>
          </cell>
          <cell r="D33" t="str">
            <v>Vehicle Type</v>
          </cell>
          <cell r="E33" t="str">
            <v>Best In Models</v>
          </cell>
          <cell r="F33" t="str">
            <v>Jazz.honda</v>
          </cell>
          <cell r="G33" t="str">
            <v>Model</v>
          </cell>
          <cell r="H33" t="str">
            <v>04</v>
          </cell>
          <cell r="I33" t="str">
            <v>Jazz.honda.05Q4.csi.04.066</v>
          </cell>
        </row>
        <row r="34">
          <cell r="A34">
            <v>3</v>
          </cell>
          <cell r="B34" t="str">
            <v>City</v>
          </cell>
          <cell r="C34" t="str">
            <v>Study Total</v>
          </cell>
          <cell r="D34" t="str">
            <v>Vehicle Type</v>
          </cell>
          <cell r="E34" t="str">
            <v>Best In Models</v>
          </cell>
          <cell r="F34" t="str">
            <v>City.honda</v>
          </cell>
          <cell r="G34" t="str">
            <v>Model</v>
          </cell>
          <cell r="H34" t="str">
            <v>04</v>
          </cell>
          <cell r="I34" t="str">
            <v>City.honda.05Q4.csi.04.066</v>
          </cell>
        </row>
        <row r="35">
          <cell r="A35">
            <v>4</v>
          </cell>
          <cell r="B35" t="str">
            <v>Civic</v>
          </cell>
          <cell r="C35" t="str">
            <v>Study Total</v>
          </cell>
          <cell r="D35" t="str">
            <v>Vehicle Type</v>
          </cell>
          <cell r="E35" t="str">
            <v>Best In Models</v>
          </cell>
          <cell r="F35" t="str">
            <v>Civic.honda</v>
          </cell>
          <cell r="G35" t="str">
            <v>Model</v>
          </cell>
          <cell r="H35" t="str">
            <v>04</v>
          </cell>
          <cell r="I35" t="str">
            <v>Civic.honda.05Q4.csi.04.066</v>
          </cell>
        </row>
        <row r="36">
          <cell r="A36">
            <v>5</v>
          </cell>
          <cell r="B36" t="str">
            <v>Accord</v>
          </cell>
          <cell r="C36" t="str">
            <v>Study Total</v>
          </cell>
          <cell r="D36" t="str">
            <v>Vehicle Type</v>
          </cell>
          <cell r="E36" t="str">
            <v>Best In Models</v>
          </cell>
          <cell r="F36" t="str">
            <v>Accord.honda</v>
          </cell>
          <cell r="G36" t="str">
            <v>Model</v>
          </cell>
          <cell r="H36" t="str">
            <v>04</v>
          </cell>
          <cell r="I36" t="str">
            <v>Accord.honda.05Q4.csi.04.066</v>
          </cell>
        </row>
        <row r="37">
          <cell r="A37">
            <v>6</v>
          </cell>
          <cell r="B37" t="str">
            <v>CR-V</v>
          </cell>
          <cell r="C37" t="str">
            <v>Study Total</v>
          </cell>
          <cell r="D37" t="str">
            <v>Vehicle Type</v>
          </cell>
          <cell r="E37" t="str">
            <v>Best In Models</v>
          </cell>
          <cell r="F37" t="str">
            <v>CR-V.honda</v>
          </cell>
          <cell r="G37" t="str">
            <v>Model</v>
          </cell>
          <cell r="H37" t="str">
            <v>04</v>
          </cell>
          <cell r="I37" t="str">
            <v>CR-V.honda.05Q4.csi.04.066</v>
          </cell>
        </row>
        <row r="38">
          <cell r="A38">
            <v>7</v>
          </cell>
          <cell r="B38" t="str">
            <v>Bangkok</v>
          </cell>
          <cell r="C38" t="str">
            <v>Study Total</v>
          </cell>
          <cell r="D38" t="str">
            <v>State</v>
          </cell>
          <cell r="E38" t="str">
            <v>Best in Regions</v>
          </cell>
          <cell r="F38" t="str">
            <v>Bangkok.honda</v>
          </cell>
          <cell r="G38" t="str">
            <v>Region</v>
          </cell>
          <cell r="H38" t="str">
            <v>03</v>
          </cell>
          <cell r="I38" t="str">
            <v>Bangkok.honda.05Q4.csi.03.066</v>
          </cell>
        </row>
        <row r="39">
          <cell r="A39">
            <v>8</v>
          </cell>
          <cell r="B39" t="str">
            <v>Samut Prakan</v>
          </cell>
          <cell r="C39" t="str">
            <v>Study Total</v>
          </cell>
          <cell r="D39" t="str">
            <v>State</v>
          </cell>
          <cell r="E39" t="str">
            <v>Best in Regions</v>
          </cell>
          <cell r="F39" t="str">
            <v>Samut Prakan.honda</v>
          </cell>
          <cell r="G39" t="str">
            <v>Region</v>
          </cell>
          <cell r="H39" t="str">
            <v>03</v>
          </cell>
          <cell r="I39" t="str">
            <v>Samut Prakan.honda.05Q4.csi.03.066</v>
          </cell>
        </row>
        <row r="40">
          <cell r="A40">
            <v>9</v>
          </cell>
          <cell r="B40" t="str">
            <v>Nontaburi</v>
          </cell>
          <cell r="C40" t="str">
            <v>Study Total</v>
          </cell>
          <cell r="D40" t="str">
            <v>State</v>
          </cell>
          <cell r="E40" t="str">
            <v>Best in Regions</v>
          </cell>
          <cell r="F40" t="str">
            <v>Nontaburi.honda</v>
          </cell>
          <cell r="G40" t="str">
            <v>Region</v>
          </cell>
          <cell r="H40" t="str">
            <v>03</v>
          </cell>
          <cell r="I40" t="str">
            <v>Nontaburi.honda.05Q4.csi.03.066</v>
          </cell>
        </row>
        <row r="41">
          <cell r="A41">
            <v>10</v>
          </cell>
          <cell r="B41" t="str">
            <v>Pathumthani</v>
          </cell>
          <cell r="C41" t="str">
            <v>Study Total</v>
          </cell>
          <cell r="D41" t="str">
            <v>State</v>
          </cell>
          <cell r="E41" t="str">
            <v>Best in Regions</v>
          </cell>
          <cell r="F41" t="str">
            <v>Pathumthani.honda</v>
          </cell>
          <cell r="G41" t="str">
            <v>Region</v>
          </cell>
          <cell r="H41" t="str">
            <v>03</v>
          </cell>
          <cell r="I41" t="str">
            <v>Pathumthani.honda.05Q4.csi.03.066</v>
          </cell>
        </row>
        <row r="42">
          <cell r="A42">
            <v>11</v>
          </cell>
          <cell r="B42" t="str">
            <v>Sathorn Honda Car</v>
          </cell>
          <cell r="C42" t="str">
            <v>Bangkok</v>
          </cell>
          <cell r="D42" t="str">
            <v>Dealers in Bangkok</v>
          </cell>
          <cell r="E42" t="str">
            <v>Best in Bangkok</v>
          </cell>
          <cell r="F42" t="str">
            <v>Sathorn.honda</v>
          </cell>
          <cell r="G42" t="str">
            <v>Dealer</v>
          </cell>
          <cell r="H42" t="str">
            <v>05</v>
          </cell>
          <cell r="I42" t="str">
            <v>Sathorn.honda.05Q4.csi.05.066</v>
          </cell>
        </row>
        <row r="43">
          <cell r="A43">
            <v>12</v>
          </cell>
          <cell r="B43" t="str">
            <v>Bang Chan Honda Car</v>
          </cell>
          <cell r="C43" t="str">
            <v>Bangkok</v>
          </cell>
          <cell r="D43" t="str">
            <v>Dealers in Bangkok</v>
          </cell>
          <cell r="E43" t="str">
            <v>Best in Bangkok</v>
          </cell>
          <cell r="F43" t="str">
            <v>BangChan.Honda</v>
          </cell>
          <cell r="G43" t="str">
            <v>Dealer</v>
          </cell>
          <cell r="H43" t="str">
            <v>05</v>
          </cell>
          <cell r="I43" t="str">
            <v>BangChan.Honda.05Q4.csi.05.066</v>
          </cell>
        </row>
        <row r="44">
          <cell r="A44">
            <v>13</v>
          </cell>
          <cell r="B44" t="str">
            <v>Bang Kaen Honda Car</v>
          </cell>
          <cell r="C44" t="str">
            <v>Bangkok</v>
          </cell>
          <cell r="D44" t="str">
            <v>Dealers in Bangkok</v>
          </cell>
          <cell r="E44" t="str">
            <v>Best in Bangkok</v>
          </cell>
          <cell r="F44" t="str">
            <v>BangKaen.Honda</v>
          </cell>
          <cell r="G44" t="str">
            <v>Dealer</v>
          </cell>
          <cell r="H44" t="str">
            <v>05</v>
          </cell>
          <cell r="I44" t="str">
            <v>BangKaen.Honda.05Q4.csi.05.066</v>
          </cell>
        </row>
        <row r="45">
          <cell r="A45">
            <v>14</v>
          </cell>
          <cell r="B45" t="str">
            <v>New Pretchburi Honda Car (1994)</v>
          </cell>
          <cell r="C45" t="str">
            <v>Bangkok</v>
          </cell>
          <cell r="D45" t="str">
            <v>Dealers in Bangkok</v>
          </cell>
          <cell r="E45" t="str">
            <v>Best in Bangkok</v>
          </cell>
          <cell r="F45" t="str">
            <v>NewPretchburi.Honda</v>
          </cell>
          <cell r="G45" t="str">
            <v>Dealer</v>
          </cell>
          <cell r="H45" t="str">
            <v>05</v>
          </cell>
          <cell r="I45" t="str">
            <v>NewPretchburi.Honda.05Q4.csi.05.066</v>
          </cell>
        </row>
        <row r="46">
          <cell r="A46">
            <v>15</v>
          </cell>
          <cell r="B46" t="str">
            <v>Rama 4 Honda Car</v>
          </cell>
          <cell r="C46" t="str">
            <v>Bangkok</v>
          </cell>
          <cell r="D46" t="str">
            <v>Dealers in Bangkok</v>
          </cell>
          <cell r="E46" t="str">
            <v>Best in Bangkok</v>
          </cell>
          <cell r="F46" t="str">
            <v>Rama4.Honda</v>
          </cell>
          <cell r="G46" t="str">
            <v>Dealer</v>
          </cell>
          <cell r="H46" t="str">
            <v>05</v>
          </cell>
          <cell r="I46" t="str">
            <v>Rama4.Honda.05Q4.csi.05.066</v>
          </cell>
        </row>
        <row r="47">
          <cell r="A47">
            <v>16</v>
          </cell>
          <cell r="B47" t="str">
            <v>Rama 3 Honda Car (Satupadit)</v>
          </cell>
          <cell r="C47" t="str">
            <v>Bangkok</v>
          </cell>
          <cell r="D47" t="str">
            <v>Dealers in Bangkok</v>
          </cell>
          <cell r="E47" t="str">
            <v>Best in Bangkok</v>
          </cell>
          <cell r="F47" t="str">
            <v>Rama3.Honda</v>
          </cell>
          <cell r="G47" t="str">
            <v>Dealer</v>
          </cell>
          <cell r="H47" t="str">
            <v>05</v>
          </cell>
          <cell r="I47" t="str">
            <v>Rama3.Honda.05Q4.csi.05.066</v>
          </cell>
        </row>
        <row r="48">
          <cell r="A48">
            <v>17</v>
          </cell>
          <cell r="B48" t="str">
            <v>Von Honda Car (Lard Pao)</v>
          </cell>
          <cell r="C48" t="str">
            <v>Bangkok</v>
          </cell>
          <cell r="D48" t="str">
            <v>Dealers in Bangkok</v>
          </cell>
          <cell r="E48" t="str">
            <v>Best in Bangkok</v>
          </cell>
          <cell r="F48" t="str">
            <v>Vonlardpao.Honda</v>
          </cell>
          <cell r="G48" t="str">
            <v>Dealer</v>
          </cell>
          <cell r="H48" t="str">
            <v>05</v>
          </cell>
          <cell r="I48" t="str">
            <v>Vonlardpao.Honda.05Q4.csi.05.066</v>
          </cell>
        </row>
        <row r="49">
          <cell r="A49">
            <v>18</v>
          </cell>
          <cell r="B49" t="str">
            <v>Rama 7 Honda Car</v>
          </cell>
          <cell r="C49" t="str">
            <v>Bangkok</v>
          </cell>
          <cell r="D49" t="str">
            <v>Dealers in Bangkok</v>
          </cell>
          <cell r="E49" t="str">
            <v>Best in Bangkok</v>
          </cell>
          <cell r="F49" t="str">
            <v>Rama7.Honda</v>
          </cell>
          <cell r="G49" t="str">
            <v>Dealer</v>
          </cell>
          <cell r="H49" t="str">
            <v>05</v>
          </cell>
          <cell r="I49" t="str">
            <v>Rama7.Honda.05Q4.csi.05.066</v>
          </cell>
        </row>
        <row r="50">
          <cell r="A50">
            <v>19</v>
          </cell>
          <cell r="B50" t="str">
            <v>V. Group Honda Car (Nong Kham)</v>
          </cell>
          <cell r="C50" t="str">
            <v>Bangkok</v>
          </cell>
          <cell r="D50" t="str">
            <v>Dealers in Bangkok</v>
          </cell>
          <cell r="E50" t="str">
            <v>Best in Bangkok</v>
          </cell>
          <cell r="F50" t="str">
            <v>VNongKham.Honda</v>
          </cell>
          <cell r="G50" t="str">
            <v>Dealer</v>
          </cell>
          <cell r="H50" t="str">
            <v>05</v>
          </cell>
          <cell r="I50" t="str">
            <v>VNongKham.Honda.05Q4.csi.05.066</v>
          </cell>
        </row>
        <row r="51">
          <cell r="A51">
            <v>20</v>
          </cell>
          <cell r="B51" t="str">
            <v>Summit Honda Automobiles</v>
          </cell>
          <cell r="C51" t="str">
            <v>Bangkok</v>
          </cell>
          <cell r="D51" t="str">
            <v>Dealers in Bangkok</v>
          </cell>
          <cell r="E51" t="str">
            <v>Best in Bangkok</v>
          </cell>
          <cell r="F51" t="str">
            <v>Summit.Honda</v>
          </cell>
          <cell r="G51" t="str">
            <v>Dealer</v>
          </cell>
          <cell r="H51" t="str">
            <v>05</v>
          </cell>
          <cell r="I51" t="str">
            <v>Summit.Honda.05Q4.csi.05.066</v>
          </cell>
        </row>
        <row r="52">
          <cell r="A52">
            <v>21</v>
          </cell>
          <cell r="B52" t="str">
            <v>Navamin Honda Automobiles</v>
          </cell>
          <cell r="C52" t="str">
            <v>Bangkok</v>
          </cell>
          <cell r="D52" t="str">
            <v>Dealers in Bangkok</v>
          </cell>
          <cell r="E52" t="str">
            <v>Best in Bangkok</v>
          </cell>
          <cell r="F52" t="str">
            <v>Navamin.Honda</v>
          </cell>
          <cell r="G52" t="str">
            <v>Dealer</v>
          </cell>
          <cell r="H52" t="str">
            <v>05</v>
          </cell>
          <cell r="I52" t="str">
            <v>Navamin.Honda.05Q4.csi.05.066</v>
          </cell>
        </row>
        <row r="53">
          <cell r="A53">
            <v>22</v>
          </cell>
          <cell r="B53" t="str">
            <v>Prin Kao Honda Car</v>
          </cell>
          <cell r="C53" t="str">
            <v>Bangkok</v>
          </cell>
          <cell r="D53" t="str">
            <v>Dealers in Bangkok</v>
          </cell>
          <cell r="E53" t="str">
            <v>Best in Bangkok</v>
          </cell>
          <cell r="F53" t="str">
            <v>PrinKao.Honda</v>
          </cell>
          <cell r="G53" t="str">
            <v>Dealer</v>
          </cell>
          <cell r="H53" t="str">
            <v>05</v>
          </cell>
          <cell r="I53" t="str">
            <v>PrinKao.Honda.05Q4.csi.05.066</v>
          </cell>
        </row>
        <row r="54">
          <cell r="A54">
            <v>23</v>
          </cell>
          <cell r="B54" t="str">
            <v>Ramintra Honda Car</v>
          </cell>
          <cell r="C54" t="str">
            <v>Bangkok</v>
          </cell>
          <cell r="D54" t="str">
            <v>Dealers in Bangkok</v>
          </cell>
          <cell r="E54" t="str">
            <v>Best in Bangkok</v>
          </cell>
          <cell r="F54" t="str">
            <v>Ramintra.Honda</v>
          </cell>
          <cell r="G54" t="str">
            <v>Dealer</v>
          </cell>
          <cell r="H54" t="str">
            <v>05</v>
          </cell>
          <cell r="I54" t="str">
            <v>Ramintra.Honda.05Q4.csi.05.066</v>
          </cell>
        </row>
        <row r="55">
          <cell r="A55">
            <v>24</v>
          </cell>
          <cell r="B55" t="str">
            <v>Rama 9 Honda Car</v>
          </cell>
          <cell r="C55" t="str">
            <v>Bangkok</v>
          </cell>
          <cell r="D55" t="str">
            <v>Dealers in Bangkok</v>
          </cell>
          <cell r="E55" t="str">
            <v>Best in Bangkok</v>
          </cell>
          <cell r="F55" t="str">
            <v>Rama9.Honda</v>
          </cell>
          <cell r="G55" t="str">
            <v>Dealer</v>
          </cell>
          <cell r="H55" t="str">
            <v>05</v>
          </cell>
          <cell r="I55" t="str">
            <v>Rama9.Honda.05Q4.csi.05.066</v>
          </cell>
        </row>
        <row r="56">
          <cell r="A56">
            <v>25</v>
          </cell>
          <cell r="B56" t="str">
            <v>Nakarin Honda Car</v>
          </cell>
          <cell r="C56" t="str">
            <v>Bangkok</v>
          </cell>
          <cell r="D56" t="str">
            <v>Dealers in Bangkok</v>
          </cell>
          <cell r="E56" t="str">
            <v>Best in Bangkok</v>
          </cell>
          <cell r="F56" t="str">
            <v>Nakarin.Honda</v>
          </cell>
          <cell r="G56" t="str">
            <v>Dealer</v>
          </cell>
          <cell r="H56" t="str">
            <v>05</v>
          </cell>
          <cell r="I56" t="str">
            <v>Nakarin.Honda.05Q4.csi.05.066</v>
          </cell>
        </row>
        <row r="57">
          <cell r="A57">
            <v>26</v>
          </cell>
          <cell r="B57" t="str">
            <v>Thonburi Honda Car</v>
          </cell>
          <cell r="C57" t="str">
            <v>Bangkok</v>
          </cell>
          <cell r="D57" t="str">
            <v>Dealers in Bangkok</v>
          </cell>
          <cell r="E57" t="str">
            <v>Best in Bangkok</v>
          </cell>
          <cell r="F57" t="str">
            <v>Thonburi.Honda</v>
          </cell>
          <cell r="G57" t="str">
            <v>Dealer</v>
          </cell>
          <cell r="H57" t="str">
            <v>05</v>
          </cell>
          <cell r="I57" t="str">
            <v>Thonburi.Honda.05Q4.csi.05.066</v>
          </cell>
        </row>
        <row r="58">
          <cell r="A58">
            <v>27</v>
          </cell>
          <cell r="B58" t="str">
            <v>Dao Kanong Honda Automobiles</v>
          </cell>
          <cell r="C58" t="str">
            <v>Bangkok</v>
          </cell>
          <cell r="D58" t="str">
            <v>Dealers in Bangkok</v>
          </cell>
          <cell r="E58" t="str">
            <v>Best in Bangkok</v>
          </cell>
          <cell r="F58" t="str">
            <v>DaoKanong.Honda</v>
          </cell>
          <cell r="G58" t="str">
            <v>Dealer</v>
          </cell>
          <cell r="H58" t="str">
            <v>05</v>
          </cell>
          <cell r="I58" t="str">
            <v>DaoKanong.Honda.05Q4.csi.05.066</v>
          </cell>
        </row>
        <row r="59">
          <cell r="A59">
            <v>28</v>
          </cell>
          <cell r="B59" t="str">
            <v>Bangna Showroom and Service</v>
          </cell>
          <cell r="C59" t="str">
            <v>Bangkok</v>
          </cell>
          <cell r="D59" t="str">
            <v>Dealers in Bangkok</v>
          </cell>
          <cell r="E59" t="str">
            <v>Best in Bangkok</v>
          </cell>
          <cell r="F59" t="str">
            <v>Bangna.honda</v>
          </cell>
          <cell r="G59" t="str">
            <v>Dealer</v>
          </cell>
          <cell r="H59" t="str">
            <v>05</v>
          </cell>
          <cell r="I59" t="str">
            <v>Bangna.honda.05Q4.csi.05.066</v>
          </cell>
        </row>
        <row r="60">
          <cell r="A60">
            <v>29</v>
          </cell>
          <cell r="B60" t="str">
            <v>Sriaduthaya Showroom and Service</v>
          </cell>
          <cell r="C60" t="str">
            <v>Bangkok</v>
          </cell>
          <cell r="D60" t="str">
            <v>Dealers in Bangkok</v>
          </cell>
          <cell r="E60" t="str">
            <v>Best in Bangkok</v>
          </cell>
          <cell r="F60" t="str">
            <v>Sriaduthaya.honda</v>
          </cell>
          <cell r="G60" t="str">
            <v>Dealer</v>
          </cell>
          <cell r="H60" t="str">
            <v>05</v>
          </cell>
          <cell r="I60" t="str">
            <v>Sriaduthaya.honda.05Q4.csi.05.066</v>
          </cell>
        </row>
        <row r="61">
          <cell r="A61">
            <v>30</v>
          </cell>
          <cell r="B61" t="str">
            <v>Bangplee Honda Car</v>
          </cell>
          <cell r="C61" t="str">
            <v>Samut Prakan</v>
          </cell>
          <cell r="D61" t="str">
            <v>Dealers in Samut Prakan</v>
          </cell>
          <cell r="E61" t="str">
            <v>Best in Samut Prakan</v>
          </cell>
          <cell r="F61" t="str">
            <v>Bangplee.Honda</v>
          </cell>
          <cell r="G61" t="str">
            <v>Dealer</v>
          </cell>
          <cell r="H61" t="str">
            <v>05</v>
          </cell>
          <cell r="I61" t="str">
            <v>Bangplee.Honda.05Q4.csi.05.066</v>
          </cell>
        </row>
        <row r="62">
          <cell r="A62">
            <v>31</v>
          </cell>
          <cell r="B62" t="str">
            <v>Samut Prakarn Honda Car (1996)</v>
          </cell>
          <cell r="C62" t="str">
            <v>Samut Prakan</v>
          </cell>
          <cell r="D62" t="str">
            <v>Dealers in Samut Prakan</v>
          </cell>
          <cell r="E62" t="str">
            <v>Best in Samut Prakan</v>
          </cell>
          <cell r="F62" t="str">
            <v>SamutPrakarn.Honda</v>
          </cell>
          <cell r="G62" t="str">
            <v>Dealer</v>
          </cell>
          <cell r="H62" t="str">
            <v>05</v>
          </cell>
          <cell r="I62" t="str">
            <v>SamutPrakarn.Honda.05Q4.csi.05.066</v>
          </cell>
        </row>
        <row r="63">
          <cell r="A63">
            <v>32</v>
          </cell>
          <cell r="B63" t="str">
            <v>Teparak Honda</v>
          </cell>
          <cell r="C63" t="str">
            <v>Samut Prakan</v>
          </cell>
          <cell r="D63" t="str">
            <v>Dealers in Samut Prakan</v>
          </cell>
          <cell r="E63" t="str">
            <v>Best in Samut Prakan</v>
          </cell>
          <cell r="F63" t="str">
            <v>Teparak.Honda</v>
          </cell>
          <cell r="G63" t="str">
            <v>Dealer</v>
          </cell>
          <cell r="H63" t="str">
            <v>05</v>
          </cell>
          <cell r="I63" t="str">
            <v>Teparak.Honda.05Q4.csi.05.066</v>
          </cell>
        </row>
        <row r="64">
          <cell r="A64">
            <v>33</v>
          </cell>
          <cell r="B64" t="str">
            <v>Phrapadang Honda Car</v>
          </cell>
          <cell r="C64" t="str">
            <v>Samut Prakan</v>
          </cell>
          <cell r="D64" t="str">
            <v>Dealers in Samut Prakan</v>
          </cell>
          <cell r="E64" t="str">
            <v>Best in Samut Prakan</v>
          </cell>
          <cell r="F64" t="str">
            <v>Phrapadang.Honda</v>
          </cell>
          <cell r="G64" t="str">
            <v>Dealer</v>
          </cell>
          <cell r="H64" t="str">
            <v>05</v>
          </cell>
          <cell r="I64" t="str">
            <v>Phrapadang.Honda.05Q4.csi.05.066</v>
          </cell>
        </row>
        <row r="65">
          <cell r="A65">
            <v>34</v>
          </cell>
          <cell r="B65" t="str">
            <v>V. Group Honda Car (Chang Watana)</v>
          </cell>
          <cell r="C65" t="str">
            <v>Nontaburi</v>
          </cell>
          <cell r="D65" t="str">
            <v>Dealers in Nontaburi</v>
          </cell>
          <cell r="E65" t="str">
            <v>Best in Nontaburi</v>
          </cell>
          <cell r="F65" t="str">
            <v>VChangwatana.Honda</v>
          </cell>
          <cell r="G65" t="str">
            <v>Dealer</v>
          </cell>
          <cell r="H65" t="str">
            <v>05</v>
          </cell>
          <cell r="I65" t="str">
            <v>VChangwatana.Honda.05Q4.csi.05.066</v>
          </cell>
        </row>
        <row r="66">
          <cell r="A66">
            <v>35</v>
          </cell>
          <cell r="B66" t="str">
            <v>Nonthaburi Honda Car</v>
          </cell>
          <cell r="C66" t="str">
            <v>Nontaburi</v>
          </cell>
          <cell r="D66" t="str">
            <v>Dealers in Nontaburi</v>
          </cell>
          <cell r="E66" t="str">
            <v>Best in Nontaburi</v>
          </cell>
          <cell r="F66" t="str">
            <v>Nonthaburi.Honda</v>
          </cell>
          <cell r="G66" t="str">
            <v>Dealer</v>
          </cell>
          <cell r="H66" t="str">
            <v>05</v>
          </cell>
          <cell r="I66" t="str">
            <v>Nonthaburi.Honda.05Q4.csi.05.066</v>
          </cell>
        </row>
        <row r="67">
          <cell r="A67">
            <v>36</v>
          </cell>
          <cell r="B67" t="str">
            <v>H.C.N.</v>
          </cell>
          <cell r="C67" t="str">
            <v>Nontaburi</v>
          </cell>
          <cell r="D67" t="str">
            <v>Dealers in Nontaburi</v>
          </cell>
          <cell r="E67" t="str">
            <v>Best in Nontaburi</v>
          </cell>
          <cell r="F67" t="str">
            <v>HCN.Honda</v>
          </cell>
          <cell r="G67" t="str">
            <v>Dealer</v>
          </cell>
          <cell r="H67" t="str">
            <v>05</v>
          </cell>
          <cell r="I67" t="str">
            <v>HCN.Honda.05Q4.csi.05.066</v>
          </cell>
        </row>
        <row r="68">
          <cell r="A68">
            <v>37</v>
          </cell>
          <cell r="B68" t="str">
            <v>Von Honda Car (Rangsit)</v>
          </cell>
          <cell r="C68" t="str">
            <v>Pathumthani</v>
          </cell>
          <cell r="D68" t="str">
            <v>Dealers in Pathumthani</v>
          </cell>
          <cell r="E68" t="str">
            <v>Best in Pathumthani</v>
          </cell>
          <cell r="F68" t="str">
            <v>Vonrangsit.Honda</v>
          </cell>
          <cell r="G68" t="str">
            <v>Dealer</v>
          </cell>
          <cell r="H68" t="str">
            <v>05</v>
          </cell>
          <cell r="I68" t="str">
            <v>Vonrangsit.Honda.05Q4.csi.05.066</v>
          </cell>
        </row>
        <row r="69">
          <cell r="A69">
            <v>38</v>
          </cell>
          <cell r="B69" t="str">
            <v>Pratum Thani Honda Car</v>
          </cell>
          <cell r="C69" t="str">
            <v>Pathumthani</v>
          </cell>
          <cell r="D69" t="str">
            <v>Dealers in Pathumthani</v>
          </cell>
          <cell r="E69" t="str">
            <v>Best in Pathumthani</v>
          </cell>
          <cell r="F69" t="str">
            <v>PratumThani.Honda</v>
          </cell>
          <cell r="G69" t="str">
            <v>Dealer</v>
          </cell>
          <cell r="H69" t="str">
            <v>05</v>
          </cell>
          <cell r="I69" t="str">
            <v>PratumThani.Honda.05Q4.csi.05.066</v>
          </cell>
        </row>
        <row r="70">
          <cell r="A70">
            <v>39</v>
          </cell>
          <cell r="B70" t="str">
            <v>Tanyabiri Honda Car</v>
          </cell>
          <cell r="C70" t="str">
            <v>Pathumthani</v>
          </cell>
          <cell r="D70" t="str">
            <v>Dealers in Pathumthani</v>
          </cell>
          <cell r="E70" t="str">
            <v>Best in Pathumthani</v>
          </cell>
          <cell r="F70" t="str">
            <v>Tanyabiri.Honda</v>
          </cell>
          <cell r="G70" t="str">
            <v>Dealer</v>
          </cell>
          <cell r="H70" t="str">
            <v>05</v>
          </cell>
          <cell r="I70" t="str">
            <v>Tanyabiri.Honda.05Q4.csi.05.066</v>
          </cell>
        </row>
        <row r="74">
          <cell r="A74" t="str">
            <v>Indonesia</v>
          </cell>
          <cell r="B74" t="str">
            <v>UniqueName</v>
          </cell>
          <cell r="C74" t="str">
            <v>Comparison segment</v>
          </cell>
          <cell r="D74" t="str">
            <v>Ranked Type</v>
          </cell>
          <cell r="F74" t="str">
            <v>User Id</v>
          </cell>
          <cell r="G74" t="str">
            <v>Report Type</v>
          </cell>
          <cell r="H74" t="str">
            <v>Code</v>
          </cell>
          <cell r="I74" t="str">
            <v>Filename</v>
          </cell>
        </row>
        <row r="75">
          <cell r="A75">
            <v>1</v>
          </cell>
          <cell r="B75" t="str">
            <v>Study Total</v>
          </cell>
          <cell r="C75" t="str">
            <v>Study Total</v>
          </cell>
          <cell r="E75" t="str">
            <v>Best Dealer</v>
          </cell>
          <cell r="F75" t="str">
            <v>Study Total.honda</v>
          </cell>
          <cell r="G75" t="str">
            <v>Study Total</v>
          </cell>
          <cell r="H75" t="str">
            <v>01</v>
          </cell>
          <cell r="I75" t="str">
            <v>Study Total.honda.05Q4.csi.01.062</v>
          </cell>
        </row>
        <row r="76">
          <cell r="A76">
            <v>2</v>
          </cell>
          <cell r="B76" t="str">
            <v>Jazz</v>
          </cell>
          <cell r="C76" t="str">
            <v>Study Total</v>
          </cell>
          <cell r="D76" t="str">
            <v>Vehicle Type</v>
          </cell>
          <cell r="E76" t="str">
            <v>Best In Models</v>
          </cell>
          <cell r="F76" t="str">
            <v>Jazz.honda</v>
          </cell>
          <cell r="G76" t="str">
            <v>Model</v>
          </cell>
          <cell r="H76" t="str">
            <v>04</v>
          </cell>
          <cell r="I76" t="str">
            <v>Jazz.honda.05Q4.csi.04.062</v>
          </cell>
        </row>
        <row r="77">
          <cell r="A77">
            <v>3</v>
          </cell>
          <cell r="B77" t="str">
            <v>City</v>
          </cell>
          <cell r="C77" t="str">
            <v>Study Total</v>
          </cell>
          <cell r="D77" t="str">
            <v>Vehicle Type</v>
          </cell>
          <cell r="E77" t="str">
            <v>Best In Models</v>
          </cell>
          <cell r="F77" t="str">
            <v>City.honda</v>
          </cell>
          <cell r="G77" t="str">
            <v>Model</v>
          </cell>
          <cell r="H77" t="str">
            <v>04</v>
          </cell>
          <cell r="I77" t="str">
            <v>City.honda.05Q4.csi.04.062</v>
          </cell>
        </row>
        <row r="78">
          <cell r="A78">
            <v>4</v>
          </cell>
          <cell r="B78" t="str">
            <v>Civic</v>
          </cell>
          <cell r="C78" t="str">
            <v>Study Total</v>
          </cell>
          <cell r="D78" t="str">
            <v>Vehicle Type</v>
          </cell>
          <cell r="E78" t="str">
            <v>Best In Models</v>
          </cell>
          <cell r="F78" t="str">
            <v>Civic.honda</v>
          </cell>
          <cell r="G78" t="str">
            <v>Model</v>
          </cell>
          <cell r="H78" t="str">
            <v>04</v>
          </cell>
          <cell r="I78" t="str">
            <v>Civic.honda.05Q4.csi.04.062</v>
          </cell>
        </row>
        <row r="79">
          <cell r="A79">
            <v>5</v>
          </cell>
          <cell r="B79" t="str">
            <v>Accord</v>
          </cell>
          <cell r="C79" t="str">
            <v>Study Total</v>
          </cell>
          <cell r="D79" t="str">
            <v>Vehicle Type</v>
          </cell>
          <cell r="E79" t="str">
            <v>Best In Models</v>
          </cell>
          <cell r="F79" t="str">
            <v>Accord.honda</v>
          </cell>
          <cell r="G79" t="str">
            <v>Model</v>
          </cell>
          <cell r="H79" t="str">
            <v>04</v>
          </cell>
          <cell r="I79" t="str">
            <v>Accord.honda.05Q4.csi.04.062</v>
          </cell>
        </row>
        <row r="80">
          <cell r="A80">
            <v>6</v>
          </cell>
          <cell r="B80" t="str">
            <v>CR-V</v>
          </cell>
          <cell r="C80" t="str">
            <v>Study Total</v>
          </cell>
          <cell r="D80" t="str">
            <v>Vehicle Type</v>
          </cell>
          <cell r="E80" t="str">
            <v>Best In Models</v>
          </cell>
          <cell r="F80" t="str">
            <v>CR-V.honda</v>
          </cell>
          <cell r="G80" t="str">
            <v>Model</v>
          </cell>
          <cell r="H80" t="str">
            <v>04</v>
          </cell>
          <cell r="I80" t="str">
            <v>CR-V.honda.05Q4.csi.04.062</v>
          </cell>
        </row>
        <row r="81">
          <cell r="A81">
            <v>7</v>
          </cell>
          <cell r="B81" t="str">
            <v>Stream</v>
          </cell>
          <cell r="C81" t="str">
            <v>Study Total</v>
          </cell>
          <cell r="D81" t="str">
            <v>Vehicle Type</v>
          </cell>
          <cell r="E81" t="str">
            <v>Best In Models</v>
          </cell>
          <cell r="F81" t="str">
            <v>Stream.honda</v>
          </cell>
          <cell r="G81" t="str">
            <v>Model</v>
          </cell>
          <cell r="H81" t="str">
            <v>04</v>
          </cell>
          <cell r="I81" t="str">
            <v>Stream.honda.05Q4.csi.04.062</v>
          </cell>
        </row>
        <row r="82">
          <cell r="A82">
            <v>8</v>
          </cell>
          <cell r="B82" t="str">
            <v>Central Java</v>
          </cell>
          <cell r="C82" t="str">
            <v>Study Total</v>
          </cell>
          <cell r="D82" t="str">
            <v>State</v>
          </cell>
          <cell r="E82" t="str">
            <v>Best in Regions</v>
          </cell>
          <cell r="F82" t="str">
            <v>Central Java.honda</v>
          </cell>
          <cell r="G82" t="str">
            <v>Region</v>
          </cell>
          <cell r="H82" t="str">
            <v>03</v>
          </cell>
          <cell r="I82" t="str">
            <v>Central Java.honda.05Q4.csi.03.062</v>
          </cell>
        </row>
        <row r="83">
          <cell r="A83">
            <v>9</v>
          </cell>
          <cell r="B83" t="str">
            <v>East Java</v>
          </cell>
          <cell r="C83" t="str">
            <v>Study Total</v>
          </cell>
          <cell r="D83" t="str">
            <v>State</v>
          </cell>
          <cell r="E83" t="str">
            <v>Best in Regions</v>
          </cell>
          <cell r="F83" t="str">
            <v>East Java.honda</v>
          </cell>
          <cell r="G83" t="str">
            <v>Region</v>
          </cell>
          <cell r="H83" t="str">
            <v>03</v>
          </cell>
          <cell r="I83" t="str">
            <v>East Java.honda.05Q4.csi.03.062</v>
          </cell>
        </row>
        <row r="84">
          <cell r="A84">
            <v>10</v>
          </cell>
          <cell r="B84" t="str">
            <v>Jakarta</v>
          </cell>
          <cell r="C84" t="str">
            <v>Study Total</v>
          </cell>
          <cell r="D84" t="str">
            <v>State</v>
          </cell>
          <cell r="E84" t="str">
            <v>Best in Regions</v>
          </cell>
          <cell r="F84" t="str">
            <v>Jakarta.honda</v>
          </cell>
          <cell r="G84" t="str">
            <v>Region</v>
          </cell>
          <cell r="H84" t="str">
            <v>03</v>
          </cell>
          <cell r="I84" t="str">
            <v>Jakarta.honda.05Q4.csi.03.062</v>
          </cell>
        </row>
        <row r="85">
          <cell r="A85">
            <v>11</v>
          </cell>
          <cell r="B85" t="str">
            <v>Outside Java</v>
          </cell>
          <cell r="C85" t="str">
            <v>Study Total</v>
          </cell>
          <cell r="D85" t="str">
            <v>State</v>
          </cell>
          <cell r="E85" t="str">
            <v>Best in Regions</v>
          </cell>
          <cell r="F85" t="str">
            <v>Outside Java.honda</v>
          </cell>
          <cell r="G85" t="str">
            <v>Region</v>
          </cell>
          <cell r="H85" t="str">
            <v>03</v>
          </cell>
          <cell r="I85" t="str">
            <v>Outside Java.honda.05Q4.csi.03.062</v>
          </cell>
        </row>
        <row r="86">
          <cell r="A86">
            <v>12</v>
          </cell>
          <cell r="B86" t="str">
            <v>West Java</v>
          </cell>
          <cell r="C86" t="str">
            <v>Study Total</v>
          </cell>
          <cell r="D86" t="str">
            <v>State</v>
          </cell>
          <cell r="E86" t="str">
            <v>Best in Regions</v>
          </cell>
          <cell r="F86" t="str">
            <v>West Java.honda</v>
          </cell>
          <cell r="G86" t="str">
            <v>Region</v>
          </cell>
          <cell r="H86" t="str">
            <v>03</v>
          </cell>
          <cell r="I86" t="str">
            <v>West Java.honda.05Q4.csi.03.062</v>
          </cell>
        </row>
        <row r="87">
          <cell r="A87">
            <v>13</v>
          </cell>
          <cell r="B87" t="str">
            <v>Semarang Center Honda</v>
          </cell>
          <cell r="C87" t="str">
            <v>Central Java</v>
          </cell>
          <cell r="D87" t="str">
            <v>Dealers in Central Java</v>
          </cell>
          <cell r="E87" t="str">
            <v>Best in Central Java</v>
          </cell>
          <cell r="F87" t="str">
            <v>Semarang.honda</v>
          </cell>
          <cell r="G87" t="str">
            <v>Dealer</v>
          </cell>
          <cell r="H87" t="str">
            <v>05</v>
          </cell>
          <cell r="I87" t="str">
            <v>Semarang.honda.05Q4.csi.05.062</v>
          </cell>
        </row>
        <row r="88">
          <cell r="A88">
            <v>14</v>
          </cell>
          <cell r="B88" t="str">
            <v>Anugerah Honda</v>
          </cell>
          <cell r="C88" t="str">
            <v>Central Java</v>
          </cell>
          <cell r="D88" t="str">
            <v>Dealers in Central Java</v>
          </cell>
          <cell r="E88" t="str">
            <v>Best in Central Java</v>
          </cell>
          <cell r="F88" t="str">
            <v>Anugerah.honda</v>
          </cell>
          <cell r="G88" t="str">
            <v>Dealer</v>
          </cell>
          <cell r="H88" t="str">
            <v>05</v>
          </cell>
          <cell r="I88" t="str">
            <v>Anugerah.honda.05Q4.csi.05.062</v>
          </cell>
        </row>
        <row r="89">
          <cell r="A89">
            <v>15</v>
          </cell>
          <cell r="B89" t="str">
            <v>Bintang Honda</v>
          </cell>
          <cell r="C89" t="str">
            <v>Central Java</v>
          </cell>
          <cell r="D89" t="str">
            <v>Dealers in Central Java</v>
          </cell>
          <cell r="E89" t="str">
            <v>Best in Central Java</v>
          </cell>
          <cell r="F89" t="str">
            <v>Bintang.honda</v>
          </cell>
          <cell r="G89" t="str">
            <v>Dealer</v>
          </cell>
          <cell r="H89" t="str">
            <v>05</v>
          </cell>
          <cell r="I89" t="str">
            <v>Bintang.honda.05Q4.csi.05.062</v>
          </cell>
        </row>
        <row r="90">
          <cell r="A90">
            <v>16</v>
          </cell>
          <cell r="B90" t="str">
            <v>Istana Carindo Honda</v>
          </cell>
          <cell r="C90" t="str">
            <v>Central Java</v>
          </cell>
          <cell r="D90" t="str">
            <v>Dealers in Central Java</v>
          </cell>
          <cell r="E90" t="str">
            <v>Best in Central Java</v>
          </cell>
          <cell r="F90" t="str">
            <v>Carindo.honda</v>
          </cell>
          <cell r="G90" t="str">
            <v>Dealer</v>
          </cell>
          <cell r="H90" t="str">
            <v>05</v>
          </cell>
          <cell r="I90" t="str">
            <v>Carindo.honda.05Q4.csi.05.062</v>
          </cell>
        </row>
        <row r="91">
          <cell r="A91">
            <v>17</v>
          </cell>
          <cell r="B91" t="str">
            <v>Istana Cendrawasih Honda</v>
          </cell>
          <cell r="C91" t="str">
            <v>Central Java</v>
          </cell>
          <cell r="D91" t="str">
            <v>Dealers in Central Java</v>
          </cell>
          <cell r="E91" t="str">
            <v>Best in Central Java</v>
          </cell>
          <cell r="F91" t="str">
            <v>Cendrawasih.honda</v>
          </cell>
          <cell r="G91" t="str">
            <v>Dealer</v>
          </cell>
          <cell r="H91" t="str">
            <v>05</v>
          </cell>
          <cell r="I91" t="str">
            <v>Cendrawasih.honda.05Q4.csi.05.062</v>
          </cell>
        </row>
        <row r="92">
          <cell r="A92">
            <v>18</v>
          </cell>
          <cell r="B92" t="str">
            <v>Kusuma Honda</v>
          </cell>
          <cell r="C92" t="str">
            <v>Central Java</v>
          </cell>
          <cell r="D92" t="str">
            <v>Dealers in Central Java</v>
          </cell>
          <cell r="E92" t="str">
            <v>Best in Central Java</v>
          </cell>
          <cell r="F92" t="str">
            <v>Kusuma.honda</v>
          </cell>
          <cell r="G92" t="str">
            <v>Dealer</v>
          </cell>
          <cell r="H92" t="str">
            <v>05</v>
          </cell>
          <cell r="I92" t="str">
            <v>Kusuma.honda.05Q4.csi.05.062</v>
          </cell>
        </row>
        <row r="93">
          <cell r="A93">
            <v>19</v>
          </cell>
          <cell r="B93" t="str">
            <v>Pekalongan Motor Honda</v>
          </cell>
          <cell r="C93" t="str">
            <v>Central Java</v>
          </cell>
          <cell r="D93" t="str">
            <v>Dealers in Central Java</v>
          </cell>
          <cell r="E93" t="str">
            <v>Best in Central Java</v>
          </cell>
          <cell r="F93" t="str">
            <v>Pekalongan.honda</v>
          </cell>
          <cell r="G93" t="str">
            <v>Dealer</v>
          </cell>
          <cell r="H93" t="str">
            <v>05</v>
          </cell>
          <cell r="I93" t="str">
            <v>Pekalongan.honda.05Q4.csi.05.062</v>
          </cell>
        </row>
        <row r="94">
          <cell r="A94">
            <v>20</v>
          </cell>
          <cell r="B94" t="str">
            <v>Tugu Honda</v>
          </cell>
          <cell r="C94" t="str">
            <v>Central Java</v>
          </cell>
          <cell r="D94" t="str">
            <v>Dealers in Central Java</v>
          </cell>
          <cell r="E94" t="str">
            <v>Best in Central Java</v>
          </cell>
          <cell r="F94" t="str">
            <v>Tugu.honda</v>
          </cell>
          <cell r="G94" t="str">
            <v>Dealer</v>
          </cell>
          <cell r="H94" t="str">
            <v>05</v>
          </cell>
          <cell r="I94" t="str">
            <v>Tugu.honda.05Q4.csi.05.062</v>
          </cell>
        </row>
        <row r="95">
          <cell r="A95">
            <v>21</v>
          </cell>
          <cell r="B95" t="str">
            <v>Tunas Jaya Honda</v>
          </cell>
          <cell r="C95" t="str">
            <v>Central Java</v>
          </cell>
          <cell r="D95" t="str">
            <v>Dealers in Central Java</v>
          </cell>
          <cell r="E95" t="str">
            <v>Best in Central Java</v>
          </cell>
          <cell r="F95" t="str">
            <v>Tunas.honda</v>
          </cell>
          <cell r="G95" t="str">
            <v>Dealer</v>
          </cell>
          <cell r="H95" t="str">
            <v>05</v>
          </cell>
          <cell r="I95" t="str">
            <v>Tunas.honda.05Q4.csi.05.062</v>
          </cell>
        </row>
        <row r="96">
          <cell r="A96">
            <v>22</v>
          </cell>
          <cell r="B96" t="str">
            <v>Solo Baru  Honda</v>
          </cell>
          <cell r="C96" t="str">
            <v>Central Java</v>
          </cell>
          <cell r="D96" t="str">
            <v>Dealers in Central Java</v>
          </cell>
          <cell r="E96" t="str">
            <v>Best in Central Java</v>
          </cell>
          <cell r="F96" t="str">
            <v>Solobaru.honda</v>
          </cell>
          <cell r="G96" t="str">
            <v>Dealer</v>
          </cell>
          <cell r="H96" t="str">
            <v>05</v>
          </cell>
          <cell r="I96" t="str">
            <v>Solobaru.honda.05Q4.csi.05.062</v>
          </cell>
        </row>
        <row r="97">
          <cell r="A97">
            <v>23</v>
          </cell>
          <cell r="B97" t="str">
            <v>Kudus Jaya Honda</v>
          </cell>
          <cell r="C97" t="str">
            <v>Central Java</v>
          </cell>
          <cell r="D97" t="str">
            <v>Dealers in Central Java</v>
          </cell>
          <cell r="E97" t="str">
            <v>Best in Central Java</v>
          </cell>
          <cell r="F97" t="str">
            <v>Kudusjaya.honda</v>
          </cell>
          <cell r="G97" t="str">
            <v>Dealer</v>
          </cell>
          <cell r="H97" t="str">
            <v>05</v>
          </cell>
          <cell r="I97" t="str">
            <v>Kudusjaya.honda.05Q4.csi.05.062</v>
          </cell>
        </row>
        <row r="98">
          <cell r="A98">
            <v>24</v>
          </cell>
          <cell r="B98" t="str">
            <v>Surabaya Center Honda</v>
          </cell>
          <cell r="C98" t="str">
            <v>East Java</v>
          </cell>
          <cell r="D98" t="str">
            <v>Dealers in East Java</v>
          </cell>
          <cell r="E98" t="str">
            <v>Best in East Java</v>
          </cell>
          <cell r="F98" t="str">
            <v>Surabaya.honda</v>
          </cell>
          <cell r="G98" t="str">
            <v>Dealer</v>
          </cell>
          <cell r="H98" t="str">
            <v>05</v>
          </cell>
          <cell r="I98" t="str">
            <v>Surabaya.honda.05Q4.csi.05.062</v>
          </cell>
        </row>
        <row r="99">
          <cell r="A99">
            <v>25</v>
          </cell>
          <cell r="B99" t="str">
            <v>Denpasar Agung Honda</v>
          </cell>
          <cell r="C99" t="str">
            <v>East Java</v>
          </cell>
          <cell r="D99" t="str">
            <v>Dealers in East Java</v>
          </cell>
          <cell r="E99" t="str">
            <v>Best in East Java</v>
          </cell>
          <cell r="F99" t="str">
            <v>Denpasar.honda</v>
          </cell>
          <cell r="G99" t="str">
            <v>Dealer</v>
          </cell>
          <cell r="H99" t="str">
            <v>05</v>
          </cell>
          <cell r="I99" t="str">
            <v>Denpasar.honda.05Q4.csi.05.062</v>
          </cell>
        </row>
        <row r="100">
          <cell r="A100">
            <v>26</v>
          </cell>
          <cell r="B100" t="str">
            <v>Jayakarta Motor Honda</v>
          </cell>
          <cell r="C100" t="str">
            <v>East Java</v>
          </cell>
          <cell r="D100" t="str">
            <v>Dealers in East Java</v>
          </cell>
          <cell r="E100" t="str">
            <v>Best in East Java</v>
          </cell>
          <cell r="F100" t="str">
            <v>Jayakarta.honda</v>
          </cell>
          <cell r="G100" t="str">
            <v>Dealer</v>
          </cell>
          <cell r="H100" t="str">
            <v>05</v>
          </cell>
          <cell r="I100" t="str">
            <v>Jayakarta.honda.05Q4.csi.05.062</v>
          </cell>
        </row>
        <row r="101">
          <cell r="A101">
            <v>27</v>
          </cell>
          <cell r="B101" t="str">
            <v>MPM Malang Honda</v>
          </cell>
          <cell r="C101" t="str">
            <v>East Java</v>
          </cell>
          <cell r="D101" t="str">
            <v>Dealers in East Java</v>
          </cell>
          <cell r="E101" t="str">
            <v>Best in East Java</v>
          </cell>
          <cell r="F101" t="str">
            <v>MPMmalang.honda</v>
          </cell>
          <cell r="G101" t="str">
            <v>Dealer</v>
          </cell>
          <cell r="H101" t="str">
            <v>05</v>
          </cell>
          <cell r="I101" t="str">
            <v>MPMmalang.honda.05Q4.csi.05.062</v>
          </cell>
        </row>
        <row r="102">
          <cell r="A102">
            <v>28</v>
          </cell>
          <cell r="B102" t="str">
            <v>Naga Motor Honda</v>
          </cell>
          <cell r="C102" t="str">
            <v>East Java</v>
          </cell>
          <cell r="D102" t="str">
            <v>Dealers in East Java</v>
          </cell>
          <cell r="E102" t="str">
            <v>Best in East Java</v>
          </cell>
          <cell r="F102" t="str">
            <v>Naga.honda</v>
          </cell>
          <cell r="G102" t="str">
            <v>Dealer</v>
          </cell>
          <cell r="H102" t="str">
            <v>05</v>
          </cell>
          <cell r="I102" t="str">
            <v>Naga.honda.05Q4.csi.05.062</v>
          </cell>
        </row>
        <row r="103">
          <cell r="A103">
            <v>29</v>
          </cell>
          <cell r="B103" t="str">
            <v>Pacific Motor Honda</v>
          </cell>
          <cell r="C103" t="str">
            <v>East Java</v>
          </cell>
          <cell r="D103" t="str">
            <v>Dealers in East Java</v>
          </cell>
          <cell r="E103" t="str">
            <v>Best in East Java</v>
          </cell>
          <cell r="F103" t="str">
            <v>Pacific.honda</v>
          </cell>
          <cell r="G103" t="str">
            <v>Dealer</v>
          </cell>
          <cell r="H103" t="str">
            <v>05</v>
          </cell>
          <cell r="I103" t="str">
            <v>Pacific.honda.05Q4.csi.05.062</v>
          </cell>
        </row>
        <row r="104">
          <cell r="A104">
            <v>30</v>
          </cell>
          <cell r="B104" t="str">
            <v>Saver Honda</v>
          </cell>
          <cell r="C104" t="str">
            <v>East Java</v>
          </cell>
          <cell r="D104" t="str">
            <v>Dealers in East Java</v>
          </cell>
          <cell r="E104" t="str">
            <v>Best in East Java</v>
          </cell>
          <cell r="F104" t="str">
            <v>Saver.honda</v>
          </cell>
          <cell r="G104" t="str">
            <v>Dealer</v>
          </cell>
          <cell r="H104" t="str">
            <v>05</v>
          </cell>
          <cell r="I104" t="str">
            <v>Saver.honda.05Q4.csi.05.062</v>
          </cell>
        </row>
        <row r="105">
          <cell r="A105">
            <v>31</v>
          </cell>
          <cell r="B105" t="str">
            <v>Surya Agung Honda</v>
          </cell>
          <cell r="C105" t="str">
            <v>East Java</v>
          </cell>
          <cell r="D105" t="str">
            <v>Dealers in East Java</v>
          </cell>
          <cell r="E105" t="str">
            <v>Best in East Java</v>
          </cell>
          <cell r="F105" t="str">
            <v>Suryaagung.honda</v>
          </cell>
          <cell r="G105" t="str">
            <v>Dealer</v>
          </cell>
          <cell r="H105" t="str">
            <v>05</v>
          </cell>
          <cell r="I105" t="str">
            <v>Suryaagung.honda.05Q4.csi.05.062</v>
          </cell>
        </row>
        <row r="106">
          <cell r="A106">
            <v>32</v>
          </cell>
          <cell r="B106" t="str">
            <v>Jakarta Center Honda</v>
          </cell>
          <cell r="C106" t="str">
            <v>Jakarta</v>
          </cell>
          <cell r="D106" t="str">
            <v>Dealers in Jakarta</v>
          </cell>
          <cell r="E106" t="str">
            <v>Best in Jakarta</v>
          </cell>
          <cell r="F106" t="str">
            <v>Jakarta.honda</v>
          </cell>
          <cell r="G106" t="str">
            <v>Dealer</v>
          </cell>
          <cell r="H106" t="str">
            <v>05</v>
          </cell>
          <cell r="I106" t="str">
            <v>Jakarta.honda.05Q4.csi.05.062</v>
          </cell>
        </row>
        <row r="107">
          <cell r="A107">
            <v>33</v>
          </cell>
          <cell r="B107" t="str">
            <v>Autoland Honda</v>
          </cell>
          <cell r="C107" t="str">
            <v>Jakarta</v>
          </cell>
          <cell r="D107" t="str">
            <v>Dealers in Jakarta</v>
          </cell>
          <cell r="E107" t="str">
            <v>Best in Jakarta</v>
          </cell>
          <cell r="F107" t="str">
            <v>AutolAnd.honda</v>
          </cell>
          <cell r="G107" t="str">
            <v>Dealer</v>
          </cell>
          <cell r="H107" t="str">
            <v>05</v>
          </cell>
          <cell r="I107" t="str">
            <v>AutolAnd.honda.05Q4.csi.05.062</v>
          </cell>
        </row>
        <row r="108">
          <cell r="A108">
            <v>34</v>
          </cell>
          <cell r="B108" t="str">
            <v>Bintaro Honda</v>
          </cell>
          <cell r="C108" t="str">
            <v>Jakarta</v>
          </cell>
          <cell r="D108" t="str">
            <v>Dealers in Jakarta</v>
          </cell>
          <cell r="E108" t="str">
            <v>Best in Jakarta</v>
          </cell>
          <cell r="F108" t="str">
            <v>Bintaro.honda</v>
          </cell>
          <cell r="G108" t="str">
            <v>Dealer</v>
          </cell>
          <cell r="H108" t="str">
            <v>05</v>
          </cell>
          <cell r="I108" t="str">
            <v>Bintaro.honda.05Q4.csi.05.062</v>
          </cell>
        </row>
        <row r="109">
          <cell r="A109">
            <v>35</v>
          </cell>
          <cell r="B109" t="str">
            <v>Sunter Honda</v>
          </cell>
          <cell r="C109" t="str">
            <v>Jakarta</v>
          </cell>
          <cell r="D109" t="str">
            <v>Dealers in Jakarta</v>
          </cell>
          <cell r="E109" t="str">
            <v>Best in Jakarta</v>
          </cell>
          <cell r="F109" t="str">
            <v>Sunter.honda</v>
          </cell>
          <cell r="G109" t="str">
            <v>Dealer</v>
          </cell>
          <cell r="H109" t="str">
            <v>05</v>
          </cell>
          <cell r="I109" t="str">
            <v>Sunter.honda.05Q4.csi.05.062</v>
          </cell>
        </row>
        <row r="110">
          <cell r="A110">
            <v>36</v>
          </cell>
          <cell r="B110" t="str">
            <v>Inti Karya Megah Honda</v>
          </cell>
          <cell r="C110" t="str">
            <v>Jakarta</v>
          </cell>
          <cell r="D110" t="str">
            <v>Dealers in Jakarta</v>
          </cell>
          <cell r="E110" t="str">
            <v>Best in Jakarta</v>
          </cell>
          <cell r="F110" t="str">
            <v>IntIkrya.honda</v>
          </cell>
          <cell r="G110" t="str">
            <v>Dealer</v>
          </cell>
          <cell r="H110" t="str">
            <v>05</v>
          </cell>
          <cell r="I110" t="str">
            <v>IntIkrya.honda.05Q4.csi.05.062</v>
          </cell>
        </row>
        <row r="111">
          <cell r="A111">
            <v>37</v>
          </cell>
          <cell r="B111" t="str">
            <v>Fatmawati Honda</v>
          </cell>
          <cell r="C111" t="str">
            <v>Jakarta</v>
          </cell>
          <cell r="D111" t="str">
            <v>Dealers in Jakarta</v>
          </cell>
          <cell r="E111" t="str">
            <v>Best in Jakarta</v>
          </cell>
          <cell r="F111" t="str">
            <v>Fatmawati.honda</v>
          </cell>
          <cell r="G111" t="str">
            <v>Dealer</v>
          </cell>
          <cell r="H111" t="str">
            <v>05</v>
          </cell>
          <cell r="I111" t="str">
            <v>Fatmawati.honda.05Q4.csi.05.062</v>
          </cell>
        </row>
        <row r="112">
          <cell r="A112">
            <v>38</v>
          </cell>
          <cell r="B112" t="str">
            <v>Pondok Indah Honda</v>
          </cell>
          <cell r="C112" t="str">
            <v>Jakarta</v>
          </cell>
          <cell r="D112" t="str">
            <v>Dealers in Jakarta</v>
          </cell>
          <cell r="E112" t="str">
            <v>Best in Jakarta</v>
          </cell>
          <cell r="F112" t="str">
            <v>Pondok.honda</v>
          </cell>
          <cell r="G112" t="str">
            <v>Dealer</v>
          </cell>
          <cell r="H112" t="str">
            <v>05</v>
          </cell>
          <cell r="I112" t="str">
            <v>Pondok.honda.05Q4.csi.05.062</v>
          </cell>
        </row>
        <row r="113">
          <cell r="A113">
            <v>39</v>
          </cell>
          <cell r="B113" t="str">
            <v>Kebon Jeruk Honda</v>
          </cell>
          <cell r="C113" t="str">
            <v>Jakarta</v>
          </cell>
          <cell r="D113" t="str">
            <v>Dealers in Jakarta</v>
          </cell>
          <cell r="E113" t="str">
            <v>Best in Jakarta</v>
          </cell>
          <cell r="F113" t="str">
            <v>Kebon.honda</v>
          </cell>
          <cell r="G113" t="str">
            <v>Dealer</v>
          </cell>
          <cell r="H113" t="str">
            <v>05</v>
          </cell>
          <cell r="I113" t="str">
            <v>Kebon.honda.05Q4.csi.05.062</v>
          </cell>
        </row>
        <row r="114">
          <cell r="A114">
            <v>40</v>
          </cell>
          <cell r="B114" t="str">
            <v>Daan Mogot Honda</v>
          </cell>
          <cell r="C114" t="str">
            <v>Jakarta</v>
          </cell>
          <cell r="D114" t="str">
            <v>Dealers in Jakarta</v>
          </cell>
          <cell r="E114" t="str">
            <v>Best in Jakarta</v>
          </cell>
          <cell r="F114" t="str">
            <v>Daanmogot.honda</v>
          </cell>
          <cell r="G114" t="str">
            <v>Dealer</v>
          </cell>
          <cell r="H114" t="str">
            <v>05</v>
          </cell>
          <cell r="I114" t="str">
            <v>Daanmogot.honda.05Q4.csi.05.062</v>
          </cell>
        </row>
        <row r="115">
          <cell r="A115">
            <v>41</v>
          </cell>
          <cell r="B115" t="str">
            <v>Hasyim Ashari Honda</v>
          </cell>
          <cell r="C115" t="str">
            <v>Jakarta</v>
          </cell>
          <cell r="D115" t="str">
            <v>Dealers in Jakarta</v>
          </cell>
          <cell r="E115" t="str">
            <v>Best in Jakarta</v>
          </cell>
          <cell r="F115" t="str">
            <v>Hasyim.honda</v>
          </cell>
          <cell r="G115" t="str">
            <v>Dealer</v>
          </cell>
          <cell r="H115" t="str">
            <v>05</v>
          </cell>
          <cell r="I115" t="str">
            <v>Hasyim.honda.05Q4.csi.05.062</v>
          </cell>
        </row>
        <row r="116">
          <cell r="A116">
            <v>42</v>
          </cell>
          <cell r="B116" t="str">
            <v>Jaya Niaga Honda</v>
          </cell>
          <cell r="C116" t="str">
            <v>Jakarta</v>
          </cell>
          <cell r="D116" t="str">
            <v>Dealers in Jakarta</v>
          </cell>
          <cell r="E116" t="str">
            <v>Best in Jakarta</v>
          </cell>
          <cell r="F116" t="str">
            <v>Jayaniaga.honda</v>
          </cell>
          <cell r="G116" t="str">
            <v>Dealer</v>
          </cell>
          <cell r="H116" t="str">
            <v>05</v>
          </cell>
          <cell r="I116" t="str">
            <v>Jayaniaga.honda.05Q4.csi.05.062</v>
          </cell>
        </row>
        <row r="117">
          <cell r="A117">
            <v>43</v>
          </cell>
          <cell r="B117" t="str">
            <v>Mugen Honda</v>
          </cell>
          <cell r="C117" t="str">
            <v>Jakarta</v>
          </cell>
          <cell r="D117" t="str">
            <v>Dealers in Jakarta</v>
          </cell>
          <cell r="E117" t="str">
            <v>Best in Jakarta</v>
          </cell>
          <cell r="F117" t="str">
            <v>Mugen.honda</v>
          </cell>
          <cell r="G117" t="str">
            <v>Dealer</v>
          </cell>
          <cell r="H117" t="str">
            <v>05</v>
          </cell>
          <cell r="I117" t="str">
            <v>Mugen.honda.05Q4.csi.05.062</v>
          </cell>
        </row>
        <row r="118">
          <cell r="A118">
            <v>44</v>
          </cell>
          <cell r="B118" t="str">
            <v>Cakra Pangukir Honda</v>
          </cell>
          <cell r="C118" t="str">
            <v>Jakarta</v>
          </cell>
          <cell r="D118" t="str">
            <v>Dealers in Jakarta</v>
          </cell>
          <cell r="E118" t="str">
            <v>Best in Jakarta</v>
          </cell>
          <cell r="F118" t="str">
            <v>Cakra.honda</v>
          </cell>
          <cell r="G118" t="str">
            <v>Dealer</v>
          </cell>
          <cell r="H118" t="str">
            <v>05</v>
          </cell>
          <cell r="I118" t="str">
            <v>Cakra.honda.05Q4.csi.05.062</v>
          </cell>
        </row>
        <row r="119">
          <cell r="A119">
            <v>45</v>
          </cell>
          <cell r="B119" t="str">
            <v>Permata Hijau Honda</v>
          </cell>
          <cell r="C119" t="str">
            <v>Jakarta</v>
          </cell>
          <cell r="D119" t="str">
            <v>Dealers in Jakarta</v>
          </cell>
          <cell r="E119" t="str">
            <v>Best in Jakarta</v>
          </cell>
          <cell r="F119" t="str">
            <v>Permata.honda</v>
          </cell>
          <cell r="G119" t="str">
            <v>Dealer</v>
          </cell>
          <cell r="H119" t="str">
            <v>05</v>
          </cell>
          <cell r="I119" t="str">
            <v>Permata.honda.05Q4.csi.05.062</v>
          </cell>
        </row>
        <row r="120">
          <cell r="A120">
            <v>46</v>
          </cell>
          <cell r="B120" t="str">
            <v>Pluit Honda</v>
          </cell>
          <cell r="C120" t="str">
            <v>Jakarta</v>
          </cell>
          <cell r="D120" t="str">
            <v>Dealers in Jakarta</v>
          </cell>
          <cell r="E120" t="str">
            <v>Best in Jakarta</v>
          </cell>
          <cell r="F120" t="str">
            <v>Pluit.honda</v>
          </cell>
          <cell r="G120" t="str">
            <v>Dealer</v>
          </cell>
          <cell r="H120" t="str">
            <v>05</v>
          </cell>
          <cell r="I120" t="str">
            <v>Pluit.honda.05Q4.csi.05.062</v>
          </cell>
        </row>
        <row r="121">
          <cell r="A121">
            <v>47</v>
          </cell>
          <cell r="B121" t="str">
            <v>Tebet Honda</v>
          </cell>
          <cell r="C121" t="str">
            <v>Jakarta</v>
          </cell>
          <cell r="D121" t="str">
            <v>Dealers in Jakarta</v>
          </cell>
          <cell r="E121" t="str">
            <v>Best in Jakarta</v>
          </cell>
          <cell r="F121" t="str">
            <v>TebeT.honda</v>
          </cell>
          <cell r="G121" t="str">
            <v>Dealer</v>
          </cell>
          <cell r="H121" t="str">
            <v>05</v>
          </cell>
          <cell r="I121" t="str">
            <v>TebeT.honda.05Q4.csi.05.062</v>
          </cell>
        </row>
        <row r="122">
          <cell r="A122">
            <v>48</v>
          </cell>
          <cell r="B122" t="str">
            <v>Megatama Honda</v>
          </cell>
          <cell r="C122" t="str">
            <v>Jakarta</v>
          </cell>
          <cell r="D122" t="str">
            <v>Dealers in Jakarta</v>
          </cell>
          <cell r="E122" t="str">
            <v>Best in Jakarta</v>
          </cell>
          <cell r="F122" t="str">
            <v>MegataMa.honda</v>
          </cell>
          <cell r="G122" t="str">
            <v>Dealer</v>
          </cell>
          <cell r="H122" t="str">
            <v>05</v>
          </cell>
          <cell r="I122" t="str">
            <v>MegataMa.honda.05Q4.csi.05.062</v>
          </cell>
        </row>
        <row r="123">
          <cell r="A123">
            <v>49</v>
          </cell>
          <cell r="B123" t="str">
            <v>Tendean Honda</v>
          </cell>
          <cell r="C123" t="str">
            <v>Jakarta</v>
          </cell>
          <cell r="D123" t="str">
            <v>Dealers in Jakarta</v>
          </cell>
          <cell r="E123" t="str">
            <v>Best in Jakarta</v>
          </cell>
          <cell r="F123" t="str">
            <v>Tendean.honda</v>
          </cell>
          <cell r="G123" t="str">
            <v>Dealer</v>
          </cell>
          <cell r="H123" t="str">
            <v>05</v>
          </cell>
          <cell r="I123" t="str">
            <v>Tendean.honda.05Q4.csi.05.062</v>
          </cell>
        </row>
        <row r="124">
          <cell r="A124">
            <v>50</v>
          </cell>
          <cell r="B124" t="str">
            <v>Cibubur Honda</v>
          </cell>
          <cell r="C124" t="str">
            <v>Jakarta</v>
          </cell>
          <cell r="D124" t="str">
            <v>Dealers in Jakarta</v>
          </cell>
          <cell r="E124" t="str">
            <v>Best in Jakarta</v>
          </cell>
          <cell r="F124" t="str">
            <v>Cibubur.honda</v>
          </cell>
          <cell r="G124" t="str">
            <v>Dealer</v>
          </cell>
          <cell r="H124" t="str">
            <v>05</v>
          </cell>
          <cell r="I124" t="str">
            <v>Cibubur.honda.05Q4.csi.05.062</v>
          </cell>
        </row>
        <row r="125">
          <cell r="A125">
            <v>51</v>
          </cell>
          <cell r="B125" t="str">
            <v>Mandiri Bogor Honda</v>
          </cell>
          <cell r="C125" t="str">
            <v>Jakarta</v>
          </cell>
          <cell r="D125" t="str">
            <v>Dealers in Jakarta</v>
          </cell>
          <cell r="E125" t="str">
            <v>Best in Jakarta</v>
          </cell>
          <cell r="F125" t="str">
            <v>Mandiri.honda</v>
          </cell>
          <cell r="G125" t="str">
            <v>Dealer</v>
          </cell>
          <cell r="H125" t="str">
            <v>05</v>
          </cell>
          <cell r="I125" t="str">
            <v>Mandiri.honda.05Q4.csi.05.062</v>
          </cell>
        </row>
        <row r="126">
          <cell r="A126">
            <v>52</v>
          </cell>
          <cell r="B126" t="str">
            <v>Prima Honda</v>
          </cell>
          <cell r="C126" t="str">
            <v>Jakarta</v>
          </cell>
          <cell r="D126" t="str">
            <v>Dealers in Jakarta</v>
          </cell>
          <cell r="E126" t="str">
            <v>Best in Jakarta</v>
          </cell>
          <cell r="F126" t="str">
            <v>Prima.honda</v>
          </cell>
          <cell r="G126" t="str">
            <v>Dealer</v>
          </cell>
          <cell r="H126" t="str">
            <v>05</v>
          </cell>
          <cell r="I126" t="str">
            <v>Prima.honda.05Q4.csi.05.062</v>
          </cell>
        </row>
        <row r="127">
          <cell r="A127">
            <v>53</v>
          </cell>
          <cell r="B127" t="str">
            <v>Union Jaya Honda</v>
          </cell>
          <cell r="C127" t="str">
            <v>Jakarta</v>
          </cell>
          <cell r="D127" t="str">
            <v>Dealers in Jakarta</v>
          </cell>
          <cell r="E127" t="str">
            <v>Best in Jakarta</v>
          </cell>
          <cell r="F127" t="str">
            <v>Unoinjaya.honda</v>
          </cell>
          <cell r="G127" t="str">
            <v>Dealer</v>
          </cell>
          <cell r="H127" t="str">
            <v>05</v>
          </cell>
          <cell r="I127" t="str">
            <v>Unoinjaya.honda.05Q4.csi.05.062</v>
          </cell>
        </row>
        <row r="128">
          <cell r="A128">
            <v>54</v>
          </cell>
          <cell r="B128" t="str">
            <v>Cikarang Honda</v>
          </cell>
          <cell r="C128" t="str">
            <v>Jakarta</v>
          </cell>
          <cell r="D128" t="str">
            <v>Dealers in Jakarta</v>
          </cell>
          <cell r="E128" t="str">
            <v>Best in Jakarta</v>
          </cell>
          <cell r="F128" t="str">
            <v>Cikarang.honda</v>
          </cell>
          <cell r="G128" t="str">
            <v>Dealer</v>
          </cell>
          <cell r="H128" t="str">
            <v>05</v>
          </cell>
          <cell r="I128" t="str">
            <v>Cikarang.honda.05Q4.csi.05.062</v>
          </cell>
        </row>
        <row r="129">
          <cell r="A129">
            <v>55</v>
          </cell>
          <cell r="B129" t="str">
            <v>Gajah Motor Honda</v>
          </cell>
          <cell r="C129" t="str">
            <v>Outside Java</v>
          </cell>
          <cell r="D129" t="str">
            <v>Dealers in Outside Java</v>
          </cell>
          <cell r="E129" t="str">
            <v>Best in Outside Java</v>
          </cell>
          <cell r="F129" t="str">
            <v>Gajah.honda</v>
          </cell>
          <cell r="G129" t="str">
            <v>Dealer</v>
          </cell>
          <cell r="H129" t="str">
            <v>05</v>
          </cell>
          <cell r="I129" t="str">
            <v>Gajah.honda.05Q4.csi.05.062</v>
          </cell>
        </row>
        <row r="130">
          <cell r="A130">
            <v>56</v>
          </cell>
          <cell r="B130" t="str">
            <v>Daya Motor Honda</v>
          </cell>
          <cell r="C130" t="str">
            <v>Outside Java</v>
          </cell>
          <cell r="D130" t="str">
            <v>Dealers in Outside Java</v>
          </cell>
          <cell r="E130" t="str">
            <v>Best in Outside Java</v>
          </cell>
          <cell r="F130" t="str">
            <v>Daya.honda</v>
          </cell>
          <cell r="G130" t="str">
            <v>Dealer</v>
          </cell>
          <cell r="H130" t="str">
            <v>05</v>
          </cell>
          <cell r="I130" t="str">
            <v>Daya.honda.05Q4.csi.05.062</v>
          </cell>
        </row>
        <row r="131">
          <cell r="A131">
            <v>57</v>
          </cell>
          <cell r="B131" t="str">
            <v>IDK 1 Honda</v>
          </cell>
          <cell r="C131" t="str">
            <v>Outside Java</v>
          </cell>
          <cell r="D131" t="str">
            <v>Dealers in Outside Java</v>
          </cell>
          <cell r="E131" t="str">
            <v>Best in Outside Java</v>
          </cell>
          <cell r="F131" t="str">
            <v>Idk.honda</v>
          </cell>
          <cell r="G131" t="str">
            <v>Dealer</v>
          </cell>
          <cell r="H131" t="str">
            <v>05</v>
          </cell>
          <cell r="I131" t="str">
            <v>Idk.honda.05Q4.csi.05.062</v>
          </cell>
        </row>
        <row r="132">
          <cell r="A132">
            <v>58</v>
          </cell>
          <cell r="B132" t="str">
            <v>Lampung Raya Honda</v>
          </cell>
          <cell r="C132" t="str">
            <v>Outside Java</v>
          </cell>
          <cell r="D132" t="str">
            <v>Dealers in Outside Java</v>
          </cell>
          <cell r="E132" t="str">
            <v>Best in Outside Java</v>
          </cell>
          <cell r="F132" t="str">
            <v>Lampung.honda</v>
          </cell>
          <cell r="G132" t="str">
            <v>Dealer</v>
          </cell>
          <cell r="H132" t="str">
            <v>05</v>
          </cell>
          <cell r="I132" t="str">
            <v>Lampung.honda.05Q4.csi.05.062</v>
          </cell>
        </row>
        <row r="133">
          <cell r="A133">
            <v>59</v>
          </cell>
          <cell r="B133" t="str">
            <v>Trio Motor Honda</v>
          </cell>
          <cell r="C133" t="str">
            <v>Outside Java</v>
          </cell>
          <cell r="D133" t="str">
            <v>Dealers in Outside Java</v>
          </cell>
          <cell r="E133" t="str">
            <v>Best in Outside Java</v>
          </cell>
          <cell r="F133" t="str">
            <v>Trio.honda</v>
          </cell>
          <cell r="G133" t="str">
            <v>Dealer</v>
          </cell>
          <cell r="H133" t="str">
            <v>05</v>
          </cell>
          <cell r="I133" t="str">
            <v>Trio.honda.05Q4.csi.05.062</v>
          </cell>
        </row>
        <row r="134">
          <cell r="A134">
            <v>60</v>
          </cell>
          <cell r="B134" t="str">
            <v>Kertajaya Honda</v>
          </cell>
          <cell r="C134" t="str">
            <v>Outside Java</v>
          </cell>
          <cell r="D134" t="str">
            <v>Dealers in Outside Java</v>
          </cell>
          <cell r="E134" t="str">
            <v>Best in Outside Java</v>
          </cell>
          <cell r="F134" t="str">
            <v>Kertajaya.honda</v>
          </cell>
          <cell r="G134" t="str">
            <v>Dealer</v>
          </cell>
          <cell r="H134" t="str">
            <v>05</v>
          </cell>
          <cell r="I134" t="str">
            <v>Kertajaya.honda.05Q4.csi.05.062</v>
          </cell>
        </row>
        <row r="135">
          <cell r="A135">
            <v>61</v>
          </cell>
          <cell r="B135" t="str">
            <v>Makassar Indah Honda</v>
          </cell>
          <cell r="C135" t="str">
            <v>Outside Java</v>
          </cell>
          <cell r="D135" t="str">
            <v>Dealers in Outside Java</v>
          </cell>
          <cell r="E135" t="str">
            <v>Best in Outside Java</v>
          </cell>
          <cell r="F135" t="str">
            <v>Makassar.honda</v>
          </cell>
          <cell r="G135" t="str">
            <v>Dealer</v>
          </cell>
          <cell r="H135" t="str">
            <v>05</v>
          </cell>
          <cell r="I135" t="str">
            <v>Makassar.honda.05Q4.csi.05.062</v>
          </cell>
        </row>
        <row r="136">
          <cell r="A136">
            <v>62</v>
          </cell>
          <cell r="B136" t="str">
            <v>Remaja Jaya Honda</v>
          </cell>
          <cell r="C136" t="str">
            <v>Outside Java</v>
          </cell>
          <cell r="D136" t="str">
            <v>Dealers in Outside Java</v>
          </cell>
          <cell r="E136" t="str">
            <v>Best in Outside Java</v>
          </cell>
          <cell r="F136" t="str">
            <v>Remaja.honda</v>
          </cell>
          <cell r="G136" t="str">
            <v>Dealer</v>
          </cell>
          <cell r="H136" t="str">
            <v>05</v>
          </cell>
          <cell r="I136" t="str">
            <v>Remaja.honda.05Q4.csi.05.062</v>
          </cell>
        </row>
        <row r="137">
          <cell r="A137">
            <v>63</v>
          </cell>
          <cell r="B137" t="str">
            <v>Remaja Jaya - Manado Honda</v>
          </cell>
          <cell r="C137" t="str">
            <v>Outside Java</v>
          </cell>
          <cell r="D137" t="str">
            <v>Dealers in Outside Java</v>
          </cell>
          <cell r="E137" t="str">
            <v>Best in Outside Java</v>
          </cell>
          <cell r="F137" t="str">
            <v>Remajamanado.honda</v>
          </cell>
          <cell r="G137" t="str">
            <v>Dealer</v>
          </cell>
          <cell r="H137" t="str">
            <v>05</v>
          </cell>
          <cell r="I137" t="str">
            <v>Remajamanado.honda.05Q4.csi.05.062</v>
          </cell>
        </row>
        <row r="138">
          <cell r="A138">
            <v>64</v>
          </cell>
          <cell r="B138" t="str">
            <v>SLS Honda</v>
          </cell>
          <cell r="C138" t="str">
            <v>Outside Java</v>
          </cell>
          <cell r="D138" t="str">
            <v>Dealers in Outside Java</v>
          </cell>
          <cell r="E138" t="str">
            <v>Best in Outside Java</v>
          </cell>
          <cell r="F138" t="str">
            <v>SlS.honda</v>
          </cell>
          <cell r="G138" t="str">
            <v>Dealer</v>
          </cell>
          <cell r="H138" t="str">
            <v>05</v>
          </cell>
          <cell r="I138" t="str">
            <v>SlS.honda.05Q4.csi.05.062</v>
          </cell>
        </row>
        <row r="139">
          <cell r="A139">
            <v>65</v>
          </cell>
          <cell r="B139" t="str">
            <v>Semoga Jaya Honda</v>
          </cell>
          <cell r="C139" t="str">
            <v>Outside Java</v>
          </cell>
          <cell r="D139" t="str">
            <v>Dealers in Outside Java</v>
          </cell>
          <cell r="E139" t="str">
            <v>Best in Outside Java</v>
          </cell>
          <cell r="F139" t="str">
            <v>Semoga.honda</v>
          </cell>
          <cell r="G139" t="str">
            <v>Dealer</v>
          </cell>
          <cell r="H139" t="str">
            <v>05</v>
          </cell>
          <cell r="I139" t="str">
            <v>Semoga.honda.05Q4.csi.05.062</v>
          </cell>
        </row>
        <row r="140">
          <cell r="A140">
            <v>66</v>
          </cell>
          <cell r="B140" t="str">
            <v>Union Motor Honda</v>
          </cell>
          <cell r="C140" t="str">
            <v>Outside Java</v>
          </cell>
          <cell r="D140" t="str">
            <v>Dealers in Outside Java</v>
          </cell>
          <cell r="E140" t="str">
            <v>Best in Outside Java</v>
          </cell>
          <cell r="F140" t="str">
            <v>Unoin.honda</v>
          </cell>
          <cell r="G140" t="str">
            <v>Dealer</v>
          </cell>
          <cell r="H140" t="str">
            <v>05</v>
          </cell>
          <cell r="I140" t="str">
            <v>Unoin.honda.05Q4.csi.05.062</v>
          </cell>
        </row>
        <row r="141">
          <cell r="A141">
            <v>67</v>
          </cell>
          <cell r="B141" t="str">
            <v>IDK 2 Honda</v>
          </cell>
          <cell r="C141" t="str">
            <v>Outside Java</v>
          </cell>
          <cell r="D141" t="str">
            <v>Dealers in Outside Java</v>
          </cell>
          <cell r="E141" t="str">
            <v>Best in Outside Java</v>
          </cell>
          <cell r="F141" t="str">
            <v>Idk2.honda</v>
          </cell>
          <cell r="G141" t="str">
            <v>Dealer</v>
          </cell>
          <cell r="H141" t="str">
            <v>05</v>
          </cell>
          <cell r="I141" t="str">
            <v>Idk2.honda.05Q4.csi.05.062</v>
          </cell>
        </row>
        <row r="142">
          <cell r="A142">
            <v>68</v>
          </cell>
          <cell r="B142" t="str">
            <v>Maju Mobilindo Honda</v>
          </cell>
          <cell r="C142" t="str">
            <v>Outside Java</v>
          </cell>
          <cell r="D142" t="str">
            <v>Dealers in Outside Java</v>
          </cell>
          <cell r="E142" t="str">
            <v>Best in Outside Java</v>
          </cell>
          <cell r="F142" t="str">
            <v>Maju.honda</v>
          </cell>
          <cell r="G142" t="str">
            <v>Dealer</v>
          </cell>
          <cell r="H142" t="str">
            <v>05</v>
          </cell>
          <cell r="I142" t="str">
            <v>Maju.honda.05Q4.csi.05.062</v>
          </cell>
        </row>
        <row r="143">
          <cell r="A143">
            <v>69</v>
          </cell>
          <cell r="B143" t="str">
            <v>Bandung Center Honda</v>
          </cell>
          <cell r="C143" t="str">
            <v>West Java</v>
          </cell>
          <cell r="D143" t="str">
            <v>Dealers in West Java</v>
          </cell>
          <cell r="E143" t="str">
            <v>Best in West Java</v>
          </cell>
          <cell r="F143" t="str">
            <v>Bandung.honda</v>
          </cell>
          <cell r="G143" t="str">
            <v>Dealer</v>
          </cell>
          <cell r="H143" t="str">
            <v>05</v>
          </cell>
          <cell r="I143" t="str">
            <v>Bandung.honda.05Q4.csi.05.062</v>
          </cell>
        </row>
        <row r="144">
          <cell r="A144">
            <v>70</v>
          </cell>
          <cell r="B144" t="str">
            <v>Indosal Honda</v>
          </cell>
          <cell r="C144" t="str">
            <v>West Java</v>
          </cell>
          <cell r="D144" t="str">
            <v>Dealers in West Java</v>
          </cell>
          <cell r="E144" t="str">
            <v>Best in West Java</v>
          </cell>
          <cell r="F144" t="str">
            <v>Indosal.honda</v>
          </cell>
          <cell r="G144" t="str">
            <v>Dealer</v>
          </cell>
          <cell r="H144" t="str">
            <v>05</v>
          </cell>
          <cell r="I144" t="str">
            <v>Indosal.honda.05Q4.csi.05.062</v>
          </cell>
        </row>
        <row r="145">
          <cell r="A145">
            <v>71</v>
          </cell>
          <cell r="B145" t="str">
            <v>Cirebon Motor Honda</v>
          </cell>
          <cell r="C145" t="str">
            <v>West Java</v>
          </cell>
          <cell r="D145" t="str">
            <v>Dealers in West Java</v>
          </cell>
          <cell r="E145" t="str">
            <v>Best in West Java</v>
          </cell>
          <cell r="F145" t="str">
            <v>Cirebon.honda</v>
          </cell>
          <cell r="G145" t="str">
            <v>Dealer</v>
          </cell>
          <cell r="H145" t="str">
            <v>05</v>
          </cell>
          <cell r="I145" t="str">
            <v>Cirebon.honda.05Q4.csi.05.062</v>
          </cell>
        </row>
        <row r="146">
          <cell r="A146">
            <v>72</v>
          </cell>
          <cell r="B146" t="str">
            <v>Autoprima Honda</v>
          </cell>
          <cell r="C146" t="str">
            <v>West Java</v>
          </cell>
          <cell r="D146" t="str">
            <v>Dealers in West Java</v>
          </cell>
          <cell r="E146" t="str">
            <v>Best in West Java</v>
          </cell>
          <cell r="F146" t="str">
            <v>Autoprima.honda</v>
          </cell>
          <cell r="G146" t="str">
            <v>Dealer</v>
          </cell>
          <cell r="H146" t="str">
            <v>05</v>
          </cell>
          <cell r="I146" t="str">
            <v>Autoprima.honda.05Q4.csi.05.062</v>
          </cell>
        </row>
        <row r="149">
          <cell r="A149" t="str">
            <v>Malaysia</v>
          </cell>
          <cell r="B149" t="str">
            <v>UniqueName</v>
          </cell>
          <cell r="C149" t="str">
            <v>Comparison segment</v>
          </cell>
          <cell r="D149" t="str">
            <v>Ranked Type</v>
          </cell>
          <cell r="F149" t="str">
            <v>User Id</v>
          </cell>
          <cell r="G149" t="str">
            <v>Report Type</v>
          </cell>
          <cell r="H149" t="str">
            <v>Code</v>
          </cell>
          <cell r="I149" t="str">
            <v>Filename</v>
          </cell>
        </row>
        <row r="150">
          <cell r="A150">
            <v>1</v>
          </cell>
          <cell r="B150" t="str">
            <v>Study Total</v>
          </cell>
          <cell r="C150" t="str">
            <v>Study Total</v>
          </cell>
          <cell r="E150" t="str">
            <v>Best Dealer</v>
          </cell>
          <cell r="F150" t="str">
            <v>Study Total.honda</v>
          </cell>
          <cell r="G150" t="str">
            <v>Study Total</v>
          </cell>
          <cell r="H150" t="str">
            <v>01</v>
          </cell>
          <cell r="I150" t="str">
            <v>Study Total.honda.05Q4.csi.01.060</v>
          </cell>
        </row>
        <row r="151">
          <cell r="A151">
            <v>2</v>
          </cell>
          <cell r="B151" t="str">
            <v>Jazz</v>
          </cell>
          <cell r="C151" t="str">
            <v>Study Total</v>
          </cell>
          <cell r="D151" t="str">
            <v>Vehicle Type</v>
          </cell>
          <cell r="E151" t="str">
            <v>Best In Models</v>
          </cell>
          <cell r="F151" t="str">
            <v>Jazz.honda</v>
          </cell>
          <cell r="G151" t="str">
            <v>Model</v>
          </cell>
          <cell r="H151" t="str">
            <v>04</v>
          </cell>
          <cell r="I151" t="str">
            <v>Jazz.honda.05Q4.csi.04.060</v>
          </cell>
        </row>
        <row r="152">
          <cell r="A152">
            <v>3</v>
          </cell>
          <cell r="B152" t="str">
            <v>City</v>
          </cell>
          <cell r="C152" t="str">
            <v>Study Total</v>
          </cell>
          <cell r="D152" t="str">
            <v>Vehicle Type</v>
          </cell>
          <cell r="E152" t="str">
            <v>Best In Models</v>
          </cell>
          <cell r="F152" t="str">
            <v>City.honda</v>
          </cell>
          <cell r="G152" t="str">
            <v>Model</v>
          </cell>
          <cell r="H152" t="str">
            <v>04</v>
          </cell>
          <cell r="I152" t="str">
            <v>City.honda.05Q4.csi.04.060</v>
          </cell>
        </row>
        <row r="153">
          <cell r="A153">
            <v>4</v>
          </cell>
          <cell r="B153" t="str">
            <v>Civic</v>
          </cell>
          <cell r="C153" t="str">
            <v>Study Total</v>
          </cell>
          <cell r="D153" t="str">
            <v>Vehicle Type</v>
          </cell>
          <cell r="E153" t="str">
            <v>Best In Models</v>
          </cell>
          <cell r="F153" t="str">
            <v>Civic.honda</v>
          </cell>
          <cell r="G153" t="str">
            <v>Model</v>
          </cell>
          <cell r="H153" t="str">
            <v>04</v>
          </cell>
          <cell r="I153" t="str">
            <v>Civic.honda.05Q4.csi.04.060</v>
          </cell>
        </row>
        <row r="154">
          <cell r="A154">
            <v>5</v>
          </cell>
          <cell r="B154" t="str">
            <v>Accord</v>
          </cell>
          <cell r="C154" t="str">
            <v>Study Total</v>
          </cell>
          <cell r="D154" t="str">
            <v>Vehicle Type</v>
          </cell>
          <cell r="E154" t="str">
            <v>Best In Models</v>
          </cell>
          <cell r="F154" t="str">
            <v>Accord.honda</v>
          </cell>
          <cell r="G154" t="str">
            <v>Model</v>
          </cell>
          <cell r="H154" t="str">
            <v>04</v>
          </cell>
          <cell r="I154" t="str">
            <v>Accord.honda.05Q4.csi.04.060</v>
          </cell>
        </row>
        <row r="155">
          <cell r="A155">
            <v>6</v>
          </cell>
          <cell r="B155" t="str">
            <v>CR-V</v>
          </cell>
          <cell r="C155" t="str">
            <v>Study Total</v>
          </cell>
          <cell r="D155" t="str">
            <v>Vehicle Type</v>
          </cell>
          <cell r="E155" t="str">
            <v>Best In Models</v>
          </cell>
          <cell r="F155" t="str">
            <v>CR-V.honda</v>
          </cell>
          <cell r="G155" t="str">
            <v>Model</v>
          </cell>
          <cell r="H155" t="str">
            <v>04</v>
          </cell>
          <cell r="I155" t="str">
            <v>CR-V.honda.05Q4.csi.04.060</v>
          </cell>
        </row>
        <row r="156">
          <cell r="A156">
            <v>7</v>
          </cell>
          <cell r="B156" t="str">
            <v>Stream</v>
          </cell>
          <cell r="C156" t="str">
            <v>Study Total</v>
          </cell>
          <cell r="D156" t="str">
            <v>Vehicle Type</v>
          </cell>
          <cell r="E156" t="str">
            <v>Best In Models</v>
          </cell>
          <cell r="F156" t="str">
            <v>Stream.honda</v>
          </cell>
          <cell r="G156" t="str">
            <v>Model</v>
          </cell>
          <cell r="H156" t="str">
            <v>04</v>
          </cell>
          <cell r="I156" t="str">
            <v>Stream.honda.05Q4.csi.04.060</v>
          </cell>
        </row>
        <row r="157">
          <cell r="A157">
            <v>8</v>
          </cell>
          <cell r="B157" t="str">
            <v>Odyssey</v>
          </cell>
          <cell r="C157" t="str">
            <v>Study Total</v>
          </cell>
          <cell r="D157" t="str">
            <v>Vehicle Type</v>
          </cell>
          <cell r="E157" t="str">
            <v>Best In Models</v>
          </cell>
          <cell r="F157" t="str">
            <v>Odyssey.honda</v>
          </cell>
          <cell r="G157" t="str">
            <v>Model</v>
          </cell>
          <cell r="H157" t="str">
            <v>04</v>
          </cell>
          <cell r="I157" t="str">
            <v>Odyssey.honda.05Q4.csi.04.060</v>
          </cell>
        </row>
        <row r="158">
          <cell r="A158">
            <v>9</v>
          </cell>
          <cell r="B158" t="str">
            <v>Central</v>
          </cell>
          <cell r="C158" t="str">
            <v>Study Total</v>
          </cell>
          <cell r="D158" t="str">
            <v>State</v>
          </cell>
          <cell r="E158" t="str">
            <v>Best in Regions</v>
          </cell>
          <cell r="F158" t="str">
            <v>Central.honda</v>
          </cell>
          <cell r="G158" t="str">
            <v>Region</v>
          </cell>
          <cell r="H158" t="str">
            <v>03</v>
          </cell>
          <cell r="I158" t="str">
            <v>Central.honda.05Q4.csi.03.060</v>
          </cell>
        </row>
        <row r="159">
          <cell r="A159">
            <v>10</v>
          </cell>
          <cell r="B159" t="str">
            <v>North</v>
          </cell>
          <cell r="C159" t="str">
            <v>Study Total</v>
          </cell>
          <cell r="D159" t="str">
            <v>State</v>
          </cell>
          <cell r="E159" t="str">
            <v>Best in Regions</v>
          </cell>
          <cell r="F159" t="str">
            <v>North.honda</v>
          </cell>
          <cell r="G159" t="str">
            <v>Region</v>
          </cell>
          <cell r="H159" t="str">
            <v>03</v>
          </cell>
          <cell r="I159" t="str">
            <v>North.honda.05Q4.csi.03.060</v>
          </cell>
        </row>
        <row r="160">
          <cell r="A160">
            <v>11</v>
          </cell>
          <cell r="B160" t="str">
            <v>South</v>
          </cell>
          <cell r="C160" t="str">
            <v>Study Total</v>
          </cell>
          <cell r="D160" t="str">
            <v>State</v>
          </cell>
          <cell r="E160" t="str">
            <v>Best in Regions</v>
          </cell>
          <cell r="F160" t="str">
            <v>South.honda</v>
          </cell>
          <cell r="G160" t="str">
            <v>Region</v>
          </cell>
          <cell r="H160" t="str">
            <v>03</v>
          </cell>
          <cell r="I160" t="str">
            <v>South.honda.05Q4.csi.03.060</v>
          </cell>
        </row>
        <row r="161">
          <cell r="A161">
            <v>12</v>
          </cell>
          <cell r="B161" t="str">
            <v>East Coast</v>
          </cell>
          <cell r="C161" t="str">
            <v>Study Total</v>
          </cell>
          <cell r="D161" t="str">
            <v>State</v>
          </cell>
          <cell r="E161" t="str">
            <v>Best in Regions</v>
          </cell>
          <cell r="F161" t="str">
            <v>East Coast.honda</v>
          </cell>
          <cell r="G161" t="str">
            <v>Region</v>
          </cell>
          <cell r="H161" t="str">
            <v>03</v>
          </cell>
          <cell r="I161" t="str">
            <v>East Coast.honda.05Q4.csi.03.060</v>
          </cell>
        </row>
        <row r="162">
          <cell r="A162">
            <v>13</v>
          </cell>
          <cell r="B162" t="str">
            <v>East Malaysia</v>
          </cell>
          <cell r="C162" t="str">
            <v>Study Total</v>
          </cell>
          <cell r="D162" t="str">
            <v>State</v>
          </cell>
          <cell r="E162" t="str">
            <v>Best in Regions</v>
          </cell>
          <cell r="F162" t="str">
            <v>East Malaysia.honda</v>
          </cell>
          <cell r="G162" t="str">
            <v>Region</v>
          </cell>
          <cell r="H162" t="str">
            <v>03</v>
          </cell>
          <cell r="I162" t="str">
            <v>East Malaysia.honda.05Q4.csi.03.060</v>
          </cell>
        </row>
        <row r="163">
          <cell r="A163">
            <v>14</v>
          </cell>
          <cell r="B163" t="str">
            <v>Peringgit Sri Motor Sdn Bhd</v>
          </cell>
          <cell r="C163" t="str">
            <v>Central</v>
          </cell>
          <cell r="D163" t="str">
            <v>Dealers in Central</v>
          </cell>
          <cell r="E163" t="str">
            <v>Best in Central</v>
          </cell>
          <cell r="F163" t="str">
            <v>Peringgit.honda</v>
          </cell>
          <cell r="G163" t="str">
            <v>Dealer</v>
          </cell>
          <cell r="H163" t="str">
            <v>05</v>
          </cell>
          <cell r="I163" t="str">
            <v>Peringgit.honda.05Q4.csi.05.060</v>
          </cell>
        </row>
        <row r="164">
          <cell r="A164">
            <v>15</v>
          </cell>
          <cell r="B164" t="str">
            <v>Wegro Sdn Bhd</v>
          </cell>
          <cell r="C164" t="str">
            <v>Central</v>
          </cell>
          <cell r="D164" t="str">
            <v>Dealers in Central</v>
          </cell>
          <cell r="E164" t="str">
            <v>Best in Central</v>
          </cell>
          <cell r="F164" t="str">
            <v>Wegro.honda</v>
          </cell>
          <cell r="G164" t="str">
            <v>Dealer</v>
          </cell>
          <cell r="H164" t="str">
            <v>05</v>
          </cell>
          <cell r="I164" t="str">
            <v>Wegro.honda.05Q4.csi.05.060</v>
          </cell>
        </row>
        <row r="165">
          <cell r="A165">
            <v>16</v>
          </cell>
          <cell r="B165" t="str">
            <v>Angkasa Motor Sdn Bhd</v>
          </cell>
          <cell r="C165" t="str">
            <v>Central</v>
          </cell>
          <cell r="D165" t="str">
            <v>Dealers in Central</v>
          </cell>
          <cell r="E165" t="str">
            <v>Best in Central</v>
          </cell>
          <cell r="F165" t="str">
            <v>Angkasa.honda</v>
          </cell>
          <cell r="G165" t="str">
            <v>Dealer</v>
          </cell>
          <cell r="H165" t="str">
            <v>05</v>
          </cell>
          <cell r="I165" t="str">
            <v>Angkasa.honda.05Q4.csi.05.060</v>
          </cell>
        </row>
        <row r="166">
          <cell r="A166">
            <v>17</v>
          </cell>
          <cell r="B166" t="str">
            <v>Weststar Auto Sdn Bhd</v>
          </cell>
          <cell r="C166" t="str">
            <v>Central</v>
          </cell>
          <cell r="D166" t="str">
            <v>Dealers in Central</v>
          </cell>
          <cell r="E166" t="str">
            <v>Best in Central</v>
          </cell>
          <cell r="F166" t="str">
            <v>Weststar.honda</v>
          </cell>
          <cell r="G166" t="str">
            <v>Dealer</v>
          </cell>
          <cell r="H166" t="str">
            <v>05</v>
          </cell>
          <cell r="I166" t="str">
            <v>Weststar.honda.05Q4.csi.05.060</v>
          </cell>
        </row>
        <row r="167">
          <cell r="A167">
            <v>18</v>
          </cell>
          <cell r="B167" t="str">
            <v>The Millennium Auto Carriage Sdn Bhd</v>
          </cell>
          <cell r="C167" t="str">
            <v>Central</v>
          </cell>
          <cell r="D167" t="str">
            <v>Dealers in Central</v>
          </cell>
          <cell r="E167" t="str">
            <v>Best in Central</v>
          </cell>
          <cell r="F167" t="str">
            <v>Millemium.honda</v>
          </cell>
          <cell r="G167" t="str">
            <v>Dealer</v>
          </cell>
          <cell r="H167" t="str">
            <v>05</v>
          </cell>
          <cell r="I167" t="str">
            <v>Millemium.honda.05Q4.csi.05.060</v>
          </cell>
        </row>
        <row r="168">
          <cell r="A168">
            <v>19</v>
          </cell>
          <cell r="B168" t="str">
            <v>Kah Motor Co Sdn Bhd (CSL)</v>
          </cell>
          <cell r="C168" t="str">
            <v>Central</v>
          </cell>
          <cell r="D168" t="str">
            <v>Dealers in Central</v>
          </cell>
          <cell r="E168" t="str">
            <v>Best in Central</v>
          </cell>
          <cell r="F168" t="str">
            <v>KahCSL.honda</v>
          </cell>
          <cell r="G168" t="str">
            <v>Dealer</v>
          </cell>
          <cell r="H168" t="str">
            <v>05</v>
          </cell>
          <cell r="I168" t="str">
            <v>KahCSL.honda.05Q4.csi.05.060</v>
          </cell>
        </row>
        <row r="169">
          <cell r="A169">
            <v>20</v>
          </cell>
          <cell r="B169" t="str">
            <v>Roda BB Motor Sdn Bhd</v>
          </cell>
          <cell r="C169" t="str">
            <v>Central</v>
          </cell>
          <cell r="D169" t="str">
            <v>Dealers in Central</v>
          </cell>
          <cell r="E169" t="str">
            <v>Best in Central</v>
          </cell>
          <cell r="F169" t="str">
            <v>Roda.honda</v>
          </cell>
          <cell r="G169" t="str">
            <v>Dealer</v>
          </cell>
          <cell r="H169" t="str">
            <v>05</v>
          </cell>
          <cell r="I169" t="str">
            <v>Roda.honda.05Q4.csi.05.060</v>
          </cell>
        </row>
        <row r="170">
          <cell r="A170">
            <v>21</v>
          </cell>
          <cell r="B170" t="str">
            <v>Sri Utama Auto Sdn Bhd</v>
          </cell>
          <cell r="C170" t="str">
            <v>Central</v>
          </cell>
          <cell r="D170" t="str">
            <v>Dealers in Central</v>
          </cell>
          <cell r="E170" t="str">
            <v>Best in Central</v>
          </cell>
          <cell r="F170" t="str">
            <v>Sriutama.honda</v>
          </cell>
          <cell r="G170" t="str">
            <v>Dealer</v>
          </cell>
          <cell r="H170" t="str">
            <v>05</v>
          </cell>
          <cell r="I170" t="str">
            <v>Sriutama.honda.05Q4.csi.05.060</v>
          </cell>
        </row>
        <row r="171">
          <cell r="A171">
            <v>22</v>
          </cell>
          <cell r="B171" t="str">
            <v>Noblekey (M) Sdn Bhd</v>
          </cell>
          <cell r="C171" t="str">
            <v>Central</v>
          </cell>
          <cell r="D171" t="str">
            <v>Dealers in Central</v>
          </cell>
          <cell r="E171" t="str">
            <v>Best in Central</v>
          </cell>
          <cell r="F171" t="str">
            <v>Noblekey.honda</v>
          </cell>
          <cell r="G171" t="str">
            <v>Dealer</v>
          </cell>
          <cell r="H171" t="str">
            <v>05</v>
          </cell>
          <cell r="I171" t="str">
            <v>Noblekey.honda.05Q4.csi.05.060</v>
          </cell>
        </row>
        <row r="172">
          <cell r="A172">
            <v>23</v>
          </cell>
          <cell r="B172" t="str">
            <v>New Era Sales Sdn Bhd</v>
          </cell>
          <cell r="C172" t="str">
            <v>Central</v>
          </cell>
          <cell r="D172" t="str">
            <v>Dealers in Central</v>
          </cell>
          <cell r="E172" t="str">
            <v>Best in Central</v>
          </cell>
          <cell r="F172" t="str">
            <v>Newera.honda</v>
          </cell>
          <cell r="G172" t="str">
            <v>Dealer</v>
          </cell>
          <cell r="H172" t="str">
            <v>05</v>
          </cell>
          <cell r="I172" t="str">
            <v>Newera.honda.05Q4.csi.05.060</v>
          </cell>
        </row>
        <row r="173">
          <cell r="A173">
            <v>24</v>
          </cell>
          <cell r="B173" t="str">
            <v>Sumber Auto Edaran Sdn Bhd</v>
          </cell>
          <cell r="C173" t="str">
            <v>Central</v>
          </cell>
          <cell r="D173" t="str">
            <v>Dealers in Central</v>
          </cell>
          <cell r="E173" t="str">
            <v>Best in Central</v>
          </cell>
          <cell r="F173" t="str">
            <v>Sumber.honda</v>
          </cell>
          <cell r="G173" t="str">
            <v>Dealer</v>
          </cell>
          <cell r="H173" t="str">
            <v>05</v>
          </cell>
          <cell r="I173" t="str">
            <v>Sumber.honda.05Q4.csi.05.060</v>
          </cell>
        </row>
        <row r="174">
          <cell r="A174">
            <v>25</v>
          </cell>
          <cell r="B174" t="str">
            <v>Tenaga Setia Resources Sdn Bhd</v>
          </cell>
          <cell r="C174" t="str">
            <v>Central</v>
          </cell>
          <cell r="D174" t="str">
            <v>Dealers in Central</v>
          </cell>
          <cell r="E174" t="str">
            <v>Best in Central</v>
          </cell>
          <cell r="F174" t="str">
            <v>Tenaga.honda</v>
          </cell>
          <cell r="G174" t="str">
            <v>Dealer</v>
          </cell>
          <cell r="H174" t="str">
            <v>05</v>
          </cell>
          <cell r="I174" t="str">
            <v>Tenaga.honda.05Q4.csi.05.060</v>
          </cell>
        </row>
        <row r="175">
          <cell r="A175">
            <v>26</v>
          </cell>
          <cell r="B175" t="str">
            <v>Kah Motor Co Sdn Bhd (Pchg)</v>
          </cell>
          <cell r="C175" t="str">
            <v>Central</v>
          </cell>
          <cell r="D175" t="str">
            <v>Dealers in Central</v>
          </cell>
          <cell r="E175" t="str">
            <v>Best in Central</v>
          </cell>
          <cell r="F175" t="str">
            <v>KahPchg.honda</v>
          </cell>
          <cell r="G175" t="str">
            <v>Dealer</v>
          </cell>
          <cell r="H175" t="str">
            <v>05</v>
          </cell>
          <cell r="I175" t="str">
            <v>KahPchg.honda.05Q4.csi.05.060</v>
          </cell>
        </row>
        <row r="176">
          <cell r="A176">
            <v>27</v>
          </cell>
          <cell r="B176" t="str">
            <v>USJ Car Express Sdn Bhd</v>
          </cell>
          <cell r="C176" t="str">
            <v>Central</v>
          </cell>
          <cell r="D176" t="str">
            <v>Dealers in Central</v>
          </cell>
          <cell r="E176" t="str">
            <v>Best in Central</v>
          </cell>
          <cell r="F176" t="str">
            <v>USJ.honda</v>
          </cell>
          <cell r="G176" t="str">
            <v>Dealer</v>
          </cell>
          <cell r="H176" t="str">
            <v>05</v>
          </cell>
          <cell r="I176" t="str">
            <v>USJ.honda.05Q4.csi.05.060</v>
          </cell>
        </row>
        <row r="177">
          <cell r="A177">
            <v>28</v>
          </cell>
          <cell r="B177" t="str">
            <v>Kosmo Kars Sdn Bhd</v>
          </cell>
          <cell r="C177" t="str">
            <v>Central</v>
          </cell>
          <cell r="D177" t="str">
            <v>Dealers in Central</v>
          </cell>
          <cell r="E177" t="str">
            <v>Best in Central</v>
          </cell>
          <cell r="F177" t="str">
            <v>Kosmo.honda</v>
          </cell>
          <cell r="G177" t="str">
            <v>Dealer</v>
          </cell>
          <cell r="H177" t="str">
            <v>05</v>
          </cell>
          <cell r="I177" t="str">
            <v>Kosmo.honda.05Q4.csi.05.060</v>
          </cell>
        </row>
        <row r="178">
          <cell r="A178">
            <v>29</v>
          </cell>
          <cell r="B178" t="str">
            <v>Shared Auto Cars Sdn Bhd</v>
          </cell>
          <cell r="C178" t="str">
            <v>Central</v>
          </cell>
          <cell r="D178" t="str">
            <v>Dealers in Central</v>
          </cell>
          <cell r="E178" t="str">
            <v>Best in Central</v>
          </cell>
          <cell r="F178" t="str">
            <v>Shared.honda</v>
          </cell>
          <cell r="G178" t="str">
            <v>Dealer</v>
          </cell>
          <cell r="H178" t="str">
            <v>05</v>
          </cell>
          <cell r="I178" t="str">
            <v>Shared.honda.05Q4.csi.05.060</v>
          </cell>
        </row>
        <row r="179">
          <cell r="A179">
            <v>30</v>
          </cell>
          <cell r="B179" t="str">
            <v>Global Amity</v>
          </cell>
          <cell r="C179" t="str">
            <v>Central</v>
          </cell>
          <cell r="D179" t="str">
            <v>Dealers in Central</v>
          </cell>
          <cell r="E179" t="str">
            <v>Best in Central</v>
          </cell>
          <cell r="F179" t="str">
            <v>Global.honda</v>
          </cell>
          <cell r="G179" t="str">
            <v>Dealer</v>
          </cell>
          <cell r="H179" t="str">
            <v>05</v>
          </cell>
          <cell r="I179" t="str">
            <v>Global.honda.05Q4.csi.05.060</v>
          </cell>
        </row>
        <row r="180">
          <cell r="A180">
            <v>31</v>
          </cell>
          <cell r="B180" t="str">
            <v>Actmar Sdn Bhd</v>
          </cell>
          <cell r="C180" t="str">
            <v>Central</v>
          </cell>
          <cell r="D180" t="str">
            <v>Dealers in Central</v>
          </cell>
          <cell r="E180" t="str">
            <v>Best in Central</v>
          </cell>
          <cell r="F180" t="str">
            <v>Actmar.honda</v>
          </cell>
          <cell r="G180" t="str">
            <v>Dealer</v>
          </cell>
          <cell r="H180" t="str">
            <v>05</v>
          </cell>
          <cell r="I180" t="str">
            <v>Actmar.honda.05Q4.csi.05.060</v>
          </cell>
        </row>
        <row r="181">
          <cell r="A181">
            <v>32</v>
          </cell>
          <cell r="B181" t="str">
            <v>Imavest Sdn Bhd</v>
          </cell>
          <cell r="C181" t="str">
            <v>Central</v>
          </cell>
          <cell r="D181" t="str">
            <v>Dealers in Central</v>
          </cell>
          <cell r="E181" t="str">
            <v>Best in Central</v>
          </cell>
          <cell r="F181" t="str">
            <v>Imavest.honda</v>
          </cell>
          <cell r="G181" t="str">
            <v>Dealer</v>
          </cell>
          <cell r="H181" t="str">
            <v>05</v>
          </cell>
          <cell r="I181" t="str">
            <v>Imavest.honda.05Q4.csi.05.060</v>
          </cell>
        </row>
        <row r="182">
          <cell r="A182">
            <v>33</v>
          </cell>
          <cell r="B182" t="str">
            <v>Nanyang General Enterprises Sdn Bhd</v>
          </cell>
          <cell r="C182" t="str">
            <v>Central</v>
          </cell>
          <cell r="D182" t="str">
            <v>Dealers in Central</v>
          </cell>
          <cell r="E182" t="str">
            <v>Best in Central</v>
          </cell>
          <cell r="F182" t="str">
            <v>Nanyang.honda</v>
          </cell>
          <cell r="G182" t="str">
            <v>Dealer</v>
          </cell>
          <cell r="H182" t="str">
            <v>05</v>
          </cell>
          <cell r="I182" t="str">
            <v>Nanyang.honda.05Q4.csi.05.060</v>
          </cell>
        </row>
        <row r="183">
          <cell r="A183">
            <v>34</v>
          </cell>
          <cell r="B183" t="str">
            <v>Kah Motor Co Sdn Bhd (Png)</v>
          </cell>
          <cell r="C183" t="str">
            <v>North</v>
          </cell>
          <cell r="D183" t="str">
            <v>Dealers in North</v>
          </cell>
          <cell r="E183" t="str">
            <v>Best in North</v>
          </cell>
          <cell r="F183" t="str">
            <v>KahPng.honda</v>
          </cell>
          <cell r="G183" t="str">
            <v>Dealer</v>
          </cell>
          <cell r="H183" t="str">
            <v>05</v>
          </cell>
          <cell r="I183" t="str">
            <v>KahPng.honda.05Q4.csi.05.060</v>
          </cell>
        </row>
        <row r="184">
          <cell r="A184">
            <v>35</v>
          </cell>
          <cell r="B184" t="str">
            <v>Vivahill Auto Sdn Bhd</v>
          </cell>
          <cell r="C184" t="str">
            <v>North</v>
          </cell>
          <cell r="D184" t="str">
            <v>Dealers in North</v>
          </cell>
          <cell r="E184" t="str">
            <v>Best in North</v>
          </cell>
          <cell r="F184" t="str">
            <v>ViVahill.honda</v>
          </cell>
          <cell r="G184" t="str">
            <v>Dealer</v>
          </cell>
          <cell r="H184" t="str">
            <v>05</v>
          </cell>
          <cell r="I184" t="str">
            <v>ViVahill.honda.05Q4.csi.05.060</v>
          </cell>
        </row>
        <row r="185">
          <cell r="A185">
            <v>36</v>
          </cell>
          <cell r="B185" t="str">
            <v>Motoria Sdn Bhd</v>
          </cell>
          <cell r="C185" t="str">
            <v>North</v>
          </cell>
          <cell r="D185" t="str">
            <v>Dealers in North</v>
          </cell>
          <cell r="E185" t="str">
            <v>Best in North</v>
          </cell>
          <cell r="F185" t="str">
            <v>Motoria.honda</v>
          </cell>
          <cell r="G185" t="str">
            <v>Dealer</v>
          </cell>
          <cell r="H185" t="str">
            <v>05</v>
          </cell>
          <cell r="I185" t="str">
            <v>Motoria.honda.05Q4.csi.05.060</v>
          </cell>
        </row>
        <row r="186">
          <cell r="A186">
            <v>37</v>
          </cell>
          <cell r="B186" t="str">
            <v>Formula Venture Sdn Bhd</v>
          </cell>
          <cell r="C186" t="str">
            <v>North</v>
          </cell>
          <cell r="D186" t="str">
            <v>Dealers in North</v>
          </cell>
          <cell r="E186" t="str">
            <v>Best in North</v>
          </cell>
          <cell r="F186" t="str">
            <v>Formula.honda</v>
          </cell>
          <cell r="G186" t="str">
            <v>Dealer</v>
          </cell>
          <cell r="H186" t="str">
            <v>05</v>
          </cell>
          <cell r="I186" t="str">
            <v>Formula.honda.05Q4.csi.05.060</v>
          </cell>
        </row>
        <row r="187">
          <cell r="A187">
            <v>38</v>
          </cell>
          <cell r="B187" t="str">
            <v>Lee Motors Alor Setar (Car Div) Sdn Bhd</v>
          </cell>
          <cell r="C187" t="str">
            <v>North</v>
          </cell>
          <cell r="D187" t="str">
            <v>Dealers in North</v>
          </cell>
          <cell r="E187" t="str">
            <v>Best in North</v>
          </cell>
          <cell r="F187" t="str">
            <v>Leesetar.honda</v>
          </cell>
          <cell r="G187" t="str">
            <v>Dealer</v>
          </cell>
          <cell r="H187" t="str">
            <v>05</v>
          </cell>
          <cell r="I187" t="str">
            <v>Leesetar.honda.05Q4.csi.05.060</v>
          </cell>
        </row>
        <row r="188">
          <cell r="A188">
            <v>39</v>
          </cell>
          <cell r="B188" t="str">
            <v>Lee Motors Alor Star (Car Div) Sdn Bhd</v>
          </cell>
          <cell r="C188" t="str">
            <v>North</v>
          </cell>
          <cell r="D188" t="str">
            <v>Dealers in North</v>
          </cell>
          <cell r="E188" t="str">
            <v>Best in North</v>
          </cell>
          <cell r="F188" t="str">
            <v>Leestar.honda</v>
          </cell>
          <cell r="G188" t="str">
            <v>Dealer</v>
          </cell>
          <cell r="H188" t="str">
            <v>05</v>
          </cell>
          <cell r="I188" t="str">
            <v>Leestar.honda.05Q4.csi.05.060</v>
          </cell>
        </row>
        <row r="189">
          <cell r="A189">
            <v>40</v>
          </cell>
          <cell r="B189" t="str">
            <v>Yooi Cars Sdn Bhd</v>
          </cell>
          <cell r="C189" t="str">
            <v>North</v>
          </cell>
          <cell r="D189" t="str">
            <v>Dealers in North</v>
          </cell>
          <cell r="E189" t="str">
            <v>Best in North</v>
          </cell>
          <cell r="F189" t="str">
            <v>Yooi.honda</v>
          </cell>
          <cell r="G189" t="str">
            <v>Dealer</v>
          </cell>
          <cell r="H189" t="str">
            <v>05</v>
          </cell>
          <cell r="I189" t="str">
            <v>Yooi.honda.05Q4.csi.05.060</v>
          </cell>
        </row>
        <row r="190">
          <cell r="A190">
            <v>41</v>
          </cell>
          <cell r="B190" t="str">
            <v>Ban Hoe Seng Sdn Bhd</v>
          </cell>
          <cell r="C190" t="str">
            <v>North</v>
          </cell>
          <cell r="D190" t="str">
            <v>Dealers in North</v>
          </cell>
          <cell r="E190" t="str">
            <v>Best in North</v>
          </cell>
          <cell r="F190" t="str">
            <v>Banhoe.honda</v>
          </cell>
          <cell r="G190" t="str">
            <v>Dealer</v>
          </cell>
          <cell r="H190" t="str">
            <v>05</v>
          </cell>
          <cell r="I190" t="str">
            <v>Banhoe.honda.05Q4.csi.05.060</v>
          </cell>
        </row>
        <row r="191">
          <cell r="A191">
            <v>42</v>
          </cell>
          <cell r="B191" t="str">
            <v>Sendi Auto Sdn Bhd</v>
          </cell>
          <cell r="C191" t="str">
            <v>North</v>
          </cell>
          <cell r="D191" t="str">
            <v>Dealers in North</v>
          </cell>
          <cell r="E191" t="str">
            <v>Best in North</v>
          </cell>
          <cell r="F191" t="str">
            <v>Sendi.honda</v>
          </cell>
          <cell r="G191" t="str">
            <v>Dealer</v>
          </cell>
          <cell r="H191" t="str">
            <v>05</v>
          </cell>
          <cell r="I191" t="str">
            <v>Sendi.honda.05Q4.csi.05.060</v>
          </cell>
        </row>
        <row r="192">
          <cell r="A192">
            <v>43</v>
          </cell>
          <cell r="B192" t="str">
            <v>Abi Enterprise Sdn Bhd</v>
          </cell>
          <cell r="C192" t="str">
            <v>North</v>
          </cell>
          <cell r="D192" t="str">
            <v>Dealers in North</v>
          </cell>
          <cell r="E192" t="str">
            <v>Best in North</v>
          </cell>
          <cell r="F192" t="str">
            <v>Abienterprise.honda</v>
          </cell>
          <cell r="G192" t="str">
            <v>Dealer</v>
          </cell>
          <cell r="H192" t="str">
            <v>05</v>
          </cell>
          <cell r="I192" t="str">
            <v>Abienterprise.honda.05Q4.csi.05.060</v>
          </cell>
        </row>
        <row r="193">
          <cell r="A193">
            <v>44</v>
          </cell>
          <cell r="B193" t="str">
            <v>Delima Kinta Sdn Bhd</v>
          </cell>
          <cell r="C193" t="str">
            <v>North</v>
          </cell>
          <cell r="D193" t="str">
            <v>Dealers in North</v>
          </cell>
          <cell r="E193" t="str">
            <v>Best in North</v>
          </cell>
          <cell r="F193" t="str">
            <v>Delima.Honda</v>
          </cell>
          <cell r="G193" t="str">
            <v>Dealer</v>
          </cell>
          <cell r="H193" t="str">
            <v>05</v>
          </cell>
          <cell r="I193" t="str">
            <v>Delima.Honda.05Q4.csi.05.060</v>
          </cell>
        </row>
        <row r="194">
          <cell r="A194">
            <v>45</v>
          </cell>
          <cell r="B194" t="str">
            <v>Magna Speed Sdn Bhd</v>
          </cell>
          <cell r="C194" t="str">
            <v>North</v>
          </cell>
          <cell r="D194" t="str">
            <v>Dealers in North</v>
          </cell>
          <cell r="E194" t="str">
            <v>Best in North</v>
          </cell>
          <cell r="F194" t="str">
            <v>Magna.Honda</v>
          </cell>
          <cell r="G194" t="str">
            <v>Dealer</v>
          </cell>
          <cell r="H194" t="str">
            <v>05</v>
          </cell>
          <cell r="I194" t="str">
            <v>Magna.Honda.05Q4.csi.05.060</v>
          </cell>
        </row>
        <row r="195">
          <cell r="A195">
            <v>46</v>
          </cell>
          <cell r="B195" t="str">
            <v>Yong Ming Motor Sdn Bhd</v>
          </cell>
          <cell r="C195" t="str">
            <v>South</v>
          </cell>
          <cell r="D195" t="str">
            <v>Dealers in South</v>
          </cell>
          <cell r="E195" t="str">
            <v>Best in South</v>
          </cell>
          <cell r="F195" t="str">
            <v>Yongming.honda</v>
          </cell>
          <cell r="G195" t="str">
            <v>Dealer</v>
          </cell>
          <cell r="H195" t="str">
            <v>05</v>
          </cell>
          <cell r="I195" t="str">
            <v>Yongming.honda.05Q4.csi.05.060</v>
          </cell>
        </row>
        <row r="196">
          <cell r="A196">
            <v>47</v>
          </cell>
          <cell r="B196" t="str">
            <v>Sri Sutera Auto Sdn Bhd</v>
          </cell>
          <cell r="C196" t="str">
            <v>South</v>
          </cell>
          <cell r="D196" t="str">
            <v>Dealers in South</v>
          </cell>
          <cell r="E196" t="str">
            <v>Best in South</v>
          </cell>
          <cell r="F196" t="str">
            <v>SriSutera.honda</v>
          </cell>
          <cell r="G196" t="str">
            <v>Dealer</v>
          </cell>
          <cell r="H196" t="str">
            <v>05</v>
          </cell>
          <cell r="I196" t="str">
            <v>SriSutera.honda.05Q4.csi.05.060</v>
          </cell>
        </row>
        <row r="197">
          <cell r="A197">
            <v>48</v>
          </cell>
          <cell r="B197" t="str">
            <v>K M Lim Motor Sdn Bhd</v>
          </cell>
          <cell r="C197" t="str">
            <v>South</v>
          </cell>
          <cell r="D197" t="str">
            <v>Dealers in South</v>
          </cell>
          <cell r="E197" t="str">
            <v>Best in South</v>
          </cell>
          <cell r="F197" t="str">
            <v>KMLim.honda</v>
          </cell>
          <cell r="G197" t="str">
            <v>Dealer</v>
          </cell>
          <cell r="H197" t="str">
            <v>05</v>
          </cell>
          <cell r="I197" t="str">
            <v>KMLim.honda.05Q4.csi.05.060</v>
          </cell>
        </row>
        <row r="198">
          <cell r="A198">
            <v>49</v>
          </cell>
          <cell r="B198" t="str">
            <v>Syarikat Motor G S Tay Sdn Bhd</v>
          </cell>
          <cell r="C198" t="str">
            <v>South</v>
          </cell>
          <cell r="D198" t="str">
            <v>Dealers in South</v>
          </cell>
          <cell r="E198" t="str">
            <v>Best in South</v>
          </cell>
          <cell r="F198" t="str">
            <v>Syarikat.honda</v>
          </cell>
          <cell r="G198" t="str">
            <v>Dealer</v>
          </cell>
          <cell r="H198" t="str">
            <v>05</v>
          </cell>
          <cell r="I198" t="str">
            <v>Syarikat.honda.05Q4.csi.05.060</v>
          </cell>
        </row>
        <row r="199">
          <cell r="A199">
            <v>50</v>
          </cell>
          <cell r="B199" t="str">
            <v>Iptimas Motor Sdn Bhd</v>
          </cell>
          <cell r="C199" t="str">
            <v>South</v>
          </cell>
          <cell r="D199" t="str">
            <v>Dealers in South</v>
          </cell>
          <cell r="E199" t="str">
            <v>Best in South</v>
          </cell>
          <cell r="F199" t="str">
            <v>IptImas.honda</v>
          </cell>
          <cell r="G199" t="str">
            <v>Dealer</v>
          </cell>
          <cell r="H199" t="str">
            <v>05</v>
          </cell>
          <cell r="I199" t="str">
            <v>IptImas.honda.05Q4.csi.05.060</v>
          </cell>
        </row>
        <row r="200">
          <cell r="A200">
            <v>51</v>
          </cell>
          <cell r="B200" t="str">
            <v>Haslita Motor Sdn Bhd</v>
          </cell>
          <cell r="C200" t="str">
            <v>South</v>
          </cell>
          <cell r="D200" t="str">
            <v>Dealers in South</v>
          </cell>
          <cell r="E200" t="str">
            <v>Best in South</v>
          </cell>
          <cell r="F200" t="str">
            <v>Haslita.honda</v>
          </cell>
          <cell r="G200" t="str">
            <v>Dealer</v>
          </cell>
          <cell r="H200" t="str">
            <v>05</v>
          </cell>
          <cell r="I200" t="str">
            <v>Haslita.honda.05Q4.csi.05.060</v>
          </cell>
        </row>
        <row r="201">
          <cell r="A201">
            <v>52</v>
          </cell>
          <cell r="B201" t="str">
            <v>Kah Motor Co Sdn Bhd (Mlk)</v>
          </cell>
          <cell r="C201" t="str">
            <v>South</v>
          </cell>
          <cell r="D201" t="str">
            <v>Dealers in South</v>
          </cell>
          <cell r="E201" t="str">
            <v>Best in South</v>
          </cell>
          <cell r="F201" t="str">
            <v>KahMlK.honda</v>
          </cell>
          <cell r="G201" t="str">
            <v>Dealer</v>
          </cell>
          <cell r="H201" t="str">
            <v>05</v>
          </cell>
          <cell r="I201" t="str">
            <v>KahMlK.honda.05Q4.csi.05.060</v>
          </cell>
        </row>
        <row r="202">
          <cell r="A202">
            <v>53</v>
          </cell>
          <cell r="B202" t="str">
            <v>Ban Lee Heng Motor Sdn Bhd</v>
          </cell>
          <cell r="C202" t="str">
            <v>South</v>
          </cell>
          <cell r="D202" t="str">
            <v>Dealers in South</v>
          </cell>
          <cell r="E202" t="str">
            <v>Best in South</v>
          </cell>
          <cell r="F202" t="str">
            <v>Banlee.honda</v>
          </cell>
          <cell r="G202" t="str">
            <v>Dealer</v>
          </cell>
          <cell r="H202" t="str">
            <v>05</v>
          </cell>
          <cell r="I202" t="str">
            <v>Banlee.honda.05Q4.csi.05.060</v>
          </cell>
        </row>
        <row r="203">
          <cell r="A203">
            <v>54</v>
          </cell>
          <cell r="B203" t="str">
            <v>Wanija Classic (M) Sdn Bhd</v>
          </cell>
          <cell r="C203" t="str">
            <v>South</v>
          </cell>
          <cell r="D203" t="str">
            <v>Dealers in South</v>
          </cell>
          <cell r="E203" t="str">
            <v>Best in South</v>
          </cell>
          <cell r="F203" t="str">
            <v>Wanja.honda</v>
          </cell>
          <cell r="G203" t="str">
            <v>Dealer</v>
          </cell>
          <cell r="H203" t="str">
            <v>05</v>
          </cell>
          <cell r="I203" t="str">
            <v>Wanja.honda.05Q4.csi.05.060</v>
          </cell>
        </row>
        <row r="204">
          <cell r="A204">
            <v>55</v>
          </cell>
          <cell r="B204" t="str">
            <v>Chuan Thye Motor Sdn Bhd</v>
          </cell>
          <cell r="C204" t="str">
            <v>East Coast</v>
          </cell>
          <cell r="D204" t="str">
            <v>Dealers in East Coast</v>
          </cell>
          <cell r="E204" t="str">
            <v>Best in East Coast</v>
          </cell>
          <cell r="F204" t="str">
            <v>Chuanthye.honda</v>
          </cell>
          <cell r="G204" t="str">
            <v>Dealer</v>
          </cell>
          <cell r="H204" t="str">
            <v>05</v>
          </cell>
          <cell r="I204" t="str">
            <v>Chuanthye.honda.05Q4.csi.05.060</v>
          </cell>
        </row>
        <row r="205">
          <cell r="A205">
            <v>56</v>
          </cell>
          <cell r="B205" t="str">
            <v>Hon Hin Auto Credit Sdn Bhd</v>
          </cell>
          <cell r="C205" t="str">
            <v>East Coast</v>
          </cell>
          <cell r="D205" t="str">
            <v>Dealers in East Coast</v>
          </cell>
          <cell r="E205" t="str">
            <v>Best in East Coast</v>
          </cell>
          <cell r="F205" t="str">
            <v>HonHin.honda</v>
          </cell>
          <cell r="G205" t="str">
            <v>Dealer</v>
          </cell>
          <cell r="H205" t="str">
            <v>05</v>
          </cell>
          <cell r="I205" t="str">
            <v>HonHin.honda.05Q4.csi.05.060</v>
          </cell>
        </row>
        <row r="206">
          <cell r="A206">
            <v>57</v>
          </cell>
          <cell r="B206" t="str">
            <v>Ban Chu Bee Sdn Bhd</v>
          </cell>
          <cell r="C206" t="str">
            <v>East Coast</v>
          </cell>
          <cell r="D206" t="str">
            <v>Dealers in East Coast</v>
          </cell>
          <cell r="E206" t="str">
            <v>Best in East Coast</v>
          </cell>
          <cell r="F206" t="str">
            <v>Banchu.honda</v>
          </cell>
          <cell r="G206" t="str">
            <v>Dealer</v>
          </cell>
          <cell r="H206" t="str">
            <v>05</v>
          </cell>
          <cell r="I206" t="str">
            <v>Banchu.honda.05Q4.csi.05.060</v>
          </cell>
        </row>
        <row r="207">
          <cell r="A207">
            <v>58</v>
          </cell>
          <cell r="B207" t="str">
            <v>Sykt Tan Eng Ann Sdn Bhd</v>
          </cell>
          <cell r="C207" t="str">
            <v>East Coast</v>
          </cell>
          <cell r="D207" t="str">
            <v>Dealers in East Coast</v>
          </cell>
          <cell r="E207" t="str">
            <v>Best in East Coast</v>
          </cell>
          <cell r="F207" t="str">
            <v>Sykttaneng.honda</v>
          </cell>
          <cell r="G207" t="str">
            <v>Dealer</v>
          </cell>
          <cell r="H207" t="str">
            <v>05</v>
          </cell>
          <cell r="I207" t="str">
            <v>Sykttaneng.honda.05Q4.csi.05.060</v>
          </cell>
        </row>
        <row r="208">
          <cell r="A208">
            <v>59</v>
          </cell>
          <cell r="B208" t="str">
            <v>Jimisar Corporation Sdn Bhd</v>
          </cell>
          <cell r="C208" t="str">
            <v>East Malaysia</v>
          </cell>
          <cell r="D208" t="str">
            <v>Dealers in East Malaysia</v>
          </cell>
          <cell r="E208" t="str">
            <v>Best in East Malaysia</v>
          </cell>
          <cell r="F208" t="str">
            <v>Jimisar.honda</v>
          </cell>
          <cell r="G208" t="str">
            <v>Dealer</v>
          </cell>
          <cell r="H208" t="str">
            <v>05</v>
          </cell>
          <cell r="I208" t="str">
            <v>Jimisar.honda.05Q4.csi.05.060</v>
          </cell>
        </row>
        <row r="209">
          <cell r="A209">
            <v>60</v>
          </cell>
          <cell r="B209" t="str">
            <v>Boon Siew (Borneo) Sdn Bhd Jln Tuaran</v>
          </cell>
          <cell r="C209" t="str">
            <v>East Malaysia</v>
          </cell>
          <cell r="D209" t="str">
            <v>Dealers in East Malaysia</v>
          </cell>
          <cell r="E209" t="str">
            <v>Best in East Malaysia</v>
          </cell>
          <cell r="F209" t="str">
            <v>Boonsiew.honda</v>
          </cell>
          <cell r="G209" t="str">
            <v>Dealer</v>
          </cell>
          <cell r="H209" t="str">
            <v>05</v>
          </cell>
          <cell r="I209" t="str">
            <v>Boonsiew.honda.05Q4.csi.05.060</v>
          </cell>
        </row>
        <row r="210">
          <cell r="A210">
            <v>61</v>
          </cell>
          <cell r="B210" t="str">
            <v>Premier Motor</v>
          </cell>
          <cell r="C210" t="str">
            <v>East Malaysia</v>
          </cell>
          <cell r="D210" t="str">
            <v>Dealers in East Malaysia</v>
          </cell>
          <cell r="E210" t="str">
            <v>Best in East Malaysia</v>
          </cell>
          <cell r="F210" t="str">
            <v>Premier.honda</v>
          </cell>
          <cell r="G210" t="str">
            <v>Dealer</v>
          </cell>
          <cell r="H210" t="str">
            <v>05</v>
          </cell>
          <cell r="I210" t="str">
            <v>Premier.honda.05Q4.csi.05.060</v>
          </cell>
        </row>
        <row r="211">
          <cell r="A211">
            <v>62</v>
          </cell>
          <cell r="B211" t="str">
            <v>Heng Ho Hing Co Sdn Bhd</v>
          </cell>
          <cell r="C211" t="str">
            <v>East Malaysia</v>
          </cell>
          <cell r="D211" t="str">
            <v>Dealers in East Malaysia</v>
          </cell>
          <cell r="E211" t="str">
            <v>Best in East Malaysia</v>
          </cell>
          <cell r="F211" t="str">
            <v>HengHo.honda</v>
          </cell>
          <cell r="G211" t="str">
            <v>Dealer</v>
          </cell>
          <cell r="H211" t="str">
            <v>05</v>
          </cell>
          <cell r="I211" t="str">
            <v>HengHo.honda.05Q4.csi.05.060</v>
          </cell>
        </row>
        <row r="215">
          <cell r="A215" t="str">
            <v>Philippines</v>
          </cell>
          <cell r="B215" t="str">
            <v>UniqueName</v>
          </cell>
          <cell r="C215" t="str">
            <v>Comparison segment</v>
          </cell>
          <cell r="D215" t="str">
            <v>Ranked Type</v>
          </cell>
          <cell r="G215" t="str">
            <v>Report Type</v>
          </cell>
          <cell r="H215" t="str">
            <v>Code</v>
          </cell>
          <cell r="I215" t="str">
            <v>Filename</v>
          </cell>
        </row>
        <row r="216">
          <cell r="A216">
            <v>1</v>
          </cell>
          <cell r="B216" t="str">
            <v>Study Total</v>
          </cell>
          <cell r="C216" t="str">
            <v>Study Total</v>
          </cell>
          <cell r="E216" t="str">
            <v>Best Dealer</v>
          </cell>
          <cell r="F216" t="str">
            <v>Study Total.honda</v>
          </cell>
          <cell r="G216" t="str">
            <v>Study Total</v>
          </cell>
          <cell r="H216" t="str">
            <v>01</v>
          </cell>
          <cell r="I216" t="str">
            <v>Study Total.honda.05Q4.csi.01.063</v>
          </cell>
        </row>
        <row r="217">
          <cell r="A217">
            <v>2</v>
          </cell>
          <cell r="B217" t="str">
            <v>Jazz</v>
          </cell>
          <cell r="C217" t="str">
            <v>Study Total</v>
          </cell>
          <cell r="D217" t="str">
            <v>Vehicle Type</v>
          </cell>
          <cell r="E217" t="str">
            <v>Best In Models</v>
          </cell>
          <cell r="F217" t="str">
            <v>Jazz.honda</v>
          </cell>
          <cell r="G217" t="str">
            <v>Model</v>
          </cell>
          <cell r="H217" t="str">
            <v>04</v>
          </cell>
          <cell r="I217" t="str">
            <v>Jazz.honda.05Q4.csi.04.063</v>
          </cell>
        </row>
        <row r="218">
          <cell r="A218">
            <v>3</v>
          </cell>
          <cell r="B218" t="str">
            <v>City</v>
          </cell>
          <cell r="C218" t="str">
            <v>Study Total</v>
          </cell>
          <cell r="D218" t="str">
            <v>Vehicle Type</v>
          </cell>
          <cell r="E218" t="str">
            <v>Best In Models</v>
          </cell>
          <cell r="F218" t="str">
            <v>City.honda</v>
          </cell>
          <cell r="G218" t="str">
            <v>Model</v>
          </cell>
          <cell r="H218" t="str">
            <v>04</v>
          </cell>
          <cell r="I218" t="str">
            <v>City.honda.05Q4.csi.04.063</v>
          </cell>
        </row>
        <row r="219">
          <cell r="A219">
            <v>4</v>
          </cell>
          <cell r="B219" t="str">
            <v>Civic</v>
          </cell>
          <cell r="C219" t="str">
            <v>Study Total</v>
          </cell>
          <cell r="D219" t="str">
            <v>Vehicle Type</v>
          </cell>
          <cell r="E219" t="str">
            <v>Best In Models</v>
          </cell>
          <cell r="F219" t="str">
            <v>Civic.honda</v>
          </cell>
          <cell r="G219" t="str">
            <v>Model</v>
          </cell>
          <cell r="H219" t="str">
            <v>04</v>
          </cell>
          <cell r="I219" t="str">
            <v>Civic.honda.05Q4.csi.04.063</v>
          </cell>
        </row>
        <row r="220">
          <cell r="A220">
            <v>5</v>
          </cell>
          <cell r="B220" t="str">
            <v>Accord</v>
          </cell>
          <cell r="C220" t="str">
            <v>Study Total</v>
          </cell>
          <cell r="D220" t="str">
            <v>Vehicle Type</v>
          </cell>
          <cell r="E220" t="str">
            <v>Best In Models</v>
          </cell>
          <cell r="F220" t="str">
            <v>Accord.honda</v>
          </cell>
          <cell r="G220" t="str">
            <v>Model</v>
          </cell>
          <cell r="H220" t="str">
            <v>04</v>
          </cell>
          <cell r="I220" t="str">
            <v>Accord.honda.05Q4.csi.04.063</v>
          </cell>
        </row>
        <row r="221">
          <cell r="A221">
            <v>6</v>
          </cell>
          <cell r="B221" t="str">
            <v>CR-V</v>
          </cell>
          <cell r="C221" t="str">
            <v>Study Total</v>
          </cell>
          <cell r="D221" t="str">
            <v>Vehicle Type</v>
          </cell>
          <cell r="E221" t="str">
            <v>Best In Models</v>
          </cell>
          <cell r="F221" t="str">
            <v>CR-V.honda</v>
          </cell>
          <cell r="G221" t="str">
            <v>Model</v>
          </cell>
          <cell r="H221" t="str">
            <v>04</v>
          </cell>
          <cell r="I221" t="str">
            <v>CR-V.honda.05Q4.csi.04.063</v>
          </cell>
        </row>
        <row r="222">
          <cell r="A222">
            <v>7</v>
          </cell>
          <cell r="B222" t="str">
            <v>Manila</v>
          </cell>
          <cell r="C222" t="str">
            <v>Study Total</v>
          </cell>
          <cell r="D222" t="str">
            <v>State</v>
          </cell>
          <cell r="E222" t="str">
            <v>Best in Regions</v>
          </cell>
          <cell r="F222" t="str">
            <v>Manila.honda</v>
          </cell>
          <cell r="G222" t="str">
            <v>Region</v>
          </cell>
          <cell r="H222" t="str">
            <v>03</v>
          </cell>
          <cell r="I222" t="str">
            <v>Manila.honda.05Q4.csi.03.063</v>
          </cell>
        </row>
        <row r="223">
          <cell r="A223">
            <v>8</v>
          </cell>
          <cell r="B223" t="str">
            <v>Luzon</v>
          </cell>
          <cell r="C223" t="str">
            <v>Study Total</v>
          </cell>
          <cell r="D223" t="str">
            <v>State</v>
          </cell>
          <cell r="E223" t="str">
            <v>Best in Regions</v>
          </cell>
          <cell r="F223" t="str">
            <v>Luzon.honda</v>
          </cell>
          <cell r="G223" t="str">
            <v>Region</v>
          </cell>
          <cell r="H223" t="str">
            <v>03</v>
          </cell>
          <cell r="I223" t="str">
            <v>Luzon.honda.05Q4.csi.03.063</v>
          </cell>
        </row>
        <row r="224">
          <cell r="A224">
            <v>9</v>
          </cell>
          <cell r="B224" t="str">
            <v>Visayas</v>
          </cell>
          <cell r="C224" t="str">
            <v>Study Total</v>
          </cell>
          <cell r="D224" t="str">
            <v>State</v>
          </cell>
          <cell r="E224" t="str">
            <v>Best in Regions</v>
          </cell>
          <cell r="F224" t="str">
            <v>Visayas.honda</v>
          </cell>
          <cell r="G224" t="str">
            <v>Region</v>
          </cell>
          <cell r="H224" t="str">
            <v>03</v>
          </cell>
          <cell r="I224" t="str">
            <v>Visayas.honda.05Q4.csi.03.063</v>
          </cell>
        </row>
        <row r="225">
          <cell r="A225">
            <v>10</v>
          </cell>
          <cell r="B225" t="str">
            <v>Mindanao</v>
          </cell>
          <cell r="C225" t="str">
            <v>Study Total</v>
          </cell>
          <cell r="D225" t="str">
            <v>State</v>
          </cell>
          <cell r="E225" t="str">
            <v>Best in Regions</v>
          </cell>
          <cell r="F225" t="str">
            <v>Mindanao.honda</v>
          </cell>
          <cell r="G225" t="str">
            <v>Region</v>
          </cell>
          <cell r="H225" t="str">
            <v>03</v>
          </cell>
          <cell r="I225" t="str">
            <v>Mindanao.honda.05Q4.csi.03.063</v>
          </cell>
        </row>
        <row r="226">
          <cell r="A226">
            <v>11</v>
          </cell>
          <cell r="B226" t="str">
            <v>Pasig Honda</v>
          </cell>
          <cell r="C226" t="str">
            <v>Manila</v>
          </cell>
          <cell r="D226" t="str">
            <v>Dealers in Manila</v>
          </cell>
          <cell r="E226" t="str">
            <v>Best in Manila</v>
          </cell>
          <cell r="F226" t="str">
            <v>Pasig.honda</v>
          </cell>
          <cell r="G226" t="str">
            <v>Dealer</v>
          </cell>
          <cell r="H226" t="str">
            <v>05</v>
          </cell>
          <cell r="I226" t="str">
            <v>Pasig.honda.05Q4.csi.05.063</v>
          </cell>
        </row>
        <row r="227">
          <cell r="A227">
            <v>12</v>
          </cell>
          <cell r="B227" t="str">
            <v>Shaw Honda</v>
          </cell>
          <cell r="C227" t="str">
            <v>Manila</v>
          </cell>
          <cell r="D227" t="str">
            <v>Dealers in Manila</v>
          </cell>
          <cell r="E227" t="str">
            <v>Best in Manila</v>
          </cell>
          <cell r="F227" t="str">
            <v>Shaw.honda</v>
          </cell>
          <cell r="G227" t="str">
            <v>Dealer</v>
          </cell>
          <cell r="H227" t="str">
            <v>05</v>
          </cell>
          <cell r="I227" t="str">
            <v>Shaw.honda.05Q4.csi.05.063</v>
          </cell>
        </row>
        <row r="228">
          <cell r="A228">
            <v>13</v>
          </cell>
          <cell r="B228" t="str">
            <v>Makati Honda</v>
          </cell>
          <cell r="C228" t="str">
            <v>Manila</v>
          </cell>
          <cell r="D228" t="str">
            <v>Dealers in Manila</v>
          </cell>
          <cell r="E228" t="str">
            <v>Best in Manila</v>
          </cell>
          <cell r="F228" t="str">
            <v>Makati.honda</v>
          </cell>
          <cell r="G228" t="str">
            <v>Dealer</v>
          </cell>
          <cell r="H228" t="str">
            <v>05</v>
          </cell>
          <cell r="I228" t="str">
            <v>Makati.honda.05Q4.csi.05.063</v>
          </cell>
        </row>
        <row r="229">
          <cell r="A229">
            <v>14</v>
          </cell>
          <cell r="B229" t="str">
            <v>Alabang Honda</v>
          </cell>
          <cell r="C229" t="str">
            <v>Manila</v>
          </cell>
          <cell r="D229" t="str">
            <v>Dealers in Manila</v>
          </cell>
          <cell r="E229" t="str">
            <v>Best in Manila</v>
          </cell>
          <cell r="F229" t="str">
            <v>AlAbAng.hondA</v>
          </cell>
          <cell r="G229" t="str">
            <v>Dealer</v>
          </cell>
          <cell r="H229" t="str">
            <v>05</v>
          </cell>
          <cell r="I229" t="str">
            <v>AlAbAng.hondA.05Q4.csi.05.063</v>
          </cell>
        </row>
        <row r="230">
          <cell r="A230">
            <v>15</v>
          </cell>
          <cell r="B230" t="str">
            <v>Marikina Honda</v>
          </cell>
          <cell r="C230" t="str">
            <v>Manila</v>
          </cell>
          <cell r="D230" t="str">
            <v>Dealers in Manila</v>
          </cell>
          <cell r="E230" t="str">
            <v>Best in Manila</v>
          </cell>
          <cell r="F230" t="str">
            <v>Marikina.honda</v>
          </cell>
          <cell r="G230" t="str">
            <v>Dealer</v>
          </cell>
          <cell r="H230" t="str">
            <v>05</v>
          </cell>
          <cell r="I230" t="str">
            <v>Marikina.honda.05Q4.csi.05.063</v>
          </cell>
        </row>
        <row r="231">
          <cell r="A231">
            <v>16</v>
          </cell>
          <cell r="B231" t="str">
            <v>Quezon City Honda</v>
          </cell>
          <cell r="C231" t="str">
            <v>Manila</v>
          </cell>
          <cell r="D231" t="str">
            <v>Dealers in Manila</v>
          </cell>
          <cell r="E231" t="str">
            <v>Best in Manila</v>
          </cell>
          <cell r="F231" t="str">
            <v>Quezon.honda</v>
          </cell>
          <cell r="G231" t="str">
            <v>Dealer</v>
          </cell>
          <cell r="H231" t="str">
            <v>05</v>
          </cell>
          <cell r="I231" t="str">
            <v>Quezon.honda.05Q4.csi.05.063</v>
          </cell>
        </row>
        <row r="232">
          <cell r="A232">
            <v>17</v>
          </cell>
          <cell r="B232" t="str">
            <v>Manila Honda</v>
          </cell>
          <cell r="C232" t="str">
            <v>Manila</v>
          </cell>
          <cell r="D232" t="str">
            <v>Dealers in Manila</v>
          </cell>
          <cell r="E232" t="str">
            <v>Best in Manila</v>
          </cell>
          <cell r="F232" t="str">
            <v>Manila.honda</v>
          </cell>
          <cell r="G232" t="str">
            <v>Dealer</v>
          </cell>
          <cell r="H232" t="str">
            <v>05</v>
          </cell>
          <cell r="I232" t="str">
            <v>Manila.honda.05Q4.csi.05.063</v>
          </cell>
        </row>
        <row r="233">
          <cell r="A233">
            <v>18</v>
          </cell>
          <cell r="B233" t="str">
            <v>Caloocan Honda</v>
          </cell>
          <cell r="C233" t="str">
            <v>Manila</v>
          </cell>
          <cell r="D233" t="str">
            <v>Dealers in Manila</v>
          </cell>
          <cell r="E233" t="str">
            <v>Best in Manila</v>
          </cell>
          <cell r="F233" t="str">
            <v>CalooCan.honda</v>
          </cell>
          <cell r="G233" t="str">
            <v>Dealer</v>
          </cell>
          <cell r="H233" t="str">
            <v>05</v>
          </cell>
          <cell r="I233" t="str">
            <v>CalooCan.honda.05Q4.csi.05.063</v>
          </cell>
        </row>
        <row r="234">
          <cell r="A234">
            <v>19</v>
          </cell>
          <cell r="B234" t="str">
            <v>Fairview Honda</v>
          </cell>
          <cell r="C234" t="str">
            <v>Manila</v>
          </cell>
          <cell r="D234" t="str">
            <v>Dealers in Manila</v>
          </cell>
          <cell r="E234" t="str">
            <v>Best in Manila</v>
          </cell>
          <cell r="F234" t="str">
            <v>Fairview.honda</v>
          </cell>
          <cell r="G234" t="str">
            <v>Dealer</v>
          </cell>
          <cell r="H234" t="str">
            <v>05</v>
          </cell>
          <cell r="I234" t="str">
            <v>Fairview.honda.05Q4.csi.05.063</v>
          </cell>
        </row>
        <row r="235">
          <cell r="A235">
            <v>20</v>
          </cell>
          <cell r="B235" t="str">
            <v>Tarlac Honda</v>
          </cell>
          <cell r="C235" t="str">
            <v>Luzon</v>
          </cell>
          <cell r="D235" t="str">
            <v>Dealers in Luzon</v>
          </cell>
          <cell r="E235" t="str">
            <v>Best in Luzon</v>
          </cell>
          <cell r="F235" t="str">
            <v>Tarlac.honda</v>
          </cell>
          <cell r="G235" t="str">
            <v>Dealer</v>
          </cell>
          <cell r="H235" t="str">
            <v>05</v>
          </cell>
          <cell r="I235" t="str">
            <v>Tarlac.honda.05Q4.csi.05.063</v>
          </cell>
        </row>
        <row r="236">
          <cell r="A236">
            <v>21</v>
          </cell>
          <cell r="B236" t="str">
            <v>Pangasinan Honda</v>
          </cell>
          <cell r="C236" t="str">
            <v>Luzon</v>
          </cell>
          <cell r="D236" t="str">
            <v>Dealers in Luzon</v>
          </cell>
          <cell r="E236" t="str">
            <v>Best in Luzon</v>
          </cell>
          <cell r="F236" t="str">
            <v>Pangasinan.honda</v>
          </cell>
          <cell r="G236" t="str">
            <v>Dealer</v>
          </cell>
          <cell r="H236" t="str">
            <v>05</v>
          </cell>
          <cell r="I236" t="str">
            <v>Pangasinan.honda.05Q4.csi.05.063</v>
          </cell>
        </row>
        <row r="237">
          <cell r="A237">
            <v>22</v>
          </cell>
          <cell r="B237" t="str">
            <v>Pampanga Honda</v>
          </cell>
          <cell r="C237" t="str">
            <v>Luzon</v>
          </cell>
          <cell r="D237" t="str">
            <v>Dealers in Luzon</v>
          </cell>
          <cell r="E237" t="str">
            <v>Best in Luzon</v>
          </cell>
          <cell r="F237" t="str">
            <v>PamPanga.honda</v>
          </cell>
          <cell r="G237" t="str">
            <v>Dealer</v>
          </cell>
          <cell r="H237" t="str">
            <v>05</v>
          </cell>
          <cell r="I237" t="str">
            <v>PamPanga.honda.05Q4.csi.05.063</v>
          </cell>
        </row>
        <row r="238">
          <cell r="A238">
            <v>23</v>
          </cell>
          <cell r="B238" t="str">
            <v>San Pablo Honda</v>
          </cell>
          <cell r="C238" t="str">
            <v>Luzon</v>
          </cell>
          <cell r="D238" t="str">
            <v>Dealers in Luzon</v>
          </cell>
          <cell r="E238" t="str">
            <v>Best in Luzon</v>
          </cell>
          <cell r="F238" t="str">
            <v>Sanpablo.honda</v>
          </cell>
          <cell r="G238" t="str">
            <v>Dealer</v>
          </cell>
          <cell r="H238" t="str">
            <v>05</v>
          </cell>
          <cell r="I238" t="str">
            <v>Sanpablo.honda.05Q4.csi.05.063</v>
          </cell>
        </row>
        <row r="239">
          <cell r="A239">
            <v>24</v>
          </cell>
          <cell r="B239" t="str">
            <v>Isabela Honda</v>
          </cell>
          <cell r="C239" t="str">
            <v>Luzon</v>
          </cell>
          <cell r="D239" t="str">
            <v>Dealers in Luzon</v>
          </cell>
          <cell r="E239" t="str">
            <v>Best in Luzon</v>
          </cell>
          <cell r="F239" t="str">
            <v>Isabela.honda</v>
          </cell>
          <cell r="G239" t="str">
            <v>Dealer</v>
          </cell>
          <cell r="H239" t="str">
            <v>05</v>
          </cell>
          <cell r="I239" t="str">
            <v>Isabela.honda.05Q4.csi.05.063</v>
          </cell>
        </row>
        <row r="240">
          <cell r="A240">
            <v>25</v>
          </cell>
          <cell r="B240" t="str">
            <v>Cebu City Honda</v>
          </cell>
          <cell r="C240" t="str">
            <v>Visayas</v>
          </cell>
          <cell r="D240" t="str">
            <v>Dealers in Visayas</v>
          </cell>
          <cell r="E240" t="str">
            <v>Best in Visayas</v>
          </cell>
          <cell r="F240" t="str">
            <v>CebuCity.honda</v>
          </cell>
          <cell r="G240" t="str">
            <v>Dealer</v>
          </cell>
          <cell r="H240" t="str">
            <v>05</v>
          </cell>
          <cell r="I240" t="str">
            <v>CebuCity.honda.05Q4.csi.05.063</v>
          </cell>
        </row>
        <row r="241">
          <cell r="A241">
            <v>26</v>
          </cell>
          <cell r="B241" t="str">
            <v>Negros Occidental Honda</v>
          </cell>
          <cell r="C241" t="str">
            <v>Visayas</v>
          </cell>
          <cell r="D241" t="str">
            <v>Dealers in Visayas</v>
          </cell>
          <cell r="E241" t="str">
            <v>Best in Visayas</v>
          </cell>
          <cell r="F241" t="str">
            <v>Negros.honda</v>
          </cell>
          <cell r="G241" t="str">
            <v>Dealer</v>
          </cell>
          <cell r="H241" t="str">
            <v>05</v>
          </cell>
          <cell r="I241" t="str">
            <v>Negros.honda.05Q4.csi.05.063</v>
          </cell>
        </row>
        <row r="242">
          <cell r="A242">
            <v>27</v>
          </cell>
          <cell r="B242" t="str">
            <v>General Santos City Honda</v>
          </cell>
          <cell r="C242" t="str">
            <v>Mindanao</v>
          </cell>
          <cell r="D242" t="str">
            <v>Dealers in Mindanao</v>
          </cell>
          <cell r="E242" t="str">
            <v>Best in Mindanao</v>
          </cell>
          <cell r="F242" t="str">
            <v>Generalsantos.honda</v>
          </cell>
          <cell r="G242" t="str">
            <v>Dealer</v>
          </cell>
          <cell r="H242" t="str">
            <v>05</v>
          </cell>
          <cell r="I242" t="str">
            <v>Generalsantos.honda.05Q4.csi.05.063</v>
          </cell>
        </row>
        <row r="243">
          <cell r="A243">
            <v>28</v>
          </cell>
          <cell r="B243" t="str">
            <v>Davao City Honda</v>
          </cell>
          <cell r="C243" t="str">
            <v>Mindanao</v>
          </cell>
          <cell r="D243" t="str">
            <v>Dealers in Mindanao</v>
          </cell>
          <cell r="E243" t="str">
            <v>Best in Mindanao</v>
          </cell>
          <cell r="F243" t="str">
            <v>Davaocity.honda</v>
          </cell>
          <cell r="G243" t="str">
            <v>Dealer</v>
          </cell>
          <cell r="H243" t="str">
            <v>05</v>
          </cell>
          <cell r="I243" t="str">
            <v>Davaocity.honda.05Q4.csi.05.063</v>
          </cell>
        </row>
        <row r="244">
          <cell r="A244">
            <v>29</v>
          </cell>
          <cell r="B244" t="str">
            <v>Cagayan de Oro City Honda</v>
          </cell>
          <cell r="C244" t="str">
            <v>Mindanao</v>
          </cell>
          <cell r="D244" t="str">
            <v>Dealers in Mindanao</v>
          </cell>
          <cell r="E244" t="str">
            <v>Best in Mindanao</v>
          </cell>
          <cell r="F244" t="str">
            <v>Cagayan.honda</v>
          </cell>
          <cell r="G244" t="str">
            <v>Dealer</v>
          </cell>
          <cell r="H244" t="str">
            <v>05</v>
          </cell>
          <cell r="I244" t="str">
            <v>Cagayan.honda.05Q4.csi.05.063</v>
          </cell>
        </row>
        <row r="247">
          <cell r="A247" t="str">
            <v>India</v>
          </cell>
          <cell r="B247" t="str">
            <v>UniqueName</v>
          </cell>
          <cell r="C247" t="str">
            <v>Comparison segment</v>
          </cell>
          <cell r="D247" t="str">
            <v>Ranked Type</v>
          </cell>
          <cell r="G247" t="str">
            <v>Report Type</v>
          </cell>
          <cell r="H247" t="str">
            <v>Code</v>
          </cell>
          <cell r="I247" t="str">
            <v>Filename</v>
          </cell>
        </row>
        <row r="248">
          <cell r="A248">
            <v>1</v>
          </cell>
          <cell r="B248" t="str">
            <v>Study Total</v>
          </cell>
          <cell r="C248" t="str">
            <v>Study Total</v>
          </cell>
          <cell r="E248" t="str">
            <v>Best Dealer</v>
          </cell>
          <cell r="F248" t="str">
            <v>Study Total.honda</v>
          </cell>
          <cell r="G248" t="str">
            <v>Study Total</v>
          </cell>
          <cell r="H248" t="str">
            <v>01</v>
          </cell>
          <cell r="I248" t="str">
            <v>Study Total.honda.05Q4.csi.01.091</v>
          </cell>
        </row>
        <row r="249">
          <cell r="A249">
            <v>2</v>
          </cell>
          <cell r="B249" t="str">
            <v>City</v>
          </cell>
          <cell r="C249" t="str">
            <v>Study Total</v>
          </cell>
          <cell r="D249" t="str">
            <v>Vehicle Type</v>
          </cell>
          <cell r="E249" t="str">
            <v>Best In Models</v>
          </cell>
          <cell r="F249" t="str">
            <v>City.honda</v>
          </cell>
          <cell r="G249" t="str">
            <v>Model</v>
          </cell>
          <cell r="H249" t="str">
            <v>04</v>
          </cell>
          <cell r="I249" t="str">
            <v>City.honda.05Q4.csi.04.091</v>
          </cell>
        </row>
        <row r="250">
          <cell r="A250">
            <v>3</v>
          </cell>
          <cell r="B250" t="str">
            <v>Accord</v>
          </cell>
          <cell r="C250" t="str">
            <v>Study Total</v>
          </cell>
          <cell r="D250" t="str">
            <v>Vehicle Type</v>
          </cell>
          <cell r="E250" t="str">
            <v>Best In Models</v>
          </cell>
          <cell r="F250" t="str">
            <v>Accord.honda</v>
          </cell>
          <cell r="G250" t="str">
            <v>Model</v>
          </cell>
          <cell r="H250" t="str">
            <v>04</v>
          </cell>
          <cell r="I250" t="str">
            <v>Accord.honda.05Q4.csi.04.091</v>
          </cell>
        </row>
        <row r="251">
          <cell r="A251">
            <v>4</v>
          </cell>
          <cell r="B251" t="str">
            <v>CR-V</v>
          </cell>
          <cell r="C251" t="str">
            <v>Study Total</v>
          </cell>
          <cell r="D251" t="str">
            <v>Vehicle Type</v>
          </cell>
          <cell r="E251" t="str">
            <v>Best In Models</v>
          </cell>
          <cell r="F251" t="str">
            <v>CR-V.honda</v>
          </cell>
          <cell r="G251" t="str">
            <v>Model</v>
          </cell>
          <cell r="H251" t="str">
            <v>04</v>
          </cell>
          <cell r="I251" t="str">
            <v>CR-V.honda.05Q4.csi.04.091</v>
          </cell>
        </row>
        <row r="252">
          <cell r="A252">
            <v>5</v>
          </cell>
          <cell r="B252" t="str">
            <v>North</v>
          </cell>
          <cell r="C252" t="str">
            <v>Study Total</v>
          </cell>
          <cell r="D252" t="str">
            <v>State</v>
          </cell>
          <cell r="E252" t="str">
            <v>Best in Regions</v>
          </cell>
          <cell r="F252" t="str">
            <v>North.honda</v>
          </cell>
          <cell r="G252" t="str">
            <v>Region</v>
          </cell>
          <cell r="H252" t="str">
            <v>03</v>
          </cell>
          <cell r="I252" t="str">
            <v>North.honda.05Q4.csi.03.091</v>
          </cell>
        </row>
        <row r="253">
          <cell r="A253">
            <v>6</v>
          </cell>
          <cell r="B253" t="str">
            <v>East</v>
          </cell>
          <cell r="C253" t="str">
            <v>Study Total</v>
          </cell>
          <cell r="D253" t="str">
            <v>State</v>
          </cell>
          <cell r="E253" t="str">
            <v>Best in Regions</v>
          </cell>
          <cell r="F253" t="str">
            <v>East.honda</v>
          </cell>
          <cell r="G253" t="str">
            <v>Region</v>
          </cell>
          <cell r="H253" t="str">
            <v>03</v>
          </cell>
          <cell r="I253" t="str">
            <v>East.honda.05Q4.csi.03.091</v>
          </cell>
        </row>
        <row r="254">
          <cell r="A254">
            <v>7</v>
          </cell>
          <cell r="B254" t="str">
            <v>West</v>
          </cell>
          <cell r="C254" t="str">
            <v>Study Total</v>
          </cell>
          <cell r="D254" t="str">
            <v>State</v>
          </cell>
          <cell r="E254" t="str">
            <v>Best in Regions</v>
          </cell>
          <cell r="F254" t="str">
            <v>West.honda</v>
          </cell>
          <cell r="G254" t="str">
            <v>Region</v>
          </cell>
          <cell r="H254" t="str">
            <v>03</v>
          </cell>
          <cell r="I254" t="str">
            <v>West.honda.05Q4.csi.03.091</v>
          </cell>
        </row>
        <row r="255">
          <cell r="A255">
            <v>8</v>
          </cell>
          <cell r="B255" t="str">
            <v>South</v>
          </cell>
          <cell r="C255" t="str">
            <v>Study Total</v>
          </cell>
          <cell r="D255" t="str">
            <v>State</v>
          </cell>
          <cell r="E255" t="str">
            <v>Best in Regions</v>
          </cell>
          <cell r="F255" t="str">
            <v>South.honda</v>
          </cell>
          <cell r="G255" t="str">
            <v>Region</v>
          </cell>
          <cell r="H255" t="str">
            <v>03</v>
          </cell>
          <cell r="I255" t="str">
            <v>South.honda.05Q4.csi.03.091</v>
          </cell>
        </row>
        <row r="256">
          <cell r="A256">
            <v>9</v>
          </cell>
          <cell r="B256" t="str">
            <v>Prestige Honda - Chandigarh</v>
          </cell>
          <cell r="C256" t="str">
            <v>North</v>
          </cell>
          <cell r="D256" t="str">
            <v>Dealers in North</v>
          </cell>
          <cell r="E256" t="str">
            <v>Best in North</v>
          </cell>
          <cell r="F256" t="str">
            <v>Prestige Honda - Chandigarh</v>
          </cell>
          <cell r="G256" t="str">
            <v>Dealer</v>
          </cell>
          <cell r="H256" t="str">
            <v>05</v>
          </cell>
          <cell r="I256" t="str">
            <v>Prestige Honda - Chandigarh.05Q4.csi.05.091</v>
          </cell>
        </row>
        <row r="257">
          <cell r="A257">
            <v>10</v>
          </cell>
          <cell r="B257" t="str">
            <v>Ring Road Honda - Delhi</v>
          </cell>
          <cell r="C257" t="str">
            <v>North</v>
          </cell>
          <cell r="D257" t="str">
            <v>Dealers in North</v>
          </cell>
          <cell r="E257" t="str">
            <v>Best in North</v>
          </cell>
          <cell r="F257" t="str">
            <v>Ring Road Honda - Delhi</v>
          </cell>
          <cell r="G257" t="str">
            <v>Dealer</v>
          </cell>
          <cell r="H257" t="str">
            <v>05</v>
          </cell>
          <cell r="I257" t="str">
            <v>Ring Road Honda - Delhi.05Q4.csi.05.091</v>
          </cell>
        </row>
        <row r="258">
          <cell r="A258">
            <v>11</v>
          </cell>
          <cell r="B258" t="str">
            <v>Prestige Honda - Ludhiana</v>
          </cell>
          <cell r="C258" t="str">
            <v>North</v>
          </cell>
          <cell r="D258" t="str">
            <v>Dealers in North</v>
          </cell>
          <cell r="E258" t="str">
            <v>Best in North</v>
          </cell>
          <cell r="F258" t="str">
            <v>Prestige Honda - Ludhiana</v>
          </cell>
          <cell r="G258" t="str">
            <v>Dealer</v>
          </cell>
          <cell r="H258" t="str">
            <v>05</v>
          </cell>
          <cell r="I258" t="str">
            <v>Prestige Honda - Ludhiana.05Q4.csi.05.091</v>
          </cell>
        </row>
        <row r="259">
          <cell r="A259">
            <v>12</v>
          </cell>
          <cell r="B259" t="str">
            <v>Prestige Honda - Jalandhar</v>
          </cell>
          <cell r="C259" t="str">
            <v>North</v>
          </cell>
          <cell r="D259" t="str">
            <v>Dealers in North</v>
          </cell>
          <cell r="E259" t="str">
            <v>Best in North</v>
          </cell>
          <cell r="F259" t="str">
            <v>Prestige Honda - Jalandhar</v>
          </cell>
          <cell r="G259" t="str">
            <v>Dealer</v>
          </cell>
          <cell r="H259" t="str">
            <v>05</v>
          </cell>
          <cell r="I259" t="str">
            <v>Prestige Honda - Jalandhar.05Q4.csi.05.091</v>
          </cell>
        </row>
        <row r="260">
          <cell r="A260">
            <v>13</v>
          </cell>
          <cell r="B260" t="str">
            <v>Pink City Honda - Jaipur</v>
          </cell>
          <cell r="C260" t="str">
            <v>North</v>
          </cell>
          <cell r="D260" t="str">
            <v>Dealers in North</v>
          </cell>
          <cell r="E260" t="str">
            <v>Best in North</v>
          </cell>
          <cell r="F260" t="str">
            <v>Pink City Honda - Jaipur</v>
          </cell>
          <cell r="G260" t="str">
            <v>Dealer</v>
          </cell>
          <cell r="H260" t="str">
            <v>05</v>
          </cell>
          <cell r="I260" t="str">
            <v>Pink City Honda - Jaipur.05Q4.csi.05.091</v>
          </cell>
        </row>
        <row r="261">
          <cell r="A261">
            <v>14</v>
          </cell>
          <cell r="B261" t="str">
            <v>Southend Honda - Delhi</v>
          </cell>
          <cell r="C261" t="str">
            <v>North</v>
          </cell>
          <cell r="D261" t="str">
            <v>Dealers in North</v>
          </cell>
          <cell r="E261" t="str">
            <v>Best in North</v>
          </cell>
          <cell r="F261" t="str">
            <v>Southend Honda - Delhi</v>
          </cell>
          <cell r="G261" t="str">
            <v>Dealer</v>
          </cell>
          <cell r="H261" t="str">
            <v>05</v>
          </cell>
          <cell r="I261" t="str">
            <v>Southend Honda - Delhi.05Q4.csi.05.091</v>
          </cell>
        </row>
        <row r="262">
          <cell r="A262">
            <v>15</v>
          </cell>
          <cell r="B262" t="str">
            <v>Prime Honda - Ghaziabad</v>
          </cell>
          <cell r="C262" t="str">
            <v>North</v>
          </cell>
          <cell r="D262" t="str">
            <v>Dealers in North</v>
          </cell>
          <cell r="E262" t="str">
            <v>Best in North</v>
          </cell>
          <cell r="F262" t="str">
            <v>Prime Honda - Ghaziabad</v>
          </cell>
          <cell r="G262" t="str">
            <v>Dealer</v>
          </cell>
          <cell r="H262" t="str">
            <v>05</v>
          </cell>
          <cell r="I262" t="str">
            <v>Prime Honda - Ghaziabad.05Q4.csi.05.091</v>
          </cell>
        </row>
        <row r="263">
          <cell r="A263">
            <v>16</v>
          </cell>
          <cell r="B263" t="str">
            <v>Fortune Honda - Lucknow</v>
          </cell>
          <cell r="C263" t="str">
            <v>North</v>
          </cell>
          <cell r="D263" t="str">
            <v>Dealers in North</v>
          </cell>
          <cell r="E263" t="str">
            <v>Best in North</v>
          </cell>
          <cell r="F263" t="str">
            <v>Fortune Honda - Lucknow</v>
          </cell>
          <cell r="G263" t="str">
            <v>Dealer</v>
          </cell>
          <cell r="H263" t="str">
            <v>05</v>
          </cell>
          <cell r="I263" t="str">
            <v>Fortune Honda - Lucknow.05Q4.csi.05.091</v>
          </cell>
        </row>
        <row r="264">
          <cell r="A264">
            <v>17</v>
          </cell>
          <cell r="B264" t="str">
            <v>Prestige Honda - Amritsar</v>
          </cell>
          <cell r="C264" t="str">
            <v>North</v>
          </cell>
          <cell r="D264" t="str">
            <v>Dealers in North</v>
          </cell>
          <cell r="E264" t="str">
            <v>Best in North</v>
          </cell>
          <cell r="F264" t="str">
            <v>Prestige Honda - Amritsar</v>
          </cell>
          <cell r="G264" t="str">
            <v>Dealer</v>
          </cell>
          <cell r="H264" t="str">
            <v>05</v>
          </cell>
          <cell r="I264" t="str">
            <v>Prestige Honda - Amritsar.05Q4.csi.05.091</v>
          </cell>
        </row>
        <row r="265">
          <cell r="A265">
            <v>18</v>
          </cell>
          <cell r="B265" t="str">
            <v>Prestige Honda - Patiala</v>
          </cell>
          <cell r="C265" t="str">
            <v>North</v>
          </cell>
          <cell r="D265" t="str">
            <v>Dealers in North</v>
          </cell>
          <cell r="E265" t="str">
            <v>Best in North</v>
          </cell>
          <cell r="F265" t="str">
            <v>Prestige Honda - Patiala</v>
          </cell>
          <cell r="G265" t="str">
            <v>Dealer</v>
          </cell>
          <cell r="H265" t="str">
            <v>05</v>
          </cell>
          <cell r="I265" t="str">
            <v>Prestige Honda - Patiala.05Q4.csi.05.091</v>
          </cell>
        </row>
        <row r="266">
          <cell r="A266">
            <v>19</v>
          </cell>
          <cell r="B266" t="str">
            <v>Prestige Honda - Karnal</v>
          </cell>
          <cell r="C266" t="str">
            <v>North</v>
          </cell>
          <cell r="D266" t="str">
            <v>Dealers in North</v>
          </cell>
          <cell r="E266" t="str">
            <v>Best in North</v>
          </cell>
          <cell r="F266" t="str">
            <v>Prestige Honda - Karnal</v>
          </cell>
          <cell r="G266" t="str">
            <v>Dealer</v>
          </cell>
          <cell r="H266" t="str">
            <v>05</v>
          </cell>
          <cell r="I266" t="str">
            <v>Prestige Honda - Karnal.05Q4.csi.05.091</v>
          </cell>
        </row>
        <row r="267">
          <cell r="A267">
            <v>20</v>
          </cell>
          <cell r="B267" t="str">
            <v>Heritage Honda - Agra</v>
          </cell>
          <cell r="C267" t="str">
            <v>North</v>
          </cell>
          <cell r="D267" t="str">
            <v>Dealers in North</v>
          </cell>
          <cell r="E267" t="str">
            <v>Best in North</v>
          </cell>
          <cell r="F267" t="str">
            <v>Heritage Honda - Agra</v>
          </cell>
          <cell r="G267" t="str">
            <v>Dealer</v>
          </cell>
          <cell r="H267" t="str">
            <v>05</v>
          </cell>
          <cell r="I267" t="str">
            <v>Heritage Honda - Agra.05Q4.csi.05.091</v>
          </cell>
        </row>
        <row r="268">
          <cell r="A268">
            <v>21</v>
          </cell>
          <cell r="B268" t="str">
            <v>Pushp Honda - Kanpur</v>
          </cell>
          <cell r="C268" t="str">
            <v>North</v>
          </cell>
          <cell r="D268" t="str">
            <v>Dealers in North</v>
          </cell>
          <cell r="E268" t="str">
            <v>Best in North</v>
          </cell>
          <cell r="F268" t="str">
            <v>Pushp Honda - Kanpur</v>
          </cell>
          <cell r="G268" t="str">
            <v>Dealer</v>
          </cell>
          <cell r="H268" t="str">
            <v>05</v>
          </cell>
          <cell r="I268" t="str">
            <v>Pushp Honda - Kanpur.05Q4.csi.05.091</v>
          </cell>
        </row>
        <row r="269">
          <cell r="A269">
            <v>22</v>
          </cell>
          <cell r="B269" t="str">
            <v>Ring Road Honda - Gurgaon</v>
          </cell>
          <cell r="C269" t="str">
            <v>North</v>
          </cell>
          <cell r="D269" t="str">
            <v>Dealers in North</v>
          </cell>
          <cell r="E269" t="str">
            <v>Best in North</v>
          </cell>
          <cell r="F269" t="str">
            <v>Ring Road Honda - Gurgaon</v>
          </cell>
          <cell r="G269" t="str">
            <v>Dealer</v>
          </cell>
          <cell r="H269" t="str">
            <v>05</v>
          </cell>
          <cell r="I269" t="str">
            <v>Ring Road Honda - Gurgaon.05Q4.csi.05.091</v>
          </cell>
        </row>
        <row r="270">
          <cell r="A270">
            <v>23</v>
          </cell>
          <cell r="B270" t="str">
            <v>Windsor Honda - Kolkata</v>
          </cell>
          <cell r="C270" t="str">
            <v>East</v>
          </cell>
          <cell r="D270" t="str">
            <v>Dealers in East</v>
          </cell>
          <cell r="E270" t="str">
            <v>Best in East</v>
          </cell>
          <cell r="F270" t="str">
            <v>Windsor Honda - Kolkata</v>
          </cell>
          <cell r="G270" t="str">
            <v>Dealer</v>
          </cell>
          <cell r="H270" t="str">
            <v>05</v>
          </cell>
          <cell r="I270" t="str">
            <v>Windsor Honda - Kolkata.05Q4.csi.05.091</v>
          </cell>
        </row>
        <row r="271">
          <cell r="A271">
            <v>24</v>
          </cell>
          <cell r="B271" t="str">
            <v>Highway Honda - Bhubaneshwar</v>
          </cell>
          <cell r="C271" t="str">
            <v>East</v>
          </cell>
          <cell r="D271" t="str">
            <v>Dealers in East</v>
          </cell>
          <cell r="E271" t="str">
            <v>Best in East</v>
          </cell>
          <cell r="F271" t="str">
            <v>Highway Honda - Bhubaneshwar</v>
          </cell>
          <cell r="G271" t="str">
            <v>Dealer</v>
          </cell>
          <cell r="H271" t="str">
            <v>05</v>
          </cell>
          <cell r="I271" t="str">
            <v>Highway Honda - Bhubaneshwar.05Q4.csi.05.091</v>
          </cell>
        </row>
        <row r="272">
          <cell r="A272">
            <v>25</v>
          </cell>
          <cell r="B272" t="str">
            <v>Shubh Honda - Raipur</v>
          </cell>
          <cell r="C272" t="str">
            <v>West</v>
          </cell>
          <cell r="D272" t="str">
            <v>Dealers in West</v>
          </cell>
          <cell r="E272" t="str">
            <v>Best in West</v>
          </cell>
          <cell r="F272" t="str">
            <v>Shubh Honda - Raipur</v>
          </cell>
          <cell r="G272" t="str">
            <v>Dealer</v>
          </cell>
          <cell r="H272" t="str">
            <v>05</v>
          </cell>
          <cell r="I272" t="str">
            <v>Shubh Honda - Raipur.05Q4.csi.05.091</v>
          </cell>
        </row>
        <row r="273">
          <cell r="A273">
            <v>26</v>
          </cell>
          <cell r="B273" t="str">
            <v>Landmark Honda - Rajkot</v>
          </cell>
          <cell r="C273" t="str">
            <v>West</v>
          </cell>
          <cell r="D273" t="str">
            <v>Dealers in West</v>
          </cell>
          <cell r="E273" t="str">
            <v>Best in West</v>
          </cell>
          <cell r="F273" t="str">
            <v>Landmark Honda - Rajkot</v>
          </cell>
          <cell r="G273" t="str">
            <v>Dealer</v>
          </cell>
          <cell r="H273" t="str">
            <v>05</v>
          </cell>
          <cell r="I273" t="str">
            <v>Landmark Honda - Rajkot.05Q4.csi.05.091</v>
          </cell>
        </row>
        <row r="274">
          <cell r="A274">
            <v>27</v>
          </cell>
          <cell r="B274" t="str">
            <v>Abhikaran Honda - Bhopal</v>
          </cell>
          <cell r="C274" t="str">
            <v>West</v>
          </cell>
          <cell r="D274" t="str">
            <v>Dealers in West</v>
          </cell>
          <cell r="E274" t="str">
            <v>Best in West</v>
          </cell>
          <cell r="F274" t="str">
            <v>Abhikaran Honda - Bhopal</v>
          </cell>
          <cell r="G274" t="str">
            <v>Dealer</v>
          </cell>
          <cell r="H274" t="str">
            <v>05</v>
          </cell>
          <cell r="I274" t="str">
            <v>Abhikaran Honda - Bhopal.05Q4.csi.05.091</v>
          </cell>
        </row>
        <row r="275">
          <cell r="A275">
            <v>28</v>
          </cell>
          <cell r="B275" t="str">
            <v>Rushabh Honda - Nasik</v>
          </cell>
          <cell r="C275" t="str">
            <v>West</v>
          </cell>
          <cell r="D275" t="str">
            <v>Dealers in West</v>
          </cell>
          <cell r="E275" t="str">
            <v>Best in West</v>
          </cell>
          <cell r="F275" t="str">
            <v>Rushabh Honda - Nasik</v>
          </cell>
          <cell r="G275" t="str">
            <v>Dealer</v>
          </cell>
          <cell r="H275" t="str">
            <v>05</v>
          </cell>
          <cell r="I275" t="str">
            <v>Rushabh Honda - Nasik.05Q4.csi.05.091</v>
          </cell>
        </row>
        <row r="276">
          <cell r="A276">
            <v>29</v>
          </cell>
          <cell r="B276" t="str">
            <v>Bhavya Honda - Nagpur</v>
          </cell>
          <cell r="C276" t="str">
            <v>West</v>
          </cell>
          <cell r="D276" t="str">
            <v>Dealers in West</v>
          </cell>
          <cell r="E276" t="str">
            <v>Best in West</v>
          </cell>
          <cell r="F276" t="str">
            <v>Bhavya Honda - Nagpur</v>
          </cell>
          <cell r="G276" t="str">
            <v>Dealer</v>
          </cell>
          <cell r="H276" t="str">
            <v>05</v>
          </cell>
          <cell r="I276" t="str">
            <v>Bhavya Honda - Nagpur.05Q4.csi.05.091</v>
          </cell>
        </row>
        <row r="277">
          <cell r="A277">
            <v>30</v>
          </cell>
          <cell r="B277" t="str">
            <v>Deccan Honda - Aurangabad</v>
          </cell>
          <cell r="C277" t="str">
            <v>West</v>
          </cell>
          <cell r="D277" t="str">
            <v>Dealers in West</v>
          </cell>
          <cell r="E277" t="str">
            <v>Best in West</v>
          </cell>
          <cell r="F277" t="str">
            <v>Deccan Honda - Aurangabad</v>
          </cell>
          <cell r="G277" t="str">
            <v>Dealer</v>
          </cell>
          <cell r="H277" t="str">
            <v>05</v>
          </cell>
          <cell r="I277" t="str">
            <v>Deccan Honda - Aurangabad.05Q4.csi.05.091</v>
          </cell>
        </row>
        <row r="278">
          <cell r="A278">
            <v>31</v>
          </cell>
          <cell r="B278" t="str">
            <v>Abhikaran Honda - Indore</v>
          </cell>
          <cell r="C278" t="str">
            <v>West</v>
          </cell>
          <cell r="D278" t="str">
            <v>Dealers in West</v>
          </cell>
          <cell r="E278" t="str">
            <v>Best in West</v>
          </cell>
          <cell r="F278" t="str">
            <v>Abhikaran Honda - Indore</v>
          </cell>
          <cell r="G278" t="str">
            <v>Dealer</v>
          </cell>
          <cell r="H278" t="str">
            <v>05</v>
          </cell>
          <cell r="I278" t="str">
            <v>Abhikaran Honda - Indore.05Q4.csi.05.091</v>
          </cell>
        </row>
        <row r="279">
          <cell r="A279">
            <v>32</v>
          </cell>
          <cell r="B279" t="str">
            <v>Link Way Honda - Andheri Mumbai</v>
          </cell>
          <cell r="C279" t="str">
            <v>West</v>
          </cell>
          <cell r="D279" t="str">
            <v>Dealers in West</v>
          </cell>
          <cell r="E279" t="str">
            <v>Best in West</v>
          </cell>
          <cell r="F279" t="str">
            <v>Link Way Honda - Andheri Mumbai</v>
          </cell>
          <cell r="G279" t="str">
            <v>Dealer</v>
          </cell>
          <cell r="H279" t="str">
            <v>05</v>
          </cell>
          <cell r="I279" t="str">
            <v>Link Way Honda - Andheri Mumbai.05Q4.csi.05.091</v>
          </cell>
        </row>
        <row r="280">
          <cell r="A280">
            <v>33</v>
          </cell>
          <cell r="B280" t="str">
            <v>Link Way Honda - Goregaon Mumbai</v>
          </cell>
          <cell r="C280" t="str">
            <v>West</v>
          </cell>
          <cell r="D280" t="str">
            <v>Dealers in West</v>
          </cell>
          <cell r="E280" t="str">
            <v>Best in West</v>
          </cell>
          <cell r="F280" t="str">
            <v>Link Way Honda - Goregaon Mumbai</v>
          </cell>
          <cell r="G280" t="str">
            <v>Dealer</v>
          </cell>
          <cell r="H280" t="str">
            <v>05</v>
          </cell>
          <cell r="I280" t="str">
            <v>Link Way Honda - Goregaon Mumbai.05Q4.csi.05.091</v>
          </cell>
        </row>
        <row r="281">
          <cell r="A281">
            <v>34</v>
          </cell>
          <cell r="B281" t="str">
            <v>Ichibaan Honda - Kalina Mumbai</v>
          </cell>
          <cell r="C281" t="str">
            <v>West</v>
          </cell>
          <cell r="D281" t="str">
            <v>Dealers in West</v>
          </cell>
          <cell r="E281" t="str">
            <v>Best in West</v>
          </cell>
          <cell r="F281" t="str">
            <v>Ichibaan Honda - Kalina Mumbai</v>
          </cell>
          <cell r="G281" t="str">
            <v>Dealer</v>
          </cell>
          <cell r="H281" t="str">
            <v>05</v>
          </cell>
          <cell r="I281" t="str">
            <v>Ichibaan Honda - Kalina Mumbai.05Q4.csi.05.091</v>
          </cell>
        </row>
        <row r="282">
          <cell r="A282">
            <v>35</v>
          </cell>
          <cell r="B282" t="str">
            <v>Ichibaan Honda - Worli Mumbai</v>
          </cell>
          <cell r="C282" t="str">
            <v>West</v>
          </cell>
          <cell r="D282" t="str">
            <v>Dealers in West</v>
          </cell>
          <cell r="E282" t="str">
            <v>Best in West</v>
          </cell>
          <cell r="F282" t="str">
            <v>Ichibaan Honda - Worli Mumbai</v>
          </cell>
          <cell r="G282" t="str">
            <v>Dealer</v>
          </cell>
          <cell r="H282" t="str">
            <v>05</v>
          </cell>
          <cell r="I282" t="str">
            <v>Ichibaan Honda - Worli Mumbai.05Q4.csi.05.091</v>
          </cell>
        </row>
        <row r="283">
          <cell r="A283">
            <v>36</v>
          </cell>
          <cell r="B283" t="str">
            <v>Kamdhenu Honda - Vadodara</v>
          </cell>
          <cell r="C283" t="str">
            <v>West</v>
          </cell>
          <cell r="D283" t="str">
            <v>Dealers in West</v>
          </cell>
          <cell r="E283" t="str">
            <v>Best in West</v>
          </cell>
          <cell r="F283" t="str">
            <v>Kamdhenu Honda - Vadodara</v>
          </cell>
          <cell r="G283" t="str">
            <v>Dealer</v>
          </cell>
          <cell r="H283" t="str">
            <v>05</v>
          </cell>
          <cell r="I283" t="str">
            <v>Kamdhenu Honda - Vadodara.05Q4.csi.05.091</v>
          </cell>
        </row>
        <row r="284">
          <cell r="A284">
            <v>37</v>
          </cell>
          <cell r="B284" t="str">
            <v>Deccan Honda - Pune</v>
          </cell>
          <cell r="C284" t="str">
            <v>West</v>
          </cell>
          <cell r="D284" t="str">
            <v>Dealers in West</v>
          </cell>
          <cell r="E284" t="str">
            <v>Best in West</v>
          </cell>
          <cell r="F284" t="str">
            <v>Deccan Honda - Pune</v>
          </cell>
          <cell r="G284" t="str">
            <v>Dealer</v>
          </cell>
          <cell r="H284" t="str">
            <v>05</v>
          </cell>
          <cell r="I284" t="str">
            <v>Deccan Honda - Pune.05Q4.csi.05.091</v>
          </cell>
        </row>
        <row r="285">
          <cell r="A285">
            <v>38</v>
          </cell>
          <cell r="B285" t="str">
            <v>Landmark Honda - Ahmedabad</v>
          </cell>
          <cell r="C285" t="str">
            <v>West</v>
          </cell>
          <cell r="D285" t="str">
            <v>Dealers in West</v>
          </cell>
          <cell r="E285" t="str">
            <v>Best in West</v>
          </cell>
          <cell r="F285" t="str">
            <v>Landmark Honda - Ahmedabad</v>
          </cell>
          <cell r="G285" t="str">
            <v>Dealer</v>
          </cell>
          <cell r="H285" t="str">
            <v>05</v>
          </cell>
          <cell r="I285" t="str">
            <v>Landmark Honda - Ahmedabad.05Q4.csi.05.091</v>
          </cell>
        </row>
        <row r="286">
          <cell r="A286">
            <v>39</v>
          </cell>
          <cell r="B286" t="str">
            <v>Bhavya Honda - Surat</v>
          </cell>
          <cell r="C286" t="str">
            <v>West</v>
          </cell>
          <cell r="D286" t="str">
            <v>Dealers in West</v>
          </cell>
          <cell r="E286" t="str">
            <v>Best in West</v>
          </cell>
          <cell r="F286" t="str">
            <v>Bhavya Honda - Surat</v>
          </cell>
          <cell r="G286" t="str">
            <v>Dealer</v>
          </cell>
          <cell r="H286" t="str">
            <v>05</v>
          </cell>
          <cell r="I286" t="str">
            <v>Bhavya Honda - Surat.05Q4.csi.05.091</v>
          </cell>
        </row>
        <row r="287">
          <cell r="A287">
            <v>40</v>
          </cell>
          <cell r="B287" t="str">
            <v>Coastal Honda - Goa</v>
          </cell>
          <cell r="C287" t="str">
            <v>West</v>
          </cell>
          <cell r="D287" t="str">
            <v>Dealers in West</v>
          </cell>
          <cell r="E287" t="str">
            <v>Best in West</v>
          </cell>
          <cell r="F287" t="str">
            <v>Coastal Honda - Goa</v>
          </cell>
          <cell r="G287" t="str">
            <v>Dealer</v>
          </cell>
          <cell r="H287" t="str">
            <v>05</v>
          </cell>
          <cell r="I287" t="str">
            <v>Coastal Honda - Goa.05Q4.csi.05.091</v>
          </cell>
        </row>
        <row r="288">
          <cell r="A288">
            <v>41</v>
          </cell>
          <cell r="B288" t="str">
            <v>Peninsular Honda - Mangalore</v>
          </cell>
          <cell r="C288" t="str">
            <v>South</v>
          </cell>
          <cell r="D288" t="str">
            <v>Dealers in South</v>
          </cell>
          <cell r="E288" t="str">
            <v>Best in South</v>
          </cell>
          <cell r="F288" t="str">
            <v>Peninsular Honda - Mangalore</v>
          </cell>
          <cell r="G288" t="str">
            <v>Dealer</v>
          </cell>
          <cell r="H288" t="str">
            <v>05</v>
          </cell>
          <cell r="I288" t="str">
            <v>Peninsular Honda - Mangalore.05Q4.csi.05.091</v>
          </cell>
        </row>
        <row r="289">
          <cell r="A289">
            <v>42</v>
          </cell>
          <cell r="B289" t="str">
            <v>Peninsular Honda - Trivandrum</v>
          </cell>
          <cell r="C289" t="str">
            <v>South</v>
          </cell>
          <cell r="D289" t="str">
            <v>Dealers in South</v>
          </cell>
          <cell r="E289" t="str">
            <v>Best in South</v>
          </cell>
          <cell r="F289" t="str">
            <v>Peninsular Honda - Trivandrum</v>
          </cell>
          <cell r="G289" t="str">
            <v>Dealer</v>
          </cell>
          <cell r="H289" t="str">
            <v>05</v>
          </cell>
          <cell r="I289" t="str">
            <v>Peninsular Honda - Trivandrum.05Q4.csi.05.091</v>
          </cell>
        </row>
        <row r="290">
          <cell r="A290">
            <v>43</v>
          </cell>
          <cell r="B290" t="str">
            <v>Peninsular Honda - Calicut</v>
          </cell>
          <cell r="C290" t="str">
            <v>South</v>
          </cell>
          <cell r="D290" t="str">
            <v>Dealers in South</v>
          </cell>
          <cell r="E290" t="str">
            <v>Best in South</v>
          </cell>
          <cell r="F290" t="str">
            <v>Peninsular Honda - Calicut</v>
          </cell>
          <cell r="G290" t="str">
            <v>Dealer</v>
          </cell>
          <cell r="H290" t="str">
            <v>05</v>
          </cell>
          <cell r="I290" t="str">
            <v>Peninsular Honda - Calicut.05Q4.csi.05.091</v>
          </cell>
        </row>
        <row r="291">
          <cell r="A291">
            <v>44</v>
          </cell>
          <cell r="B291" t="str">
            <v>Peninsular Honda - Cochin</v>
          </cell>
          <cell r="C291" t="str">
            <v>South</v>
          </cell>
          <cell r="D291" t="str">
            <v>Dealers in South</v>
          </cell>
          <cell r="E291" t="str">
            <v>Best in South</v>
          </cell>
          <cell r="F291" t="str">
            <v>Peninsular Honda - Cochin</v>
          </cell>
          <cell r="G291" t="str">
            <v>Dealer</v>
          </cell>
          <cell r="H291" t="str">
            <v>05</v>
          </cell>
          <cell r="I291" t="str">
            <v>Peninsular Honda - Cochin.05Q4.csi.05.091</v>
          </cell>
        </row>
        <row r="292">
          <cell r="A292">
            <v>45</v>
          </cell>
          <cell r="B292" t="str">
            <v>Sundaram Honda - Chennai</v>
          </cell>
          <cell r="C292" t="str">
            <v>South</v>
          </cell>
          <cell r="D292" t="str">
            <v>Dealers in South</v>
          </cell>
          <cell r="E292" t="str">
            <v>Best in South</v>
          </cell>
          <cell r="F292" t="str">
            <v>Sundaram Honda - Chennai</v>
          </cell>
          <cell r="G292" t="str">
            <v>Dealer</v>
          </cell>
          <cell r="H292" t="str">
            <v>05</v>
          </cell>
          <cell r="I292" t="str">
            <v>Sundaram Honda - Chennai.05Q4.csi.05.091</v>
          </cell>
        </row>
        <row r="293">
          <cell r="A293">
            <v>46</v>
          </cell>
          <cell r="B293" t="str">
            <v>Sundaram Honda - Vijaywada</v>
          </cell>
          <cell r="C293" t="str">
            <v>South</v>
          </cell>
          <cell r="D293" t="str">
            <v>Dealers in South</v>
          </cell>
          <cell r="E293" t="str">
            <v>Best in South</v>
          </cell>
          <cell r="F293" t="str">
            <v>Sundaram Honda - Vijaywada</v>
          </cell>
          <cell r="G293" t="str">
            <v>Dealer</v>
          </cell>
          <cell r="H293" t="str">
            <v>05</v>
          </cell>
          <cell r="I293" t="str">
            <v>Sundaram Honda - Vijaywada.05Q4.csi.05.091</v>
          </cell>
        </row>
        <row r="294">
          <cell r="A294">
            <v>47</v>
          </cell>
          <cell r="B294" t="str">
            <v>White Field Honda - Bangalore</v>
          </cell>
          <cell r="C294" t="str">
            <v>South</v>
          </cell>
          <cell r="D294" t="str">
            <v>Dealers in South</v>
          </cell>
          <cell r="E294" t="str">
            <v>Best in South</v>
          </cell>
          <cell r="F294" t="str">
            <v>White Field Honda - Bangalore</v>
          </cell>
          <cell r="G294" t="str">
            <v>Dealer</v>
          </cell>
          <cell r="H294" t="str">
            <v>05</v>
          </cell>
          <cell r="I294" t="str">
            <v>White Field Honda - Bangalore.05Q4.csi.05.091</v>
          </cell>
        </row>
        <row r="295">
          <cell r="A295">
            <v>48</v>
          </cell>
          <cell r="B295" t="str">
            <v>Sundaram Honda - Coimbatore</v>
          </cell>
          <cell r="C295" t="str">
            <v>South</v>
          </cell>
          <cell r="D295" t="str">
            <v>Dealers in South</v>
          </cell>
          <cell r="E295" t="str">
            <v>Best in South</v>
          </cell>
          <cell r="F295" t="str">
            <v>Sundaram Honda - Coimbatore</v>
          </cell>
          <cell r="G295" t="str">
            <v>Dealer</v>
          </cell>
          <cell r="H295" t="str">
            <v>05</v>
          </cell>
          <cell r="I295" t="str">
            <v>Sundaram Honda - Coimbatore.05Q4.csi.05.091</v>
          </cell>
        </row>
        <row r="296">
          <cell r="A296">
            <v>49</v>
          </cell>
          <cell r="B296" t="str">
            <v>Sundaram Honda - Vishakapatnam</v>
          </cell>
          <cell r="C296" t="str">
            <v>South</v>
          </cell>
          <cell r="D296" t="str">
            <v>Dealers in South</v>
          </cell>
          <cell r="E296" t="str">
            <v>Best in South</v>
          </cell>
          <cell r="F296" t="str">
            <v>Sundaram Honda - Vishakapatnam</v>
          </cell>
          <cell r="G296" t="str">
            <v>Dealer</v>
          </cell>
          <cell r="H296" t="str">
            <v>05</v>
          </cell>
          <cell r="I296" t="str">
            <v>Sundaram Honda - Vishakapatnam.05Q4.csi.05.091</v>
          </cell>
        </row>
        <row r="297">
          <cell r="A297">
            <v>50</v>
          </cell>
          <cell r="B297" t="str">
            <v>Sundaram Honda - Secunderabad</v>
          </cell>
          <cell r="C297" t="str">
            <v>South</v>
          </cell>
          <cell r="D297" t="str">
            <v>Dealers in South</v>
          </cell>
          <cell r="E297" t="str">
            <v>Best in South</v>
          </cell>
          <cell r="F297" t="str">
            <v>Sundaram Honda - Secunderabad</v>
          </cell>
          <cell r="G297" t="str">
            <v>Dealer</v>
          </cell>
          <cell r="H297" t="str">
            <v>05</v>
          </cell>
          <cell r="I297" t="str">
            <v>Sundaram Honda - Secunderabad.05Q4.csi.05.091</v>
          </cell>
        </row>
        <row r="298">
          <cell r="A298">
            <v>51</v>
          </cell>
          <cell r="B298" t="str">
            <v>Sundaram Honda - Madurai</v>
          </cell>
          <cell r="C298" t="str">
            <v>South</v>
          </cell>
          <cell r="D298" t="str">
            <v>Dealers in South</v>
          </cell>
          <cell r="E298" t="str">
            <v>Best in South</v>
          </cell>
          <cell r="F298" t="str">
            <v>Sundaram Honda - Madurai</v>
          </cell>
          <cell r="G298" t="str">
            <v>Dealer</v>
          </cell>
          <cell r="H298" t="str">
            <v>05</v>
          </cell>
          <cell r="I298" t="str">
            <v>Sundaram Honda - Madurai.05Q4.csi.05.091</v>
          </cell>
        </row>
        <row r="299">
          <cell r="A299">
            <v>52</v>
          </cell>
          <cell r="B299" t="str">
            <v>Dakshin Honda - Bangalore</v>
          </cell>
          <cell r="C299" t="str">
            <v>South</v>
          </cell>
          <cell r="D299" t="str">
            <v>Dealers in South</v>
          </cell>
          <cell r="E299" t="str">
            <v>Best in South</v>
          </cell>
          <cell r="F299" t="str">
            <v>Dakshin Honda - Bangalore</v>
          </cell>
          <cell r="G299" t="str">
            <v>Dealer</v>
          </cell>
          <cell r="H299" t="str">
            <v>05</v>
          </cell>
          <cell r="I299" t="str">
            <v>Dakshin Honda - Bangalore.05Q4.csi.05.091</v>
          </cell>
        </row>
        <row r="300">
          <cell r="A300">
            <v>53</v>
          </cell>
          <cell r="B300" t="str">
            <v>Linkway Honda - Mumbai</v>
          </cell>
          <cell r="C300" t="str">
            <v>West</v>
          </cell>
          <cell r="D300" t="str">
            <v>Dealers in West</v>
          </cell>
          <cell r="E300" t="str">
            <v>Best in West</v>
          </cell>
          <cell r="F300" t="str">
            <v>Linkway Honda - Mumbai</v>
          </cell>
          <cell r="G300" t="str">
            <v>Dealer</v>
          </cell>
          <cell r="H300" t="str">
            <v>05</v>
          </cell>
          <cell r="I300" t="str">
            <v>Linkway Honda - Mumbai.05Q4.csi.05.091</v>
          </cell>
        </row>
        <row r="301">
          <cell r="A301">
            <v>54</v>
          </cell>
          <cell r="B301" t="str">
            <v>Ichibaan Honda - Mumbai</v>
          </cell>
          <cell r="C301" t="str">
            <v>West</v>
          </cell>
          <cell r="D301" t="str">
            <v>Dealers in West</v>
          </cell>
          <cell r="E301" t="str">
            <v>Best in West</v>
          </cell>
          <cell r="F301" t="str">
            <v>Ichibaan Honda - Mumbai</v>
          </cell>
          <cell r="G301" t="str">
            <v>Dealer</v>
          </cell>
          <cell r="H301" t="str">
            <v>05</v>
          </cell>
          <cell r="I301" t="str">
            <v>Ichibaan Honda - Mumbai.05Q4.csi.05.091</v>
          </cell>
        </row>
        <row r="302">
          <cell r="A302">
            <v>55</v>
          </cell>
          <cell r="B302" t="str">
            <v>1-11 months</v>
          </cell>
          <cell r="C302" t="str">
            <v>Study Total</v>
          </cell>
          <cell r="D302" t="str">
            <v>Ownership</v>
          </cell>
          <cell r="E302" t="str">
            <v>Best Dealer</v>
          </cell>
          <cell r="F302" t="str">
            <v>1-11 months</v>
          </cell>
          <cell r="G302" t="str">
            <v>Ownership</v>
          </cell>
          <cell r="H302" t="str">
            <v>02</v>
          </cell>
          <cell r="I302" t="str">
            <v>1-11 months.05Q4.csi.02.091</v>
          </cell>
        </row>
        <row r="303">
          <cell r="A303">
            <v>56</v>
          </cell>
          <cell r="B303" t="str">
            <v>12-18 months</v>
          </cell>
          <cell r="C303" t="str">
            <v>Study Total</v>
          </cell>
          <cell r="D303" t="str">
            <v>Ownership</v>
          </cell>
          <cell r="E303" t="str">
            <v>Best Dealer</v>
          </cell>
          <cell r="F303" t="str">
            <v>12-18 months</v>
          </cell>
          <cell r="G303" t="str">
            <v>Ownership</v>
          </cell>
          <cell r="H303" t="str">
            <v>02</v>
          </cell>
          <cell r="I303" t="str">
            <v>12-18 months.05Q4.csi.02.091</v>
          </cell>
        </row>
        <row r="304">
          <cell r="A304">
            <v>57</v>
          </cell>
          <cell r="B304" t="str">
            <v>19-36 months</v>
          </cell>
          <cell r="C304" t="str">
            <v>Study Total</v>
          </cell>
          <cell r="D304" t="str">
            <v>Ownership</v>
          </cell>
          <cell r="E304" t="str">
            <v>Best Dealer</v>
          </cell>
          <cell r="F304" t="str">
            <v>19-36 months</v>
          </cell>
          <cell r="G304" t="str">
            <v>Ownership</v>
          </cell>
          <cell r="H304" t="str">
            <v>02</v>
          </cell>
          <cell r="I304" t="str">
            <v>19-36 months.05Q4.csi.02.091</v>
          </cell>
        </row>
        <row r="305">
          <cell r="A305">
            <v>58</v>
          </cell>
          <cell r="B305" t="str">
            <v>More than 36 months</v>
          </cell>
          <cell r="C305" t="str">
            <v>Study Total</v>
          </cell>
          <cell r="D305" t="str">
            <v>Ownership</v>
          </cell>
          <cell r="E305" t="str">
            <v>Best Dealer</v>
          </cell>
          <cell r="F305" t="str">
            <v>More than 36 months</v>
          </cell>
          <cell r="G305" t="str">
            <v>Ownership</v>
          </cell>
          <cell r="H305" t="str">
            <v>02</v>
          </cell>
          <cell r="I305" t="str">
            <v>More than 36 months.05Q4.csi.02.091</v>
          </cell>
        </row>
        <row r="308">
          <cell r="A308" t="str">
            <v>Vietnam</v>
          </cell>
          <cell r="B308" t="str">
            <v>UniqueName</v>
          </cell>
          <cell r="C308" t="str">
            <v>Comparison segment</v>
          </cell>
          <cell r="D308" t="str">
            <v>Ranked Type</v>
          </cell>
          <cell r="G308" t="str">
            <v>Report Type</v>
          </cell>
          <cell r="H308" t="str">
            <v>Code</v>
          </cell>
          <cell r="I308" t="str">
            <v>Filename</v>
          </cell>
        </row>
        <row r="309">
          <cell r="A309">
            <v>1</v>
          </cell>
          <cell r="B309" t="str">
            <v>Study Total</v>
          </cell>
          <cell r="C309" t="str">
            <v>Study Total</v>
          </cell>
          <cell r="E309" t="str">
            <v>Best Make</v>
          </cell>
          <cell r="F309" t="str">
            <v>Study Total.honda</v>
          </cell>
          <cell r="G309" t="str">
            <v>Study Total</v>
          </cell>
          <cell r="H309" t="str">
            <v>01</v>
          </cell>
          <cell r="I309" t="str">
            <v>Study Total.honda.05H2.csi.01.084</v>
          </cell>
        </row>
        <row r="310">
          <cell r="A310">
            <v>2</v>
          </cell>
          <cell r="B310" t="str">
            <v>Toyota</v>
          </cell>
          <cell r="C310" t="str">
            <v>Study Total</v>
          </cell>
          <cell r="E310" t="str">
            <v>Best Make</v>
          </cell>
          <cell r="F310" t="str">
            <v>Toyota.honda</v>
          </cell>
          <cell r="G310" t="str">
            <v>Model</v>
          </cell>
          <cell r="H310" t="str">
            <v>04</v>
          </cell>
          <cell r="I310" t="str">
            <v>Toyota.honda.05H2.csi.04.084</v>
          </cell>
        </row>
        <row r="311">
          <cell r="A311">
            <v>3</v>
          </cell>
          <cell r="B311" t="str">
            <v>Ford</v>
          </cell>
          <cell r="C311" t="str">
            <v>Study Total</v>
          </cell>
          <cell r="E311" t="str">
            <v>Best Make</v>
          </cell>
          <cell r="F311" t="str">
            <v>Ford.honda</v>
          </cell>
          <cell r="G311" t="str">
            <v>Model</v>
          </cell>
          <cell r="H311" t="str">
            <v>04</v>
          </cell>
          <cell r="I311" t="str">
            <v>Ford.honda.05H2.csi.04.084</v>
          </cell>
        </row>
        <row r="312">
          <cell r="A312">
            <v>4</v>
          </cell>
          <cell r="B312" t="str">
            <v>Mitsubishi</v>
          </cell>
          <cell r="C312" t="str">
            <v>Study Total</v>
          </cell>
          <cell r="E312" t="str">
            <v>Best Make</v>
          </cell>
          <cell r="F312" t="str">
            <v>Mitshubishi.honda</v>
          </cell>
          <cell r="G312" t="str">
            <v>Model</v>
          </cell>
          <cell r="H312" t="str">
            <v>04</v>
          </cell>
          <cell r="I312" t="str">
            <v>Mitshubishi.honda.05H2.csi.04.084</v>
          </cell>
        </row>
        <row r="313">
          <cell r="A313">
            <v>5</v>
          </cell>
          <cell r="B313" t="str">
            <v>GM Daewoo</v>
          </cell>
          <cell r="C313" t="str">
            <v>Study Total</v>
          </cell>
          <cell r="E313" t="str">
            <v>Best Make</v>
          </cell>
          <cell r="F313" t="str">
            <v>GM Deawoo.honda</v>
          </cell>
          <cell r="G313" t="str">
            <v>Model</v>
          </cell>
          <cell r="H313" t="str">
            <v>04</v>
          </cell>
          <cell r="I313" t="str">
            <v>GM Deawoo.honda.05H2.csi.04.084</v>
          </cell>
        </row>
        <row r="314">
          <cell r="A314">
            <v>6</v>
          </cell>
          <cell r="B314" t="str">
            <v>Toyota Altis</v>
          </cell>
          <cell r="C314" t="str">
            <v>Toyota</v>
          </cell>
          <cell r="E314" t="str">
            <v>Best in Models</v>
          </cell>
          <cell r="F314" t="str">
            <v>Toyota Altis.honda</v>
          </cell>
          <cell r="G314" t="str">
            <v>Model</v>
          </cell>
          <cell r="H314" t="str">
            <v>04</v>
          </cell>
          <cell r="I314" t="str">
            <v>Toyota Altis.honda.05H2.csi.04.084</v>
          </cell>
        </row>
        <row r="315">
          <cell r="A315">
            <v>7</v>
          </cell>
          <cell r="B315" t="str">
            <v>Toyota Camry</v>
          </cell>
          <cell r="C315" t="str">
            <v>Toyota</v>
          </cell>
          <cell r="E315" t="str">
            <v>Best in Models</v>
          </cell>
          <cell r="F315" t="str">
            <v>Toyota Camry.honda</v>
          </cell>
          <cell r="G315" t="str">
            <v>Model</v>
          </cell>
          <cell r="H315" t="str">
            <v>04</v>
          </cell>
          <cell r="I315" t="str">
            <v>Toyota Camry.honda.05H2.csi.04.084</v>
          </cell>
        </row>
        <row r="316">
          <cell r="A316">
            <v>8</v>
          </cell>
          <cell r="B316" t="str">
            <v>Toyota Zace</v>
          </cell>
          <cell r="C316" t="str">
            <v>Toyota</v>
          </cell>
          <cell r="E316" t="str">
            <v>Best in Models</v>
          </cell>
          <cell r="F316" t="str">
            <v>Toyota Zace.honda</v>
          </cell>
          <cell r="G316" t="str">
            <v>Model</v>
          </cell>
          <cell r="H316" t="str">
            <v>04</v>
          </cell>
          <cell r="I316" t="str">
            <v>Toyota Zace.honda.05H2.csi.04.084</v>
          </cell>
        </row>
        <row r="317">
          <cell r="A317">
            <v>9</v>
          </cell>
          <cell r="B317" t="str">
            <v>Ford Laser</v>
          </cell>
          <cell r="C317" t="str">
            <v>Ford</v>
          </cell>
          <cell r="E317" t="str">
            <v>Best in Models</v>
          </cell>
          <cell r="F317" t="str">
            <v>Ford Laser.honda</v>
          </cell>
          <cell r="G317" t="str">
            <v>Model</v>
          </cell>
          <cell r="H317" t="str">
            <v>04</v>
          </cell>
          <cell r="I317" t="str">
            <v>Ford Laser.honda.05H2.csi.04.084</v>
          </cell>
        </row>
        <row r="318">
          <cell r="A318">
            <v>10</v>
          </cell>
          <cell r="B318" t="str">
            <v>Ford Mondeo</v>
          </cell>
          <cell r="C318" t="str">
            <v>Ford</v>
          </cell>
          <cell r="E318" t="str">
            <v>Best in Models</v>
          </cell>
          <cell r="F318" t="str">
            <v>Ford Mondeo.honda</v>
          </cell>
          <cell r="G318" t="str">
            <v>Model</v>
          </cell>
          <cell r="H318" t="str">
            <v>04</v>
          </cell>
          <cell r="I318" t="str">
            <v>Ford Mondeo.honda.05H2.csi.04.084</v>
          </cell>
        </row>
        <row r="319">
          <cell r="A319">
            <v>11</v>
          </cell>
          <cell r="B319" t="str">
            <v>Ford Escape</v>
          </cell>
          <cell r="C319" t="str">
            <v>Ford</v>
          </cell>
          <cell r="E319" t="str">
            <v>Best in Models</v>
          </cell>
          <cell r="F319" t="str">
            <v>Ford Escape.honda</v>
          </cell>
          <cell r="G319" t="str">
            <v>Model</v>
          </cell>
          <cell r="H319" t="str">
            <v>04</v>
          </cell>
          <cell r="I319" t="str">
            <v>Ford Escape.honda.05H2.csi.04.084</v>
          </cell>
        </row>
        <row r="320">
          <cell r="A320">
            <v>12</v>
          </cell>
          <cell r="B320" t="str">
            <v>Mitsubishi Lancer</v>
          </cell>
          <cell r="C320" t="str">
            <v>Mitsubishi</v>
          </cell>
          <cell r="E320" t="str">
            <v>Best in Models</v>
          </cell>
          <cell r="F320" t="str">
            <v>Mitsubishi Lancer.honda</v>
          </cell>
          <cell r="G320" t="str">
            <v>Model</v>
          </cell>
          <cell r="H320" t="str">
            <v>04</v>
          </cell>
          <cell r="I320" t="str">
            <v>Mitsubishi Lancer.honda.05H2.csi.04.084</v>
          </cell>
        </row>
        <row r="321">
          <cell r="A321">
            <v>13</v>
          </cell>
          <cell r="B321" t="str">
            <v>Mitsubishi Grandis</v>
          </cell>
          <cell r="C321" t="str">
            <v>Mitsubishi</v>
          </cell>
          <cell r="E321" t="str">
            <v>Best in Models</v>
          </cell>
          <cell r="F321" t="str">
            <v>Mitsubishi Grandis.honda</v>
          </cell>
          <cell r="G321" t="str">
            <v>Model</v>
          </cell>
          <cell r="H321" t="str">
            <v>04</v>
          </cell>
          <cell r="I321" t="str">
            <v>Mitsubishi Grandis.honda.05H2.csi.04.084</v>
          </cell>
        </row>
        <row r="322">
          <cell r="A322">
            <v>14</v>
          </cell>
          <cell r="B322" t="str">
            <v>Mitsubishi Jolie</v>
          </cell>
          <cell r="C322" t="str">
            <v>Mitsubishi</v>
          </cell>
          <cell r="E322" t="str">
            <v>Best in Models</v>
          </cell>
          <cell r="F322" t="str">
            <v>Mitsubishi Jolie.honda</v>
          </cell>
          <cell r="G322" t="str">
            <v>Model</v>
          </cell>
          <cell r="H322" t="str">
            <v>04</v>
          </cell>
          <cell r="I322" t="str">
            <v>Mitsubishi Jolie.honda.05H2.csi.04.084</v>
          </cell>
        </row>
        <row r="323">
          <cell r="A323">
            <v>15</v>
          </cell>
          <cell r="B323" t="str">
            <v>GM Daewoo Lacetti</v>
          </cell>
          <cell r="C323" t="str">
            <v>GM Daewoo</v>
          </cell>
          <cell r="E323" t="str">
            <v>Best in Models</v>
          </cell>
          <cell r="F323" t="str">
            <v>GM Daewoo Lacetti.honda</v>
          </cell>
          <cell r="G323" t="str">
            <v>Model</v>
          </cell>
          <cell r="H323" t="str">
            <v>04</v>
          </cell>
          <cell r="I323" t="str">
            <v>GM Daewoo Lacetti.honda.05H2.csi.04.084</v>
          </cell>
        </row>
        <row r="324">
          <cell r="A324">
            <v>16</v>
          </cell>
          <cell r="B324" t="str">
            <v>GM Daewoo Magnus</v>
          </cell>
          <cell r="C324" t="str">
            <v>GM Daewoo</v>
          </cell>
          <cell r="E324" t="str">
            <v>Best in Models</v>
          </cell>
          <cell r="F324" t="str">
            <v>GM Daewoo Magnus.honda</v>
          </cell>
          <cell r="G324" t="str">
            <v>Model</v>
          </cell>
          <cell r="H324" t="str">
            <v>04</v>
          </cell>
          <cell r="I324" t="str">
            <v>GM Daewoo Magnus.honda.05H2.csi.04.084</v>
          </cell>
        </row>
        <row r="325">
          <cell r="A325">
            <v>17</v>
          </cell>
          <cell r="B325" t="str">
            <v>HCMC</v>
          </cell>
          <cell r="C325" t="str">
            <v>Study Total</v>
          </cell>
          <cell r="E325" t="str">
            <v>Best Make-City</v>
          </cell>
          <cell r="F325" t="str">
            <v>HCMC.honda</v>
          </cell>
          <cell r="G325" t="str">
            <v>Region</v>
          </cell>
          <cell r="H325" t="str">
            <v>03</v>
          </cell>
          <cell r="I325" t="str">
            <v>HCMC.honda.05H2.csi.03.084</v>
          </cell>
        </row>
        <row r="326">
          <cell r="A326">
            <v>18</v>
          </cell>
          <cell r="B326" t="str">
            <v>Hanoi</v>
          </cell>
          <cell r="C326" t="str">
            <v>Study Total</v>
          </cell>
          <cell r="E326" t="str">
            <v>Best Make-City</v>
          </cell>
          <cell r="F326" t="str">
            <v>Hanoi.honda</v>
          </cell>
          <cell r="G326" t="str">
            <v>Region</v>
          </cell>
          <cell r="H326" t="str">
            <v>03</v>
          </cell>
          <cell r="I326" t="str">
            <v>Hanoi.honda.05H2.csi.03.084</v>
          </cell>
        </row>
        <row r="327">
          <cell r="A327">
            <v>19</v>
          </cell>
          <cell r="B327" t="str">
            <v>Toyota - HCMC</v>
          </cell>
          <cell r="C327" t="str">
            <v>Toyota</v>
          </cell>
          <cell r="E327" t="str">
            <v>Best Make-City</v>
          </cell>
          <cell r="F327" t="str">
            <v>Toyota - HCMC.honda</v>
          </cell>
          <cell r="G327" t="str">
            <v>Region</v>
          </cell>
          <cell r="H327" t="str">
            <v>03</v>
          </cell>
          <cell r="I327" t="str">
            <v>Toyota - HCMC.honda.05H2.csi.03.084</v>
          </cell>
        </row>
        <row r="328">
          <cell r="A328">
            <v>20</v>
          </cell>
          <cell r="B328" t="str">
            <v>Toyota - HaNoi</v>
          </cell>
          <cell r="C328" t="str">
            <v>Toyota</v>
          </cell>
          <cell r="E328" t="str">
            <v>Best Make-City</v>
          </cell>
          <cell r="F328" t="str">
            <v>Toyota - HaNoi.honda</v>
          </cell>
          <cell r="G328" t="str">
            <v>Region</v>
          </cell>
          <cell r="H328" t="str">
            <v>03</v>
          </cell>
          <cell r="I328" t="str">
            <v>Toyota - HaNoi.honda.05H2.csi.03.084</v>
          </cell>
        </row>
        <row r="329">
          <cell r="A329">
            <v>21</v>
          </cell>
          <cell r="B329" t="str">
            <v>Ford - HCMC</v>
          </cell>
          <cell r="C329" t="str">
            <v>Ford</v>
          </cell>
          <cell r="E329" t="str">
            <v>Best Make-City</v>
          </cell>
          <cell r="F329" t="str">
            <v>Ford - HCMC.honda</v>
          </cell>
          <cell r="G329" t="str">
            <v>Region</v>
          </cell>
          <cell r="H329" t="str">
            <v>03</v>
          </cell>
          <cell r="I329" t="str">
            <v>Ford - HCMC.honda.05H2.csi.03.084</v>
          </cell>
        </row>
        <row r="330">
          <cell r="A330">
            <v>22</v>
          </cell>
          <cell r="B330" t="str">
            <v>Ford - HaNoi</v>
          </cell>
          <cell r="C330" t="str">
            <v>Ford</v>
          </cell>
          <cell r="E330" t="str">
            <v>Best Make-City</v>
          </cell>
          <cell r="F330" t="str">
            <v>Ford - HaNoi.honda</v>
          </cell>
          <cell r="G330" t="str">
            <v>Region</v>
          </cell>
          <cell r="H330" t="str">
            <v>03</v>
          </cell>
          <cell r="I330" t="str">
            <v>Ford - HaNoi.honda.05H2.csi.03.084</v>
          </cell>
        </row>
        <row r="331">
          <cell r="A331">
            <v>23</v>
          </cell>
          <cell r="B331" t="str">
            <v>Mitsubishi - HCMC</v>
          </cell>
          <cell r="C331" t="str">
            <v>Mitsubishi</v>
          </cell>
          <cell r="E331" t="str">
            <v>Best Make-City</v>
          </cell>
          <cell r="F331" t="str">
            <v>Mitsubishi - HCMC.honda</v>
          </cell>
          <cell r="G331" t="str">
            <v>Region</v>
          </cell>
          <cell r="H331" t="str">
            <v>03</v>
          </cell>
          <cell r="I331" t="str">
            <v>Mitsubishi - HCMC.honda.05H2.csi.03.084</v>
          </cell>
        </row>
        <row r="332">
          <cell r="A332">
            <v>24</v>
          </cell>
          <cell r="B332" t="str">
            <v>Mitsubishi - HaNoi</v>
          </cell>
          <cell r="C332" t="str">
            <v>Mitsubishi</v>
          </cell>
          <cell r="E332" t="str">
            <v>Best Make-City</v>
          </cell>
          <cell r="F332" t="str">
            <v>Mitsubishi - HaNoi.honda</v>
          </cell>
          <cell r="G332" t="str">
            <v>Region</v>
          </cell>
          <cell r="H332" t="str">
            <v>03</v>
          </cell>
          <cell r="I332" t="str">
            <v>Mitsubishi - HaNoi.honda.05H2.csi.03.084</v>
          </cell>
        </row>
        <row r="333">
          <cell r="A333">
            <v>25</v>
          </cell>
          <cell r="B333" t="str">
            <v>GM Daewoo - HCMC</v>
          </cell>
          <cell r="C333" t="str">
            <v>GM Daewoo</v>
          </cell>
          <cell r="E333" t="str">
            <v>Best Make-City</v>
          </cell>
          <cell r="F333" t="str">
            <v>GM Daewoo - HCMC.honda</v>
          </cell>
          <cell r="G333" t="str">
            <v>Region</v>
          </cell>
          <cell r="H333" t="str">
            <v>03</v>
          </cell>
          <cell r="I333" t="str">
            <v>GM Daewoo - HCMC.honda.05H2.csi.03.084</v>
          </cell>
        </row>
        <row r="334">
          <cell r="A334">
            <v>26</v>
          </cell>
          <cell r="B334" t="str">
            <v>GM Daewoo - HaNoi</v>
          </cell>
          <cell r="C334" t="str">
            <v>GM Daewoo</v>
          </cell>
          <cell r="E334" t="str">
            <v>Best Make-City</v>
          </cell>
          <cell r="F334" t="str">
            <v>GM Daewoo - HaNoi.honda</v>
          </cell>
          <cell r="G334" t="str">
            <v>Region</v>
          </cell>
          <cell r="H334" t="str">
            <v>03</v>
          </cell>
          <cell r="I334" t="str">
            <v>GM Daewoo - HaNoi.honda.05H2.csi.03.084</v>
          </cell>
        </row>
      </sheetData>
      <sheetData sheetId="4" refreshError="1">
        <row r="4">
          <cell r="S4" t="str">
            <v>North.honda.05Q4.csi.03.091</v>
          </cell>
        </row>
        <row r="5">
          <cell r="V5" t="str">
            <v>Order 1</v>
          </cell>
          <cell r="W5" t="str">
            <v>Thailand</v>
          </cell>
          <cell r="X5" t="str">
            <v>Malaysia</v>
          </cell>
          <cell r="Y5" t="str">
            <v>Philippines</v>
          </cell>
          <cell r="Z5" t="str">
            <v>Indonesia</v>
          </cell>
          <cell r="AA5" t="str">
            <v>India</v>
          </cell>
          <cell r="AB5" t="str">
            <v>Pakistan</v>
          </cell>
          <cell r="AC5" t="str">
            <v>Korea</v>
          </cell>
          <cell r="AD5" t="str">
            <v>Vietnam</v>
          </cell>
        </row>
        <row r="6">
          <cell r="T6">
            <v>5</v>
          </cell>
          <cell r="V6">
            <v>1</v>
          </cell>
          <cell r="W6" t="str">
            <v>Nov 04</v>
          </cell>
          <cell r="X6" t="str">
            <v>W 1 (Jan-Mar 05)</v>
          </cell>
          <cell r="Y6" t="str">
            <v>Jan - Mar 05</v>
          </cell>
          <cell r="Z6" t="str">
            <v>W 1 (Jan-Mar 05)</v>
          </cell>
          <cell r="AA6" t="str">
            <v>W1(Oct 04 - Feb 05)</v>
          </cell>
          <cell r="AB6" t="str">
            <v>W1 (Sep-Oct 05)</v>
          </cell>
          <cell r="AC6" t="str">
            <v>W1 (Sep-Oct 05)</v>
          </cell>
          <cell r="AD6" t="str">
            <v>W1 (Nov - Dec 05)</v>
          </cell>
        </row>
        <row r="7">
          <cell r="V7">
            <v>2</v>
          </cell>
          <cell r="W7" t="str">
            <v>Dec 04</v>
          </cell>
          <cell r="X7" t="str">
            <v>W2 (Jul-Aug 05)</v>
          </cell>
          <cell r="Y7" t="str">
            <v>Apr - Jun 05</v>
          </cell>
          <cell r="Z7" t="str">
            <v>W2 (Jul-Aug 05)</v>
          </cell>
          <cell r="AA7" t="str">
            <v>W2(Feb 05 - Jun 05)</v>
          </cell>
          <cell r="AB7" t="str">
            <v>W2 (Apr-May 06)</v>
          </cell>
          <cell r="AC7" t="str">
            <v>W2 (Apr-May 06)</v>
          </cell>
          <cell r="AD7" t="str">
            <v>W2 (Apr-May 06)</v>
          </cell>
        </row>
        <row r="8">
          <cell r="V8">
            <v>3</v>
          </cell>
          <cell r="W8" t="str">
            <v>Apr - Jun 05</v>
          </cell>
          <cell r="X8" t="str">
            <v>W3 (Sep-Nov 05)</v>
          </cell>
          <cell r="Y8" t="str">
            <v>Jul - Sep 05</v>
          </cell>
          <cell r="Z8" t="str">
            <v>W3 (Sep-Nov 05)</v>
          </cell>
          <cell r="AA8" t="str">
            <v>W3(May 05 - Sep 05)</v>
          </cell>
          <cell r="AB8" t="str">
            <v>W1 (Sep-Oct 06)</v>
          </cell>
          <cell r="AC8" t="str">
            <v>W1 (Sep-Oct 06)</v>
          </cell>
          <cell r="AD8" t="str">
            <v>W1 (Nov - Dec 06)</v>
          </cell>
        </row>
        <row r="9">
          <cell r="V9">
            <v>4</v>
          </cell>
          <cell r="W9" t="str">
            <v>Jul - Sep 05</v>
          </cell>
          <cell r="X9" t="str">
            <v>W4 (Dec-Feb 06)</v>
          </cell>
          <cell r="Y9" t="str">
            <v>Oct - Dec 05</v>
          </cell>
          <cell r="Z9" t="str">
            <v>W4 (Dec-Feb 06)</v>
          </cell>
          <cell r="AA9" t="str">
            <v>W4(Aug 05 - Dec 05)</v>
          </cell>
          <cell r="AB9" t="str">
            <v>W2 (Apr-May 07)</v>
          </cell>
          <cell r="AC9" t="str">
            <v>W2 (Apr-May 07)</v>
          </cell>
          <cell r="AD9" t="str">
            <v>W2 (Apr-May 07)</v>
          </cell>
        </row>
        <row r="10">
          <cell r="V10">
            <v>5</v>
          </cell>
          <cell r="W10" t="str">
            <v>Oct - Dec 05</v>
          </cell>
          <cell r="X10" t="str">
            <v>W1 (Mar-May 06)</v>
          </cell>
          <cell r="Y10" t="str">
            <v>Jan - Mar 06</v>
          </cell>
          <cell r="Z10" t="str">
            <v>W1 (Mar-May 06)</v>
          </cell>
          <cell r="AA10" t="str">
            <v>W5(Nov 05 - Mar 06)</v>
          </cell>
          <cell r="AB10" t="str">
            <v>W1 (Sep-Oct 07)</v>
          </cell>
          <cell r="AC10" t="str">
            <v>W1 (Sep-Oct 07)</v>
          </cell>
          <cell r="AD10" t="str">
            <v>W1 (Nov - Dec 07)</v>
          </cell>
        </row>
        <row r="11">
          <cell r="V11">
            <v>6</v>
          </cell>
          <cell r="W11" t="str">
            <v>Jan - Mar 06</v>
          </cell>
          <cell r="X11" t="str">
            <v>W2 (Jun-Aug 06)</v>
          </cell>
          <cell r="Y11" t="str">
            <v>Apr - Jun 06</v>
          </cell>
          <cell r="Z11" t="str">
            <v>W2 (Jun-Aug 06)</v>
          </cell>
          <cell r="AA11" t="str">
            <v>W6</v>
          </cell>
          <cell r="AB11" t="str">
            <v>W2 (Apr-May 08)</v>
          </cell>
          <cell r="AC11" t="str">
            <v>W2 (Apr-May 08)</v>
          </cell>
          <cell r="AD11" t="str">
            <v>W2 (Apr-May 08)</v>
          </cell>
        </row>
        <row r="12">
          <cell r="V12">
            <v>7</v>
          </cell>
          <cell r="W12" t="str">
            <v>Apr - Jun 06</v>
          </cell>
          <cell r="X12" t="str">
            <v>W3 (Sep-Nov 06)</v>
          </cell>
          <cell r="Y12" t="str">
            <v>Jul - Sep 06</v>
          </cell>
          <cell r="Z12" t="str">
            <v>W3 (Sep-Nov 06)</v>
          </cell>
          <cell r="AA12" t="str">
            <v>W7</v>
          </cell>
          <cell r="AB12" t="str">
            <v>W1 (Sep-Oct 08)</v>
          </cell>
          <cell r="AC12" t="str">
            <v>W1 (Sep-Oct 08)</v>
          </cell>
          <cell r="AD12" t="str">
            <v>W1 (Nov - Dec 08)</v>
          </cell>
        </row>
        <row r="13">
          <cell r="V13">
            <v>8</v>
          </cell>
          <cell r="W13" t="str">
            <v>Jul - Sep 06</v>
          </cell>
          <cell r="X13" t="str">
            <v>W4 (Dec-Feb 07)</v>
          </cell>
          <cell r="Y13" t="str">
            <v>Oct - Dec 06</v>
          </cell>
          <cell r="Z13" t="str">
            <v>W4 (Dec-Feb 07)</v>
          </cell>
          <cell r="AA13" t="str">
            <v>W8</v>
          </cell>
          <cell r="AB13" t="str">
            <v>W2 (Apr-May 09)</v>
          </cell>
          <cell r="AC13" t="str">
            <v>W2 (Apr-May 09)</v>
          </cell>
          <cell r="AD13" t="str">
            <v>W2 (Apr-May 09)</v>
          </cell>
        </row>
        <row r="14">
          <cell r="V14">
            <v>9</v>
          </cell>
          <cell r="W14" t="str">
            <v>Oct - Dec 06</v>
          </cell>
          <cell r="Y14" t="str">
            <v>Jan - Mar 07</v>
          </cell>
          <cell r="Z14" t="str">
            <v>Jan - Mar 07</v>
          </cell>
        </row>
        <row r="15">
          <cell r="V15">
            <v>10</v>
          </cell>
          <cell r="W15" t="str">
            <v>Jan - Mar 07</v>
          </cell>
          <cell r="Y15" t="str">
            <v>Apr - Jun 07</v>
          </cell>
          <cell r="Z15" t="str">
            <v>Apr - Jun 07</v>
          </cell>
        </row>
        <row r="16">
          <cell r="V16">
            <v>11</v>
          </cell>
          <cell r="W16" t="str">
            <v>Apr - Jun 07</v>
          </cell>
          <cell r="Y16" t="str">
            <v>Jul - Sep 07</v>
          </cell>
          <cell r="Z16" t="str">
            <v>Jul - Sep 07</v>
          </cell>
        </row>
        <row r="17">
          <cell r="R17" t="str">
            <v>W1(Oct 04 - Feb 05)</v>
          </cell>
          <cell r="T17">
            <v>1</v>
          </cell>
          <cell r="V17">
            <v>12</v>
          </cell>
          <cell r="W17" t="str">
            <v>Jul - Sep 07</v>
          </cell>
          <cell r="Y17" t="str">
            <v>Oct - Dec 07</v>
          </cell>
          <cell r="Z17" t="str">
            <v>Oct - Dec 07</v>
          </cell>
        </row>
        <row r="18">
          <cell r="V18">
            <v>13</v>
          </cell>
          <cell r="W18" t="str">
            <v>Oct - Dec 07</v>
          </cell>
          <cell r="Y18" t="str">
            <v>Jan - Mar 08</v>
          </cell>
          <cell r="Z18" t="str">
            <v>Jan - Mar 08</v>
          </cell>
        </row>
        <row r="19">
          <cell r="V19">
            <v>14</v>
          </cell>
          <cell r="W19" t="str">
            <v>Jan - Mar 08</v>
          </cell>
          <cell r="Y19" t="str">
            <v>Apr - Jun 08</v>
          </cell>
          <cell r="Z19" t="str">
            <v>Apr - Jun 08</v>
          </cell>
        </row>
        <row r="20">
          <cell r="R20" t="str">
            <v>W8</v>
          </cell>
          <cell r="T20">
            <v>8</v>
          </cell>
          <cell r="V20">
            <v>15</v>
          </cell>
          <cell r="W20" t="str">
            <v>Apr - Jun 08</v>
          </cell>
          <cell r="Y20" t="str">
            <v>Jul - Sep 08</v>
          </cell>
          <cell r="Z20" t="str">
            <v>Jul - Sep 08</v>
          </cell>
        </row>
        <row r="21">
          <cell r="V21">
            <v>16</v>
          </cell>
          <cell r="W21" t="str">
            <v>Jul - Sep 08</v>
          </cell>
          <cell r="Y21" t="str">
            <v>Oct - Dec 08</v>
          </cell>
          <cell r="Z21" t="str">
            <v>Oct - Dec 08</v>
          </cell>
        </row>
        <row r="22">
          <cell r="V22">
            <v>17</v>
          </cell>
          <cell r="W22" t="str">
            <v>Oct - Dec 08</v>
          </cell>
        </row>
        <row r="23">
          <cell r="R23">
            <v>8</v>
          </cell>
          <cell r="V23">
            <v>18</v>
          </cell>
        </row>
        <row r="25">
          <cell r="R25">
            <v>3</v>
          </cell>
        </row>
        <row r="26">
          <cell r="V26" t="str">
            <v>Order 1</v>
          </cell>
          <cell r="W26" t="str">
            <v>Thailand</v>
          </cell>
          <cell r="X26" t="str">
            <v>Malaysia</v>
          </cell>
          <cell r="Y26" t="str">
            <v>Philippines</v>
          </cell>
          <cell r="Z26" t="str">
            <v>Indonesia</v>
          </cell>
          <cell r="AA26" t="str">
            <v>India</v>
          </cell>
          <cell r="AB26" t="str">
            <v>Pakistan</v>
          </cell>
          <cell r="AC26" t="str">
            <v>Korea</v>
          </cell>
          <cell r="AD26" t="str">
            <v>Vietnam</v>
          </cell>
        </row>
        <row r="27">
          <cell r="R27">
            <v>1</v>
          </cell>
          <cell r="V27">
            <v>1</v>
          </cell>
          <cell r="W27" t="str">
            <v>Bangkok</v>
          </cell>
          <cell r="X27" t="str">
            <v>East Malaysia</v>
          </cell>
          <cell r="Y27" t="str">
            <v>Manila</v>
          </cell>
          <cell r="Z27" t="str">
            <v>East Java</v>
          </cell>
          <cell r="AA27" t="str">
            <v>North</v>
          </cell>
          <cell r="AB27" t="str">
            <v>South</v>
          </cell>
          <cell r="AC27" t="str">
            <v>Seoul/Kyonggi/Sudokwon</v>
          </cell>
          <cell r="AD27" t="str">
            <v>HCMC</v>
          </cell>
        </row>
        <row r="28">
          <cell r="V28">
            <v>2</v>
          </cell>
          <cell r="W28" t="str">
            <v>Samut Prakan</v>
          </cell>
          <cell r="X28" t="str">
            <v>East Coast</v>
          </cell>
          <cell r="Y28" t="str">
            <v>Luzon</v>
          </cell>
          <cell r="Z28" t="str">
            <v>Central Java</v>
          </cell>
          <cell r="AA28" t="str">
            <v>East</v>
          </cell>
          <cell r="AB28" t="str">
            <v>Central</v>
          </cell>
          <cell r="AC28" t="str">
            <v>Pusan</v>
          </cell>
          <cell r="AD28" t="str">
            <v>Hanoi</v>
          </cell>
        </row>
        <row r="29">
          <cell r="R29" t="str">
            <v>Wave 1~5</v>
          </cell>
          <cell r="V29">
            <v>3</v>
          </cell>
          <cell r="W29" t="str">
            <v>Nontaburi</v>
          </cell>
          <cell r="X29" t="str">
            <v>North</v>
          </cell>
          <cell r="Y29" t="str">
            <v>Visayas</v>
          </cell>
          <cell r="Z29" t="str">
            <v>West Java</v>
          </cell>
          <cell r="AA29" t="str">
            <v>West</v>
          </cell>
          <cell r="AB29" t="str">
            <v>North</v>
          </cell>
          <cell r="AC29" t="str">
            <v>Daegu</v>
          </cell>
        </row>
        <row r="30">
          <cell r="V30">
            <v>4</v>
          </cell>
          <cell r="W30" t="str">
            <v>Pathumthani</v>
          </cell>
          <cell r="X30" t="str">
            <v>South</v>
          </cell>
          <cell r="Y30" t="str">
            <v>Mindanao</v>
          </cell>
          <cell r="Z30" t="str">
            <v>Jakarta</v>
          </cell>
          <cell r="AA30" t="str">
            <v>South</v>
          </cell>
          <cell r="AC30" t="str">
            <v>Gwangju</v>
          </cell>
        </row>
        <row r="31">
          <cell r="V31">
            <v>5</v>
          </cell>
          <cell r="X31" t="str">
            <v>Central</v>
          </cell>
          <cell r="Z31" t="str">
            <v>Outside Java</v>
          </cell>
          <cell r="AC31" t="str">
            <v>Taejon</v>
          </cell>
        </row>
        <row r="32">
          <cell r="V32">
            <v>6</v>
          </cell>
        </row>
        <row r="33">
          <cell r="V33">
            <v>7</v>
          </cell>
        </row>
        <row r="36">
          <cell r="V36" t="str">
            <v>Order 1</v>
          </cell>
          <cell r="W36" t="str">
            <v>Thailand</v>
          </cell>
          <cell r="X36" t="str">
            <v>Malaysia</v>
          </cell>
          <cell r="Y36" t="str">
            <v>Philippines</v>
          </cell>
          <cell r="Z36" t="str">
            <v>Indonesia</v>
          </cell>
          <cell r="AA36" t="str">
            <v>India</v>
          </cell>
          <cell r="AB36" t="str">
            <v>Pakistan</v>
          </cell>
          <cell r="AC36" t="str">
            <v>Korea</v>
          </cell>
          <cell r="AD36" t="str">
            <v>Vietnam</v>
          </cell>
        </row>
        <row r="37">
          <cell r="V37">
            <v>1</v>
          </cell>
          <cell r="W37" t="str">
            <v>Jazz</v>
          </cell>
          <cell r="X37" t="str">
            <v>Stream</v>
          </cell>
          <cell r="Y37" t="str">
            <v>Jazz</v>
          </cell>
          <cell r="Z37" t="str">
            <v>Stream</v>
          </cell>
          <cell r="AA37" t="str">
            <v>City</v>
          </cell>
          <cell r="AB37" t="str">
            <v>Civic</v>
          </cell>
          <cell r="AC37" t="str">
            <v>Accord</v>
          </cell>
          <cell r="AD37" t="str">
            <v>Toyota</v>
          </cell>
        </row>
        <row r="38">
          <cell r="V38">
            <v>2</v>
          </cell>
          <cell r="W38" t="str">
            <v>City</v>
          </cell>
          <cell r="X38" t="str">
            <v>Jazz</v>
          </cell>
          <cell r="Y38" t="str">
            <v>City</v>
          </cell>
          <cell r="Z38" t="str">
            <v>Accord</v>
          </cell>
          <cell r="AA38" t="str">
            <v>Accord</v>
          </cell>
          <cell r="AB38" t="str">
            <v>City</v>
          </cell>
          <cell r="AC38" t="str">
            <v>CR-V</v>
          </cell>
          <cell r="AD38" t="str">
            <v>Ford</v>
          </cell>
        </row>
        <row r="39">
          <cell r="V39">
            <v>3</v>
          </cell>
          <cell r="W39" t="str">
            <v>Civic</v>
          </cell>
          <cell r="X39" t="str">
            <v>Civic</v>
          </cell>
          <cell r="Y39" t="str">
            <v>Civic</v>
          </cell>
          <cell r="Z39" t="str">
            <v>CR-V</v>
          </cell>
          <cell r="AA39" t="str">
            <v>CR-V</v>
          </cell>
          <cell r="AB39" t="str">
            <v>Corolla Petrol</v>
          </cell>
          <cell r="AD39" t="str">
            <v>Mitshubishi</v>
          </cell>
        </row>
        <row r="40">
          <cell r="V40">
            <v>4</v>
          </cell>
          <cell r="W40" t="str">
            <v>Accord</v>
          </cell>
          <cell r="X40" t="str">
            <v>City</v>
          </cell>
          <cell r="Y40" t="str">
            <v>Accord</v>
          </cell>
          <cell r="Z40" t="str">
            <v>Civic</v>
          </cell>
          <cell r="AB40" t="str">
            <v>Corolla Diesel</v>
          </cell>
          <cell r="AD40" t="str">
            <v>GM Deawoo</v>
          </cell>
        </row>
        <row r="41">
          <cell r="V41">
            <v>5</v>
          </cell>
          <cell r="W41" t="str">
            <v>CR-V</v>
          </cell>
          <cell r="X41" t="str">
            <v>Odyssey</v>
          </cell>
          <cell r="Y41" t="str">
            <v>CR-V</v>
          </cell>
          <cell r="Z41" t="str">
            <v>Jazz</v>
          </cell>
          <cell r="AB41" t="str">
            <v>Accord</v>
          </cell>
        </row>
        <row r="42">
          <cell r="V42">
            <v>6</v>
          </cell>
          <cell r="X42" t="str">
            <v>Accord</v>
          </cell>
          <cell r="Z42" t="str">
            <v>City</v>
          </cell>
        </row>
        <row r="43">
          <cell r="V43">
            <v>7</v>
          </cell>
          <cell r="X43" t="str">
            <v>CR-V</v>
          </cell>
        </row>
        <row r="48">
          <cell r="W48" t="str">
            <v>Report Type</v>
          </cell>
          <cell r="X48" t="str">
            <v>Order 1</v>
          </cell>
        </row>
        <row r="49">
          <cell r="W49" t="str">
            <v>Study Total</v>
          </cell>
          <cell r="X49" t="str">
            <v>01</v>
          </cell>
        </row>
        <row r="50">
          <cell r="W50" t="str">
            <v>Ownership</v>
          </cell>
          <cell r="X50" t="str">
            <v>02</v>
          </cell>
        </row>
        <row r="51">
          <cell r="W51" t="str">
            <v>Region</v>
          </cell>
          <cell r="X51" t="str">
            <v>03</v>
          </cell>
        </row>
        <row r="52">
          <cell r="W52" t="str">
            <v>Model</v>
          </cell>
          <cell r="X52" t="str">
            <v>04</v>
          </cell>
        </row>
        <row r="53">
          <cell r="W53" t="str">
            <v>Dealer</v>
          </cell>
          <cell r="X53" t="str">
            <v>05</v>
          </cell>
        </row>
        <row r="54">
          <cell r="W54" t="str">
            <v>Executive Summary</v>
          </cell>
          <cell r="X54" t="str">
            <v>06</v>
          </cell>
        </row>
        <row r="55">
          <cell r="W55" t="str">
            <v>Data</v>
          </cell>
          <cell r="X55" t="str">
            <v>07</v>
          </cell>
        </row>
        <row r="56">
          <cell r="W56" t="str">
            <v>Verbtaims</v>
          </cell>
          <cell r="X56" t="str">
            <v>08</v>
          </cell>
        </row>
        <row r="57">
          <cell r="W57" t="str">
            <v>X-Tabs</v>
          </cell>
          <cell r="X57" t="str">
            <v>09</v>
          </cell>
        </row>
      </sheetData>
      <sheetData sheetId="5" refreshError="1"/>
      <sheetData sheetId="6" refreshError="1"/>
      <sheetData sheetId="7" refreshError="1"/>
      <sheetData sheetId="8" refreshError="1">
        <row r="4">
          <cell r="A4" t="str">
            <v>North - India</v>
          </cell>
          <cell r="E4" t="str">
            <v>Index Score Trends</v>
          </cell>
        </row>
        <row r="15">
          <cell r="A15" t="str">
            <v>North - Wave 2</v>
          </cell>
        </row>
        <row r="27">
          <cell r="V27">
            <v>3</v>
          </cell>
        </row>
        <row r="28">
          <cell r="V28">
            <v>3</v>
          </cell>
        </row>
        <row r="29">
          <cell r="V29">
            <v>3</v>
          </cell>
        </row>
        <row r="30">
          <cell r="V30">
            <v>3</v>
          </cell>
        </row>
        <row r="35">
          <cell r="H35" t="str">
            <v>Purchase vehicle from the service dealer</v>
          </cell>
          <cell r="J35">
            <v>68.831168831168824</v>
          </cell>
        </row>
        <row r="36">
          <cell r="J36">
            <v>52.302968270214947</v>
          </cell>
        </row>
        <row r="37">
          <cell r="J37">
            <v>36.957686127477238</v>
          </cell>
        </row>
        <row r="38">
          <cell r="J38">
            <v>14.048672566371682</v>
          </cell>
        </row>
        <row r="39">
          <cell r="J39" t="e">
            <v>#N/A</v>
          </cell>
        </row>
        <row r="41">
          <cell r="H41" t="str">
            <v>Revisit dealer for maintenance &amp; repair</v>
          </cell>
          <cell r="J41">
            <v>78.702290076335885</v>
          </cell>
        </row>
        <row r="42">
          <cell r="J42">
            <v>59.948849104859335</v>
          </cell>
        </row>
        <row r="43">
          <cell r="J43">
            <v>40.556447298020331</v>
          </cell>
        </row>
        <row r="44">
          <cell r="J44">
            <v>13.149171270718233</v>
          </cell>
        </row>
        <row r="45">
          <cell r="J45" t="e">
            <v>#N/A</v>
          </cell>
        </row>
      </sheetData>
      <sheetData sheetId="9" refreshError="1"/>
      <sheetData sheetId="10" refreshError="1">
        <row r="1">
          <cell r="A1" t="str">
            <v>Factor &amp; Attribute Score Trends</v>
          </cell>
        </row>
        <row r="4">
          <cell r="A4" t="str">
            <v>North - India</v>
          </cell>
          <cell r="B4" t="str">
            <v>Philippines</v>
          </cell>
          <cell r="C4" t="str">
            <v>063</v>
          </cell>
        </row>
        <row r="5">
          <cell r="A5">
            <v>4</v>
          </cell>
          <cell r="B5" t="str">
            <v>Indonesia</v>
          </cell>
          <cell r="C5" t="str">
            <v>062</v>
          </cell>
        </row>
        <row r="6">
          <cell r="A6">
            <v>5</v>
          </cell>
          <cell r="B6" t="str">
            <v>India</v>
          </cell>
          <cell r="C6" t="str">
            <v>091</v>
          </cell>
        </row>
        <row r="7">
          <cell r="A7">
            <v>6</v>
          </cell>
          <cell r="B7" t="str">
            <v>Pakistan</v>
          </cell>
          <cell r="C7" t="str">
            <v>092</v>
          </cell>
          <cell r="H7">
            <v>3</v>
          </cell>
          <cell r="I7">
            <v>44</v>
          </cell>
          <cell r="Z7">
            <v>3</v>
          </cell>
        </row>
        <row r="8">
          <cell r="A8">
            <v>7</v>
          </cell>
          <cell r="B8" t="str">
            <v>Korea</v>
          </cell>
          <cell r="C8" t="str">
            <v>082</v>
          </cell>
          <cell r="H8">
            <v>6</v>
          </cell>
          <cell r="I8">
            <v>33</v>
          </cell>
          <cell r="Z8">
            <v>3</v>
          </cell>
        </row>
        <row r="9">
          <cell r="A9">
            <v>8</v>
          </cell>
          <cell r="B9" t="str">
            <v>Vietnam</v>
          </cell>
          <cell r="C9" t="str">
            <v>084</v>
          </cell>
          <cell r="H9">
            <v>1</v>
          </cell>
          <cell r="I9">
            <v>46</v>
          </cell>
          <cell r="Z9">
            <v>3</v>
          </cell>
        </row>
        <row r="10">
          <cell r="A10">
            <v>9</v>
          </cell>
          <cell r="H10">
            <v>5</v>
          </cell>
          <cell r="I10">
            <v>8</v>
          </cell>
          <cell r="Z10">
            <v>3</v>
          </cell>
        </row>
        <row r="11">
          <cell r="A11">
            <v>10</v>
          </cell>
          <cell r="H11">
            <v>2</v>
          </cell>
          <cell r="I11">
            <v>16</v>
          </cell>
          <cell r="Z11">
            <v>3</v>
          </cell>
        </row>
        <row r="12">
          <cell r="A12">
            <v>11</v>
          </cell>
          <cell r="H12">
            <v>7</v>
          </cell>
          <cell r="I12">
            <v>50</v>
          </cell>
          <cell r="Z12">
            <v>3</v>
          </cell>
        </row>
        <row r="13">
          <cell r="A13">
            <v>12</v>
          </cell>
          <cell r="H13">
            <v>4</v>
          </cell>
          <cell r="I13">
            <v>39</v>
          </cell>
          <cell r="Z13">
            <v>3</v>
          </cell>
        </row>
        <row r="14">
          <cell r="A14">
            <v>13</v>
          </cell>
        </row>
        <row r="15">
          <cell r="A15" t="str">
            <v>North - Wave 2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31">
          <cell r="A31" t="str">
            <v>Thailand</v>
          </cell>
          <cell r="B31" t="str">
            <v>UniqueName</v>
          </cell>
          <cell r="C31" t="str">
            <v>Comparison segment</v>
          </cell>
          <cell r="D31" t="str">
            <v>Ranked Type</v>
          </cell>
        </row>
        <row r="32">
          <cell r="A32">
            <v>1</v>
          </cell>
          <cell r="B32" t="str">
            <v>Study Total</v>
          </cell>
          <cell r="C32" t="str">
            <v>Study Total</v>
          </cell>
        </row>
        <row r="33">
          <cell r="A33">
            <v>2</v>
          </cell>
          <cell r="B33" t="str">
            <v>Jazz</v>
          </cell>
          <cell r="C33" t="str">
            <v>Study Total</v>
          </cell>
          <cell r="D33" t="str">
            <v>Vehicle Type</v>
          </cell>
        </row>
        <row r="34">
          <cell r="A34">
            <v>3</v>
          </cell>
          <cell r="B34" t="str">
            <v>City</v>
          </cell>
          <cell r="C34" t="str">
            <v>Study Total</v>
          </cell>
          <cell r="D34" t="str">
            <v>Vehicle Type</v>
          </cell>
        </row>
        <row r="35">
          <cell r="A35">
            <v>4</v>
          </cell>
          <cell r="B35" t="str">
            <v>Civic</v>
          </cell>
          <cell r="C35" t="str">
            <v>Study Total</v>
          </cell>
          <cell r="D35" t="str">
            <v>Vehicle Type</v>
          </cell>
          <cell r="Z35">
            <v>3</v>
          </cell>
        </row>
        <row r="36">
          <cell r="Z36">
            <v>3</v>
          </cell>
        </row>
        <row r="37">
          <cell r="Z37">
            <v>3</v>
          </cell>
        </row>
        <row r="38">
          <cell r="Z38">
            <v>3</v>
          </cell>
        </row>
        <row r="39">
          <cell r="Z39">
            <v>3</v>
          </cell>
        </row>
        <row r="44">
          <cell r="Z44">
            <v>3</v>
          </cell>
        </row>
        <row r="45">
          <cell r="Z45">
            <v>3</v>
          </cell>
        </row>
        <row r="46">
          <cell r="Z46">
            <v>3</v>
          </cell>
        </row>
        <row r="47">
          <cell r="Z47">
            <v>3</v>
          </cell>
        </row>
        <row r="48">
          <cell r="Z48">
            <v>3</v>
          </cell>
        </row>
      </sheetData>
      <sheetData sheetId="11" refreshError="1">
        <row r="2">
          <cell r="L2" t="str">
            <v>Priority Analysis</v>
          </cell>
        </row>
        <row r="4">
          <cell r="AF4">
            <v>8</v>
          </cell>
          <cell r="AN4">
            <v>1</v>
          </cell>
          <cell r="AO4" t="str">
            <v>Thailand</v>
          </cell>
          <cell r="AP4">
            <v>6.2</v>
          </cell>
          <cell r="AQ4">
            <v>9.4</v>
          </cell>
        </row>
        <row r="5">
          <cell r="AF5">
            <v>8</v>
          </cell>
          <cell r="AN5">
            <v>2</v>
          </cell>
          <cell r="AO5" t="str">
            <v>Malaysia</v>
          </cell>
          <cell r="AP5">
            <v>4.5</v>
          </cell>
          <cell r="AQ5">
            <v>9.5</v>
          </cell>
        </row>
        <row r="6">
          <cell r="H6" t="str">
            <v/>
          </cell>
          <cell r="I6" t="str">
            <v/>
          </cell>
          <cell r="AF6">
            <v>16</v>
          </cell>
          <cell r="AN6">
            <v>3</v>
          </cell>
          <cell r="AO6" t="str">
            <v>Philippines</v>
          </cell>
          <cell r="AP6">
            <v>6.4</v>
          </cell>
          <cell r="AQ6">
            <v>9.6</v>
          </cell>
        </row>
        <row r="7">
          <cell r="H7" t="str">
            <v/>
          </cell>
          <cell r="I7" t="str">
            <v/>
          </cell>
          <cell r="AF7">
            <v>16</v>
          </cell>
          <cell r="AN7">
            <v>4</v>
          </cell>
          <cell r="AO7" t="str">
            <v>Indonesia</v>
          </cell>
          <cell r="AP7">
            <v>4.7</v>
          </cell>
          <cell r="AQ7">
            <v>9.9</v>
          </cell>
        </row>
        <row r="8">
          <cell r="AF8">
            <v>46</v>
          </cell>
          <cell r="AN8">
            <v>5</v>
          </cell>
          <cell r="AO8" t="str">
            <v>India</v>
          </cell>
          <cell r="AP8">
            <v>4</v>
          </cell>
          <cell r="AQ8">
            <v>10</v>
          </cell>
        </row>
        <row r="9">
          <cell r="AF9">
            <v>46</v>
          </cell>
          <cell r="AN9">
            <v>6</v>
          </cell>
          <cell r="AO9" t="str">
            <v>Pakistan</v>
          </cell>
          <cell r="AP9">
            <v>3.06</v>
          </cell>
          <cell r="AQ9">
            <v>5</v>
          </cell>
        </row>
        <row r="10">
          <cell r="AF10">
            <v>33</v>
          </cell>
          <cell r="AN10">
            <v>7</v>
          </cell>
          <cell r="AO10" t="str">
            <v>Korea</v>
          </cell>
          <cell r="AP10">
            <v>7</v>
          </cell>
          <cell r="AQ10">
            <v>9.8000000000000007</v>
          </cell>
        </row>
        <row r="11">
          <cell r="AF11">
            <v>46</v>
          </cell>
          <cell r="AN11">
            <v>8</v>
          </cell>
          <cell r="AO11" t="str">
            <v>Vietnam</v>
          </cell>
          <cell r="AP11">
            <v>7.4</v>
          </cell>
          <cell r="AQ11">
            <v>9.1999999999999993</v>
          </cell>
        </row>
        <row r="12">
          <cell r="AF12">
            <v>16</v>
          </cell>
          <cell r="AN12">
            <v>9</v>
          </cell>
        </row>
        <row r="13">
          <cell r="AF13">
            <v>46</v>
          </cell>
          <cell r="AN13">
            <v>10</v>
          </cell>
        </row>
        <row r="14">
          <cell r="AF14">
            <v>33</v>
          </cell>
          <cell r="AN14">
            <v>11</v>
          </cell>
        </row>
        <row r="15">
          <cell r="AF15">
            <v>50</v>
          </cell>
          <cell r="AN15">
            <v>12</v>
          </cell>
        </row>
        <row r="16">
          <cell r="AF16">
            <v>33</v>
          </cell>
          <cell r="AN16">
            <v>13</v>
          </cell>
        </row>
        <row r="17">
          <cell r="AF17">
            <v>44</v>
          </cell>
          <cell r="AN17">
            <v>14</v>
          </cell>
        </row>
        <row r="18">
          <cell r="AF18">
            <v>44</v>
          </cell>
          <cell r="AN18">
            <v>15</v>
          </cell>
        </row>
        <row r="19">
          <cell r="AN19">
            <v>16</v>
          </cell>
        </row>
        <row r="20">
          <cell r="AN20">
            <v>17</v>
          </cell>
        </row>
        <row r="21">
          <cell r="AN21">
            <v>18</v>
          </cell>
        </row>
        <row r="22">
          <cell r="AN22">
            <v>19</v>
          </cell>
        </row>
        <row r="23">
          <cell r="AN23">
            <v>20</v>
          </cell>
        </row>
        <row r="24">
          <cell r="AN24">
            <v>21</v>
          </cell>
        </row>
        <row r="25">
          <cell r="AN25">
            <v>22</v>
          </cell>
        </row>
        <row r="26">
          <cell r="AN26">
            <v>23</v>
          </cell>
        </row>
        <row r="27">
          <cell r="AN27">
            <v>24</v>
          </cell>
        </row>
        <row r="28">
          <cell r="AN28">
            <v>25</v>
          </cell>
        </row>
        <row r="31">
          <cell r="AP31">
            <v>4</v>
          </cell>
          <cell r="AQ31">
            <v>10</v>
          </cell>
        </row>
        <row r="33">
          <cell r="AP33">
            <v>3</v>
          </cell>
          <cell r="AQ33">
            <v>1.5</v>
          </cell>
        </row>
        <row r="35">
          <cell r="AP35">
            <v>7</v>
          </cell>
        </row>
      </sheetData>
      <sheetData sheetId="12" refreshError="1">
        <row r="4">
          <cell r="L4" t="str">
            <v>Service Standard Adherence</v>
          </cell>
        </row>
        <row r="5">
          <cell r="H5" t="str">
            <v/>
          </cell>
          <cell r="I5" t="str">
            <v/>
          </cell>
        </row>
        <row r="6">
          <cell r="H6" t="str">
            <v/>
          </cell>
          <cell r="I6" t="str">
            <v/>
          </cell>
        </row>
        <row r="7">
          <cell r="H7" t="str">
            <v/>
          </cell>
          <cell r="I7" t="str">
            <v/>
          </cell>
        </row>
        <row r="15">
          <cell r="A15" t="str">
            <v>North - Wave 2</v>
          </cell>
        </row>
        <row r="21">
          <cell r="AO21">
            <v>3</v>
          </cell>
        </row>
        <row r="22">
          <cell r="AO22">
            <v>3</v>
          </cell>
        </row>
        <row r="23">
          <cell r="AO23">
            <v>3</v>
          </cell>
        </row>
        <row r="24">
          <cell r="AO24">
            <v>3</v>
          </cell>
        </row>
        <row r="25">
          <cell r="AO25">
            <v>3</v>
          </cell>
        </row>
        <row r="30">
          <cell r="AO30">
            <v>3</v>
          </cell>
        </row>
        <row r="31">
          <cell r="AO31">
            <v>3</v>
          </cell>
        </row>
        <row r="32">
          <cell r="AO32">
            <v>3</v>
          </cell>
        </row>
        <row r="33">
          <cell r="AO33">
            <v>3</v>
          </cell>
        </row>
        <row r="34">
          <cell r="AO34">
            <v>3</v>
          </cell>
        </row>
      </sheetData>
      <sheetData sheetId="13" refreshError="1">
        <row r="2">
          <cell r="G2" t="str">
            <v>Service Timing</v>
          </cell>
        </row>
        <row r="5">
          <cell r="S5">
            <v>3</v>
          </cell>
        </row>
        <row r="6">
          <cell r="S6">
            <v>3</v>
          </cell>
        </row>
        <row r="7">
          <cell r="S7">
            <v>3</v>
          </cell>
        </row>
        <row r="13">
          <cell r="S13">
            <v>3</v>
          </cell>
        </row>
        <row r="14">
          <cell r="S14">
            <v>3</v>
          </cell>
        </row>
        <row r="15">
          <cell r="A15" t="str">
            <v>North - Wave 2</v>
          </cell>
          <cell r="S15">
            <v>3</v>
          </cell>
        </row>
        <row r="16">
          <cell r="S16">
            <v>3</v>
          </cell>
        </row>
        <row r="21">
          <cell r="S21">
            <v>3</v>
          </cell>
        </row>
        <row r="22">
          <cell r="S22">
            <v>3</v>
          </cell>
        </row>
        <row r="23">
          <cell r="S23">
            <v>-2</v>
          </cell>
        </row>
      </sheetData>
      <sheetData sheetId="14" refreshError="1">
        <row r="2">
          <cell r="G2" t="str">
            <v>Fix it First Time</v>
          </cell>
        </row>
        <row r="15">
          <cell r="A15" t="str">
            <v>North - Wave 2</v>
          </cell>
        </row>
        <row r="20">
          <cell r="S20">
            <v>3</v>
          </cell>
        </row>
        <row r="21">
          <cell r="S21">
            <v>3</v>
          </cell>
        </row>
        <row r="22">
          <cell r="S22">
            <v>3</v>
          </cell>
        </row>
        <row r="23">
          <cell r="S23">
            <v>3</v>
          </cell>
        </row>
        <row r="24">
          <cell r="S24">
            <v>3</v>
          </cell>
        </row>
        <row r="25">
          <cell r="S25">
            <v>2</v>
          </cell>
        </row>
      </sheetData>
      <sheetData sheetId="15" refreshError="1">
        <row r="2">
          <cell r="G2" t="str">
            <v>Product Problems</v>
          </cell>
        </row>
        <row r="5">
          <cell r="G5" t="str">
            <v>None</v>
          </cell>
        </row>
        <row r="11">
          <cell r="F11">
            <v>4</v>
          </cell>
        </row>
        <row r="15">
          <cell r="A15" t="str">
            <v>North - Wave 2</v>
          </cell>
        </row>
        <row r="16">
          <cell r="AC16">
            <v>3</v>
          </cell>
        </row>
        <row r="17">
          <cell r="AC17">
            <v>3</v>
          </cell>
        </row>
        <row r="18">
          <cell r="AC18">
            <v>3</v>
          </cell>
        </row>
        <row r="19">
          <cell r="AC19">
            <v>3</v>
          </cell>
        </row>
        <row r="20">
          <cell r="AC20">
            <v>3</v>
          </cell>
        </row>
        <row r="21">
          <cell r="AC21">
            <v>3</v>
          </cell>
        </row>
        <row r="22">
          <cell r="AC22">
            <v>3</v>
          </cell>
        </row>
        <row r="23">
          <cell r="AC23">
            <v>3</v>
          </cell>
        </row>
        <row r="24">
          <cell r="AC24">
            <v>3</v>
          </cell>
        </row>
        <row r="30">
          <cell r="AC30">
            <v>3</v>
          </cell>
        </row>
        <row r="31">
          <cell r="AC31">
            <v>3</v>
          </cell>
        </row>
        <row r="32">
          <cell r="AC32">
            <v>3</v>
          </cell>
        </row>
        <row r="33">
          <cell r="AC33">
            <v>3</v>
          </cell>
        </row>
        <row r="34">
          <cell r="AC34">
            <v>3</v>
          </cell>
        </row>
        <row r="35">
          <cell r="AC35">
            <v>3</v>
          </cell>
        </row>
        <row r="36">
          <cell r="AC36">
            <v>3</v>
          </cell>
        </row>
        <row r="37">
          <cell r="AC37">
            <v>3</v>
          </cell>
        </row>
        <row r="38">
          <cell r="AC38">
            <v>3</v>
          </cell>
        </row>
      </sheetData>
      <sheetData sheetId="16" refreshError="1">
        <row r="2">
          <cell r="G2" t="str">
            <v>Parts</v>
          </cell>
        </row>
        <row r="15">
          <cell r="A15" t="str">
            <v>North - Wave 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4">
          <cell r="A4" t="str">
            <v>North - India</v>
          </cell>
          <cell r="B4" t="str">
            <v>Philippines</v>
          </cell>
          <cell r="C4" t="str">
            <v>CITY</v>
          </cell>
          <cell r="D4" t="str">
            <v>JAZZ</v>
          </cell>
          <cell r="E4" t="str">
            <v>CR-V</v>
          </cell>
          <cell r="F4" t="str">
            <v>CIVIC</v>
          </cell>
          <cell r="G4" t="str">
            <v>ACCORD</v>
          </cell>
          <cell r="H4" t="str">
            <v>STREAM</v>
          </cell>
          <cell r="I4" t="str">
            <v>TOTAL</v>
          </cell>
        </row>
        <row r="5">
          <cell r="A5" t="str">
            <v>Central Java</v>
          </cell>
          <cell r="B5" t="str">
            <v>Indonesia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East Java</v>
          </cell>
          <cell r="B6" t="str">
            <v>India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Jakarta</v>
          </cell>
          <cell r="B7" t="str">
            <v>Pakistan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Outside Java</v>
          </cell>
          <cell r="B8" t="str">
            <v>Korea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West Java</v>
          </cell>
          <cell r="B9" t="str">
            <v>Vietnam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Study Total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10</v>
          </cell>
          <cell r="H11">
            <v>2</v>
          </cell>
          <cell r="I11">
            <v>16</v>
          </cell>
        </row>
        <row r="12">
          <cell r="A12">
            <v>11</v>
          </cell>
          <cell r="H12">
            <v>7</v>
          </cell>
          <cell r="I12">
            <v>50</v>
          </cell>
        </row>
        <row r="13">
          <cell r="A13">
            <v>12</v>
          </cell>
          <cell r="C13" t="str">
            <v>CITY</v>
          </cell>
          <cell r="D13" t="str">
            <v>JAZZ</v>
          </cell>
          <cell r="E13" t="str">
            <v>CR-V</v>
          </cell>
          <cell r="F13" t="str">
            <v>CIVIC</v>
          </cell>
          <cell r="G13" t="str">
            <v>ACCORD</v>
          </cell>
          <cell r="H13" t="str">
            <v>STREAM</v>
          </cell>
          <cell r="I13" t="str">
            <v>TOTAL</v>
          </cell>
        </row>
        <row r="14">
          <cell r="A14" t="str">
            <v>Central Java</v>
          </cell>
          <cell r="C14" t="e">
            <v>#DIV/0!</v>
          </cell>
          <cell r="D14" t="e">
            <v>#DIV/0!</v>
          </cell>
          <cell r="E14" t="e">
            <v>#DIV/0!</v>
          </cell>
          <cell r="F14" t="e">
            <v>#DIV/0!</v>
          </cell>
          <cell r="G14" t="e">
            <v>#DIV/0!</v>
          </cell>
          <cell r="H14" t="e">
            <v>#DIV/0!</v>
          </cell>
          <cell r="I14" t="e">
            <v>#DIV/0!</v>
          </cell>
        </row>
        <row r="15">
          <cell r="A15" t="str">
            <v>East Java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</row>
        <row r="16">
          <cell r="A16" t="str">
            <v>Jakarta</v>
          </cell>
          <cell r="C16" t="e">
            <v>#DIV/0!</v>
          </cell>
          <cell r="D16" t="e">
            <v>#DIV/0!</v>
          </cell>
          <cell r="E16" t="e">
            <v>#DIV/0!</v>
          </cell>
          <cell r="F16" t="e">
            <v>#DIV/0!</v>
          </cell>
          <cell r="G16" t="e">
            <v>#DIV/0!</v>
          </cell>
          <cell r="H16" t="e">
            <v>#DIV/0!</v>
          </cell>
          <cell r="I16" t="e">
            <v>#DIV/0!</v>
          </cell>
        </row>
        <row r="17">
          <cell r="A17" t="str">
            <v>Outside Java</v>
          </cell>
          <cell r="C17" t="e">
            <v>#DIV/0!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</row>
        <row r="18">
          <cell r="A18" t="str">
            <v>West Java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 t="e">
            <v>#DIV/0!</v>
          </cell>
        </row>
        <row r="19">
          <cell r="A19" t="str">
            <v>Study Total</v>
          </cell>
          <cell r="C19" t="e">
            <v>#DIV/0!</v>
          </cell>
          <cell r="D19" t="e">
            <v>#DIV/0!</v>
          </cell>
          <cell r="E19" t="e">
            <v>#DIV/0!</v>
          </cell>
          <cell r="F19" t="e">
            <v>#DIV/0!</v>
          </cell>
          <cell r="G19" t="e">
            <v>#DIV/0!</v>
          </cell>
          <cell r="H19" t="e">
            <v>#DIV/0!</v>
          </cell>
          <cell r="I19" t="e">
            <v>#DIV/0!</v>
          </cell>
        </row>
        <row r="25">
          <cell r="A25">
            <v>24</v>
          </cell>
          <cell r="C25" t="str">
            <v>CITY</v>
          </cell>
          <cell r="D25" t="str">
            <v>JAZZ</v>
          </cell>
          <cell r="E25" t="str">
            <v>CR-V</v>
          </cell>
          <cell r="F25" t="str">
            <v>CIVIC</v>
          </cell>
          <cell r="G25" t="str">
            <v>ACCORD</v>
          </cell>
          <cell r="H25" t="str">
            <v>STREAM</v>
          </cell>
          <cell r="I25" t="str">
            <v>TOTAL</v>
          </cell>
        </row>
        <row r="26">
          <cell r="A26" t="str">
            <v>Central Java</v>
          </cell>
          <cell r="B26" t="str">
            <v>Semarang Center Honda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 t="str">
            <v>Anugerah Honda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B28" t="str">
            <v>Bintang Honda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B29" t="str">
            <v>Istana Carindo Honda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 t="str">
            <v>Istana Cendrawasih Honda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Thailand</v>
          </cell>
          <cell r="B31" t="str">
            <v>Kusuma Honda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1</v>
          </cell>
          <cell r="B32" t="str">
            <v>Pekalongan Motor Honda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2</v>
          </cell>
          <cell r="B33" t="str">
            <v>Tugu Honda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3</v>
          </cell>
          <cell r="B34" t="str">
            <v>Tunas Jaya Honda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</v>
          </cell>
          <cell r="B35" t="str">
            <v>Solo Baru  Honda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B36" t="str">
            <v>Kudus Jaya Honda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East Java</v>
          </cell>
          <cell r="B37" t="str">
            <v>Surabaya Center Honda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 t="str">
            <v>Denpasar Agung Honda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 t="str">
            <v>Jayakarta Motor Honda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 t="str">
            <v>MPM Malang Honda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 t="str">
            <v>Naga Motor Honda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B42" t="str">
            <v>Pacific Motor Honda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 t="str">
            <v>Saver Honda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B44" t="str">
            <v>Surya Agung Honda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Outside Java</v>
          </cell>
          <cell r="B45" t="str">
            <v>Gajah Motor Honda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 t="str">
            <v>Daya Motor Honda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IDK 1 Honda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Lampung Raya Honda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Trio Motor Honda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B50" t="str">
            <v>Kertajaya Honda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 t="str">
            <v>Makassar Indah Honda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B52" t="str">
            <v>Remaja Jaya Honda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B53" t="str">
            <v>Remaja Jaya - Manado Honda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B54" t="str">
            <v>SLS Honda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B55" t="str">
            <v>Semoga Jaya Honda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B56" t="str">
            <v>Union Motor Honda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B57" t="str">
            <v>IDK 2 Honda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B58" t="str">
            <v>Maju Mobilindo Honda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60">
          <cell r="C60" t="str">
            <v>CITY</v>
          </cell>
          <cell r="D60" t="str">
            <v>JAZZ</v>
          </cell>
          <cell r="E60" t="str">
            <v>CR-V</v>
          </cell>
          <cell r="F60" t="str">
            <v>CIVIC</v>
          </cell>
          <cell r="G60" t="str">
            <v>ACCORD</v>
          </cell>
          <cell r="H60" t="str">
            <v>STREAM</v>
          </cell>
          <cell r="I60" t="str">
            <v>TOTAL</v>
          </cell>
        </row>
        <row r="61">
          <cell r="A61" t="str">
            <v>Jakarta</v>
          </cell>
          <cell r="B61" t="str">
            <v>Jakarta Center Honda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B62" t="str">
            <v>Autoland Honda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B63" t="str">
            <v>Bintaro Honda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B64" t="str">
            <v>Sunter Honda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B65" t="str">
            <v>Inti Karya Megah Honda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 t="str">
            <v>Fatmawati Honda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B67" t="str">
            <v>Pondok Indah Honda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B68" t="str">
            <v>Kebon Jeruk Honda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 t="str">
            <v>Daan Mogot Honda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Hasyim Ashari Honda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B71" t="str">
            <v>Jaya Niaga Honda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 t="str">
            <v>Mandiri Bogor Honda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 t="str">
            <v>Mugen Honda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B74" t="str">
            <v>Cakra Pangukir Honda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 t="str">
            <v>Permata Hijau Honda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 t="str">
            <v>Pluit Honda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Tebet Honda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 t="str">
            <v>Megatama Honda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 t="str">
            <v>Tendean Honda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Prima Honda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 t="str">
            <v>Union Jaya Honda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Cibubur Honda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Cikarang Honda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West Java</v>
          </cell>
          <cell r="B84" t="str">
            <v>Bandung Center Honda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B85" t="str">
            <v>Indosal Honda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B86" t="str">
            <v>Cirebon Motor Honda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Autoprima Honda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</sheetData>
      <sheetData sheetId="24" refreshError="1">
        <row r="4">
          <cell r="B4" t="str">
            <v>Region</v>
          </cell>
          <cell r="C4" t="str">
            <v>Dealers</v>
          </cell>
          <cell r="D4" t="str">
            <v>JAZZ</v>
          </cell>
          <cell r="E4" t="str">
            <v>CITY</v>
          </cell>
          <cell r="F4" t="str">
            <v>CIVIC</v>
          </cell>
          <cell r="G4" t="str">
            <v>ACCORD</v>
          </cell>
          <cell r="H4" t="str">
            <v>CR-V</v>
          </cell>
          <cell r="I4" t="str">
            <v>STREAM</v>
          </cell>
          <cell r="J4" t="str">
            <v>ODYSSEY</v>
          </cell>
          <cell r="K4" t="str">
            <v>TOTAL</v>
          </cell>
          <cell r="AF4">
            <v>8</v>
          </cell>
          <cell r="AN4">
            <v>1</v>
          </cell>
          <cell r="AO4" t="str">
            <v>Thailand</v>
          </cell>
        </row>
        <row r="5">
          <cell r="B5" t="str">
            <v>Central</v>
          </cell>
          <cell r="C5">
            <v>20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AF5">
            <v>8</v>
          </cell>
          <cell r="AN5">
            <v>2</v>
          </cell>
          <cell r="AO5" t="str">
            <v>Malaysia</v>
          </cell>
        </row>
        <row r="6">
          <cell r="B6" t="str">
            <v>North</v>
          </cell>
          <cell r="C6">
            <v>12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AF6">
            <v>16</v>
          </cell>
          <cell r="AN6">
            <v>3</v>
          </cell>
          <cell r="AO6" t="str">
            <v>Philippines</v>
          </cell>
        </row>
        <row r="7">
          <cell r="B7" t="str">
            <v>South</v>
          </cell>
          <cell r="C7">
            <v>9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AF7">
            <v>16</v>
          </cell>
          <cell r="AN7">
            <v>4</v>
          </cell>
          <cell r="AO7" t="str">
            <v>Indonesia</v>
          </cell>
        </row>
        <row r="8">
          <cell r="B8" t="str">
            <v>East Coast</v>
          </cell>
          <cell r="C8">
            <v>4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AF8">
            <v>46</v>
          </cell>
          <cell r="AN8">
            <v>5</v>
          </cell>
          <cell r="AO8" t="str">
            <v>India</v>
          </cell>
        </row>
        <row r="9">
          <cell r="B9" t="str">
            <v>East Malaysia</v>
          </cell>
          <cell r="C9">
            <v>4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AF9">
            <v>46</v>
          </cell>
          <cell r="AN9">
            <v>6</v>
          </cell>
          <cell r="AO9" t="str">
            <v>Pakistan</v>
          </cell>
        </row>
        <row r="10">
          <cell r="B10" t="str">
            <v>Study Total</v>
          </cell>
          <cell r="C10">
            <v>49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AF10">
            <v>33</v>
          </cell>
          <cell r="AN10">
            <v>7</v>
          </cell>
          <cell r="AO10" t="str">
            <v>Korea</v>
          </cell>
        </row>
        <row r="11">
          <cell r="AF11">
            <v>46</v>
          </cell>
          <cell r="AN11">
            <v>8</v>
          </cell>
          <cell r="AO11" t="str">
            <v>Vietnam</v>
          </cell>
        </row>
        <row r="12">
          <cell r="AF12">
            <v>16</v>
          </cell>
          <cell r="AN12">
            <v>9</v>
          </cell>
        </row>
        <row r="13">
          <cell r="B13" t="str">
            <v>Region</v>
          </cell>
          <cell r="C13" t="str">
            <v>Dealers</v>
          </cell>
          <cell r="D13" t="str">
            <v>JAZZ</v>
          </cell>
          <cell r="E13" t="str">
            <v>CITY</v>
          </cell>
          <cell r="F13" t="str">
            <v>CIVIC</v>
          </cell>
          <cell r="G13" t="str">
            <v>ACCORD</v>
          </cell>
          <cell r="H13" t="str">
            <v>CR-V</v>
          </cell>
          <cell r="I13" t="str">
            <v>STREAM</v>
          </cell>
          <cell r="J13" t="str">
            <v>ODYSSEY</v>
          </cell>
          <cell r="K13" t="str">
            <v>TOTAL</v>
          </cell>
          <cell r="AF13">
            <v>46</v>
          </cell>
          <cell r="AN13">
            <v>10</v>
          </cell>
        </row>
        <row r="14">
          <cell r="B14" t="str">
            <v>Central</v>
          </cell>
          <cell r="C14">
            <v>0.40816326530612246</v>
          </cell>
          <cell r="D14" t="e">
            <v>#DIV/0!</v>
          </cell>
          <cell r="E14" t="e">
            <v>#DIV/0!</v>
          </cell>
          <cell r="F14" t="e">
            <v>#DIV/0!</v>
          </cell>
          <cell r="G14" t="e">
            <v>#DIV/0!</v>
          </cell>
          <cell r="H14" t="e">
            <v>#DIV/0!</v>
          </cell>
          <cell r="I14" t="e">
            <v>#DIV/0!</v>
          </cell>
          <cell r="J14" t="e">
            <v>#DIV/0!</v>
          </cell>
          <cell r="K14" t="e">
            <v>#DIV/0!</v>
          </cell>
          <cell r="AF14">
            <v>33</v>
          </cell>
          <cell r="AN14">
            <v>11</v>
          </cell>
        </row>
        <row r="15">
          <cell r="B15" t="str">
            <v>North</v>
          </cell>
          <cell r="C15">
            <v>0.24489795918367346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AF15">
            <v>50</v>
          </cell>
          <cell r="AN15">
            <v>12</v>
          </cell>
        </row>
        <row r="16">
          <cell r="B16" t="str">
            <v>South</v>
          </cell>
          <cell r="C16">
            <v>0.18367346938775511</v>
          </cell>
          <cell r="D16" t="e">
            <v>#DIV/0!</v>
          </cell>
          <cell r="E16" t="e">
            <v>#DIV/0!</v>
          </cell>
          <cell r="F16" t="e">
            <v>#DIV/0!</v>
          </cell>
          <cell r="G16" t="e">
            <v>#DIV/0!</v>
          </cell>
          <cell r="H16" t="e">
            <v>#DIV/0!</v>
          </cell>
          <cell r="I16" t="e">
            <v>#DIV/0!</v>
          </cell>
          <cell r="J16" t="e">
            <v>#DIV/0!</v>
          </cell>
          <cell r="K16" t="e">
            <v>#DIV/0!</v>
          </cell>
          <cell r="AF16">
            <v>33</v>
          </cell>
          <cell r="AN16">
            <v>13</v>
          </cell>
        </row>
        <row r="17">
          <cell r="B17" t="str">
            <v>East Coast</v>
          </cell>
          <cell r="C17">
            <v>8.1632653061224483E-2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AF17">
            <v>44</v>
          </cell>
          <cell r="AN17">
            <v>14</v>
          </cell>
        </row>
        <row r="18">
          <cell r="B18" t="str">
            <v>East Malaysia</v>
          </cell>
          <cell r="C18">
            <v>8.1632653061224483E-2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AF18">
            <v>44</v>
          </cell>
          <cell r="AN18">
            <v>15</v>
          </cell>
        </row>
        <row r="19">
          <cell r="B19" t="str">
            <v>Study Total</v>
          </cell>
          <cell r="C19">
            <v>1</v>
          </cell>
          <cell r="D19" t="e">
            <v>#DIV/0!</v>
          </cell>
          <cell r="E19" t="e">
            <v>#DIV/0!</v>
          </cell>
          <cell r="F19" t="e">
            <v>#DIV/0!</v>
          </cell>
          <cell r="G19" t="e">
            <v>#DIV/0!</v>
          </cell>
          <cell r="H19" t="e">
            <v>#DIV/0!</v>
          </cell>
          <cell r="I19" t="e">
            <v>#DIV/0!</v>
          </cell>
          <cell r="J19" t="e">
            <v>#DIV/0!</v>
          </cell>
          <cell r="K19" t="e">
            <v>#DIV/0!</v>
          </cell>
          <cell r="AN19">
            <v>16</v>
          </cell>
        </row>
        <row r="20">
          <cell r="AN20">
            <v>17</v>
          </cell>
        </row>
        <row r="21">
          <cell r="AN21">
            <v>18</v>
          </cell>
        </row>
        <row r="23">
          <cell r="D23" t="str">
            <v>JAZZ</v>
          </cell>
          <cell r="E23" t="str">
            <v>CITY</v>
          </cell>
          <cell r="F23" t="str">
            <v>CIVIC</v>
          </cell>
          <cell r="G23" t="str">
            <v>ACCORD</v>
          </cell>
          <cell r="H23" t="str">
            <v>CR-V</v>
          </cell>
          <cell r="I23" t="str">
            <v>STREAM</v>
          </cell>
          <cell r="J23" t="str">
            <v>ODYSSEY</v>
          </cell>
        </row>
        <row r="24">
          <cell r="A24" t="str">
            <v>Central</v>
          </cell>
          <cell r="B24" t="str">
            <v>Peringgit Sri Motor Sdn Bhd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AN24">
            <v>21</v>
          </cell>
        </row>
        <row r="25">
          <cell r="B25" t="str">
            <v>Wegro Sdn Bhd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AN25">
            <v>22</v>
          </cell>
        </row>
        <row r="26">
          <cell r="B26" t="str">
            <v>Angkasa Motor Sdn Bhd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AN26">
            <v>23</v>
          </cell>
        </row>
        <row r="27">
          <cell r="B27" t="str">
            <v>Weststar Auto Sdn Bhd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AN27">
            <v>24</v>
          </cell>
        </row>
        <row r="28">
          <cell r="B28" t="str">
            <v>The Millennium Auto Carriage Sdn Bhd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AN28">
            <v>25</v>
          </cell>
        </row>
        <row r="29">
          <cell r="B29" t="str">
            <v>Kah Motor Co Sdn Bhd (CSL)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Roda BB Motor Sdn Bhd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Sri Utama Auto Sdn Bhd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Noblekey (M) Sdn Bhd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New Era Sales Sdn Bhd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Sumber Auto Edaran Sdn Bhd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Tenaga Setia Resources Sdn Bhd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Imavest Sdn Bhd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B37" t="str">
            <v>Kah Motor Co Sdn Bhd (Pchg)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B38" t="str">
            <v>USJ Car Express Sdn Bhd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B39" t="str">
            <v>Kosmo Kars Sdn Bhd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B40" t="str">
            <v>Shared Auto Cars Sdn Bhd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</row>
        <row r="41">
          <cell r="B41" t="str">
            <v>Global Amity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B42" t="str">
            <v>Actmar Sdn Bhd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B43" t="str">
            <v>Nanyang General Enterprises Sdn Bhd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4">
          <cell r="A44" t="str">
            <v>North</v>
          </cell>
          <cell r="B44" t="str">
            <v>Kah Motor Co Sdn Bhd (Png)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B45" t="str">
            <v>Vivahill Auto Sdn Bhd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B46" t="str">
            <v>Motoria Sdn Bhd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B47" t="str">
            <v>Formula Venture Sdn Bhd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B48" t="str">
            <v>Lee Motors Alor Setar (Car Div) Sdn Bhd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B49" t="str">
            <v>Lee Motors Alor Star (Car Div) Sdn Bhd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0">
          <cell r="B50" t="str">
            <v>Yooi Cars Sdn Bhd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</row>
        <row r="51">
          <cell r="B51" t="str">
            <v>Delima Kinta Sdn Bhd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</row>
        <row r="52">
          <cell r="B52" t="str">
            <v>Magna Speed Sdn Bhd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B53" t="str">
            <v>Ban Hoe Seng Sdn Bhd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B54" t="str">
            <v>Sendi Auto Sdn Bhd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</row>
        <row r="55">
          <cell r="B55" t="str">
            <v>Abi Enterprise Sdn Bhd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</row>
        <row r="57">
          <cell r="D57" t="str">
            <v>JAZZ</v>
          </cell>
          <cell r="E57" t="str">
            <v>CITY</v>
          </cell>
          <cell r="F57" t="str">
            <v>CIVIC</v>
          </cell>
          <cell r="G57" t="str">
            <v>ACCORD</v>
          </cell>
          <cell r="H57" t="str">
            <v>CR-V</v>
          </cell>
          <cell r="I57" t="str">
            <v>STREAM</v>
          </cell>
          <cell r="J57" t="str">
            <v>ODYSSEY</v>
          </cell>
        </row>
        <row r="58">
          <cell r="A58" t="str">
            <v>South</v>
          </cell>
          <cell r="B58" t="str">
            <v>Yong Ming Motor Sdn Bhd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Sri Sutera Auto Sdn Bhd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B60" t="str">
            <v>K M Lim Motor Sdn Bhd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Syarikat Motor G S Tay Sdn Bhd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Iptimas Motor Sdn Bhd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Haslita Motor Sdn Bhd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B64" t="str">
            <v>Kah Motor Co Sdn Bhd (Mlk)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</row>
        <row r="65">
          <cell r="B65" t="str">
            <v>Ban Lee Heng Motor Sdn Bhd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</row>
        <row r="66">
          <cell r="B66" t="str">
            <v>Wanija Classic (M) Sdn Bhd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East Coast</v>
          </cell>
          <cell r="B67" t="str">
            <v>Chuan Thye Motor Sdn Bhd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B68" t="str">
            <v>Hon Hin Auto Credit Sdn Bhd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B69" t="str">
            <v>Ban Chu Bee Sdn Bhd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 t="str">
            <v>Sykt Tan Eng Ann Sdn Bhd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East Malaysia</v>
          </cell>
          <cell r="B71" t="str">
            <v>Jimisar Corporation Sdn Bhd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B72" t="str">
            <v>Boon Siew (Borneo) Sdn Bhd Jln Tuaran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B73" t="str">
            <v>Premier Motor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B74" t="str">
            <v>Heng Ho Hing Co Sdn Bhd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</sheetData>
      <sheetData sheetId="25" refreshError="1">
        <row r="21">
          <cell r="AO21">
            <v>3</v>
          </cell>
        </row>
        <row r="22">
          <cell r="AO22">
            <v>3</v>
          </cell>
        </row>
        <row r="24">
          <cell r="AO24">
            <v>3</v>
          </cell>
        </row>
        <row r="25">
          <cell r="AO25">
            <v>3</v>
          </cell>
        </row>
        <row r="30">
          <cell r="AO30">
            <v>3</v>
          </cell>
        </row>
        <row r="31">
          <cell r="AO31">
            <v>3</v>
          </cell>
        </row>
        <row r="32">
          <cell r="AO32">
            <v>3</v>
          </cell>
        </row>
        <row r="33">
          <cell r="AO33">
            <v>3</v>
          </cell>
        </row>
        <row r="34">
          <cell r="AO34">
            <v>3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id Descriptions"/>
      <sheetName val="Project Details"/>
      <sheetName val="Group Details"/>
      <sheetName val="simulated scores"/>
      <sheetName val="Sheet1"/>
      <sheetName val="priority analysis (2)"/>
      <sheetName val="Sample"/>
      <sheetName val="Weights"/>
      <sheetName val="Index Scores"/>
      <sheetName val="TOC"/>
      <sheetName val="GroupRank"/>
      <sheetName val="SuperGroupRank"/>
      <sheetName val="Topline trends"/>
      <sheetName val="dlr scores"/>
      <sheetName val="csi vs revisit"/>
      <sheetName val="corr 2"/>
      <sheetName val="priority analysis"/>
      <sheetName val="corr 3"/>
      <sheetName val="attribute trends"/>
      <sheetName val="Standard"/>
      <sheetName val="Standard (2)"/>
      <sheetName val="standards trend"/>
      <sheetName val="svc timing"/>
      <sheetName val="problems"/>
      <sheetName val="problem2"/>
      <sheetName val="parts"/>
      <sheetName val="PDCA"/>
      <sheetName val="Jazz"/>
      <sheetName val="City"/>
      <sheetName val="Brio"/>
      <sheetName val="Accord"/>
      <sheetName val="CRV"/>
      <sheetName val="Amaze"/>
      <sheetName val="Civic"/>
      <sheetName val="All Models"/>
      <sheetName val="City Tgt Working"/>
      <sheetName val="Brio Tgt Working"/>
      <sheetName val="Amaze Tgt Working"/>
      <sheetName val="Accord Tgt Working"/>
      <sheetName val="Tierwise Total"/>
      <sheetName val="CRV Tgt Working"/>
      <sheetName val="Sheet2"/>
      <sheetName val="B &amp; B+ Seg Oct'12"/>
      <sheetName val="LPDC GP"/>
      <sheetName val="MK(W L,D)ｺｽﾄ"/>
      <sheetName val="SRP FH"/>
      <sheetName val="Profit"/>
      <sheetName val="◎SDA-FDS詳細"/>
      <sheetName val="3.４Ｒ損益"/>
    </sheetNames>
    <sheetDataSet>
      <sheetData sheetId="0" refreshError="1">
        <row r="2">
          <cell r="A2" t="str">
            <v>A01</v>
          </cell>
          <cell r="B2" t="str">
            <v>Location &amp; accessibility</v>
          </cell>
          <cell r="D2" t="str">
            <v>A01</v>
          </cell>
          <cell r="E2" t="str">
            <v>Location &amp; accessibility</v>
          </cell>
        </row>
        <row r="3">
          <cell r="A3" t="str">
            <v>A02</v>
          </cell>
          <cell r="B3" t="str">
            <v>Look and layout</v>
          </cell>
          <cell r="D3" t="str">
            <v>A02</v>
          </cell>
          <cell r="E3" t="str">
            <v>Convenience of business hours</v>
          </cell>
        </row>
        <row r="4">
          <cell r="A4" t="str">
            <v>A03</v>
          </cell>
          <cell r="B4" t="str">
            <v>Convenience of business hours</v>
          </cell>
          <cell r="D4" t="str">
            <v>A03</v>
          </cell>
          <cell r="E4" t="str">
            <v>Cleanliness &amp; appearance</v>
          </cell>
        </row>
        <row r="5">
          <cell r="A5" t="str">
            <v>A04</v>
          </cell>
          <cell r="B5" t="str">
            <v>Waiting area</v>
          </cell>
          <cell r="D5" t="str">
            <v>A04</v>
          </cell>
          <cell r="E5" t="str">
            <v>Waiting area</v>
          </cell>
        </row>
        <row r="6">
          <cell r="A6" t="str">
            <v>B01</v>
          </cell>
          <cell r="B6" t="str">
            <v>Availability of models</v>
          </cell>
          <cell r="D6" t="str">
            <v>B01</v>
          </cell>
          <cell r="E6" t="str">
            <v>Courtesy &amp; friendliness</v>
          </cell>
        </row>
        <row r="7">
          <cell r="A7" t="str">
            <v>B02</v>
          </cell>
          <cell r="B7" t="str">
            <v>Availability of colours</v>
          </cell>
          <cell r="D7" t="str">
            <v>B02</v>
          </cell>
          <cell r="E7" t="str">
            <v>Time taken for servicing</v>
          </cell>
        </row>
        <row r="8">
          <cell r="A8" t="str">
            <v>B03</v>
          </cell>
          <cell r="B8" t="str">
            <v>Availability of accessories</v>
          </cell>
          <cell r="D8" t="str">
            <v>B03</v>
          </cell>
          <cell r="E8" t="str">
            <v>Fix problems first time</v>
          </cell>
        </row>
        <row r="9">
          <cell r="A9" t="str">
            <v>C01</v>
          </cell>
          <cell r="B9" t="str">
            <v>Allowing sufficient time for decision</v>
          </cell>
          <cell r="D9" t="str">
            <v>B04</v>
          </cell>
          <cell r="E9" t="str">
            <v>Quality of work</v>
          </cell>
        </row>
        <row r="10">
          <cell r="A10" t="str">
            <v>C02</v>
          </cell>
          <cell r="B10" t="str">
            <v>Sales process duration</v>
          </cell>
          <cell r="D10" t="str">
            <v>B05</v>
          </cell>
          <cell r="E10" t="str">
            <v>Understanding of problem</v>
          </cell>
        </row>
        <row r="11">
          <cell r="A11" t="str">
            <v>C03</v>
          </cell>
          <cell r="B11" t="str">
            <v>Fulfillment of commitment</v>
          </cell>
          <cell r="D11" t="str">
            <v>B06</v>
          </cell>
          <cell r="E11" t="str">
            <v>Performance of service personnel</v>
          </cell>
        </row>
        <row r="12">
          <cell r="A12" t="str">
            <v>C04</v>
          </cell>
          <cell r="B12" t="str">
            <v>Explain features and operations of vehicle</v>
          </cell>
          <cell r="D12" t="str">
            <v>B07</v>
          </cell>
          <cell r="E12" t="str">
            <v>Promptness in writing service order</v>
          </cell>
        </row>
        <row r="13">
          <cell r="A13" t="str">
            <v>C05</v>
          </cell>
          <cell r="B13" t="str">
            <v>Knowledge of warranty coverage</v>
          </cell>
          <cell r="D13" t="str">
            <v>B08</v>
          </cell>
          <cell r="E13" t="str">
            <v>Honesty &amp; integrity</v>
          </cell>
        </row>
        <row r="14">
          <cell r="A14" t="str">
            <v>C06</v>
          </cell>
          <cell r="B14" t="str">
            <v>Concern for your budget</v>
          </cell>
          <cell r="D14" t="str">
            <v>C01</v>
          </cell>
          <cell r="E14" t="str">
            <v>Charges being reasonable</v>
          </cell>
        </row>
        <row r="15">
          <cell r="A15" t="str">
            <v>C07</v>
          </cell>
          <cell r="B15" t="str">
            <v>Smooth &amp; trouble free sales process</v>
          </cell>
          <cell r="D15" t="str">
            <v>C02</v>
          </cell>
          <cell r="E15" t="str">
            <v>Availability of parts</v>
          </cell>
        </row>
        <row r="16">
          <cell r="A16" t="str">
            <v>C08</v>
          </cell>
          <cell r="B16" t="str">
            <v>Trust &amp; confidence in dealer</v>
          </cell>
          <cell r="D16" t="str">
            <v>C03</v>
          </cell>
          <cell r="E16" t="str">
            <v>Price of parts reasonable</v>
          </cell>
        </row>
        <row r="17">
          <cell r="A17" t="str">
            <v>D01</v>
          </cell>
          <cell r="B17" t="str">
            <v>Reception/ greeting</v>
          </cell>
          <cell r="D17" t="str">
            <v>D01</v>
          </cell>
          <cell r="E17" t="str">
            <v>Time duration of warranty</v>
          </cell>
        </row>
        <row r="18">
          <cell r="A18" t="str">
            <v>D02</v>
          </cell>
          <cell r="B18" t="str">
            <v>Product knowledge</v>
          </cell>
          <cell r="D18" t="str">
            <v>D02</v>
          </cell>
          <cell r="E18" t="str">
            <v>Kilometers covered warranty</v>
          </cell>
        </row>
        <row r="19">
          <cell r="A19" t="str">
            <v>D03</v>
          </cell>
          <cell r="B19" t="str">
            <v>Honesty &amp; Integrity</v>
          </cell>
          <cell r="D19" t="str">
            <v>D03</v>
          </cell>
          <cell r="E19" t="str">
            <v>Parts covered under warranty</v>
          </cell>
        </row>
        <row r="20">
          <cell r="A20" t="str">
            <v>D04</v>
          </cell>
          <cell r="B20" t="str">
            <v>Courtesy &amp; friendliness</v>
          </cell>
          <cell r="D20" t="str">
            <v>D04</v>
          </cell>
          <cell r="E20" t="str">
            <v>Dealers attitude towards warranty</v>
          </cell>
        </row>
        <row r="21">
          <cell r="A21" t="str">
            <v>E01</v>
          </cell>
          <cell r="B21" t="str">
            <v>Value for money</v>
          </cell>
          <cell r="D21" t="str">
            <v>D05</v>
          </cell>
          <cell r="E21" t="str">
            <v>Dealers performance on warranty</v>
          </cell>
        </row>
        <row r="22">
          <cell r="A22" t="str">
            <v>E02</v>
          </cell>
          <cell r="B22" t="str">
            <v>Purchase price</v>
          </cell>
        </row>
        <row r="23">
          <cell r="A23" t="str">
            <v>F01</v>
          </cell>
          <cell r="B23" t="str">
            <v>On-time delivery</v>
          </cell>
        </row>
        <row r="24">
          <cell r="A24" t="str">
            <v>F02</v>
          </cell>
          <cell r="B24" t="str">
            <v>Vehicle delivered as promised</v>
          </cell>
        </row>
        <row r="25">
          <cell r="A25" t="str">
            <v>F03</v>
          </cell>
          <cell r="B25" t="str">
            <v>Delivered without problems</v>
          </cell>
        </row>
        <row r="26">
          <cell r="A26" t="str">
            <v>F04</v>
          </cell>
          <cell r="B26" t="str">
            <v>Explains service &amp; introduces service person</v>
          </cell>
        </row>
        <row r="27">
          <cell r="A27" t="str">
            <v>F05</v>
          </cell>
          <cell r="B27" t="str">
            <v>Post purchase contact</v>
          </cell>
        </row>
      </sheetData>
      <sheetData sheetId="1" refreshError="1">
        <row r="1">
          <cell r="B1" t="str">
            <v>Mission</v>
          </cell>
        </row>
        <row r="6">
          <cell r="B6" t="str">
            <v>2003 TVS Motor CSS</v>
          </cell>
        </row>
        <row r="7">
          <cell r="B7" t="str">
            <v>Overall</v>
          </cell>
          <cell r="C7" t="str">
            <v>Sales</v>
          </cell>
        </row>
      </sheetData>
      <sheetData sheetId="2" refreshError="1">
        <row r="2">
          <cell r="A2" t="str">
            <v>Moped</v>
          </cell>
          <cell r="B2" t="str">
            <v>VehicleType</v>
          </cell>
          <cell r="C2" t="str">
            <v>VehicleType</v>
          </cell>
          <cell r="D2" t="str">
            <v>VehicleType1</v>
          </cell>
          <cell r="E2" t="str">
            <v>VehicleType1</v>
          </cell>
          <cell r="F2" t="str">
            <v>Moped</v>
          </cell>
          <cell r="G2" t="str">
            <v>Moped</v>
          </cell>
        </row>
        <row r="3">
          <cell r="A3" t="str">
            <v>Motor Cycle</v>
          </cell>
          <cell r="B3" t="str">
            <v>VehicleType</v>
          </cell>
          <cell r="C3" t="str">
            <v>VehicleType</v>
          </cell>
          <cell r="D3" t="str">
            <v>VehicleType2</v>
          </cell>
          <cell r="E3" t="str">
            <v>VehicleType2</v>
          </cell>
          <cell r="F3" t="str">
            <v>Motor Cycle</v>
          </cell>
          <cell r="G3" t="str">
            <v>Motor Cycle</v>
          </cell>
        </row>
        <row r="4">
          <cell r="A4" t="str">
            <v>Scooterette</v>
          </cell>
          <cell r="B4" t="str">
            <v>VehicleType</v>
          </cell>
          <cell r="C4" t="str">
            <v>VehicleType</v>
          </cell>
          <cell r="D4" t="str">
            <v>VehicleType3</v>
          </cell>
          <cell r="E4" t="str">
            <v>VehicleType3</v>
          </cell>
          <cell r="F4" t="str">
            <v>Scooterette</v>
          </cell>
          <cell r="G4" t="str">
            <v>Scooterette</v>
          </cell>
        </row>
        <row r="5">
          <cell r="A5" t="str">
            <v>North &amp; East</v>
          </cell>
          <cell r="B5" t="str">
            <v>Zone</v>
          </cell>
          <cell r="C5" t="str">
            <v>Zone</v>
          </cell>
          <cell r="D5" t="str">
            <v>Zone1</v>
          </cell>
          <cell r="E5" t="str">
            <v>Zone1</v>
          </cell>
          <cell r="F5" t="str">
            <v>North &amp; East</v>
          </cell>
          <cell r="G5" t="str">
            <v>North &amp; East</v>
          </cell>
        </row>
        <row r="6">
          <cell r="A6" t="str">
            <v>South</v>
          </cell>
          <cell r="B6" t="str">
            <v>Zone</v>
          </cell>
          <cell r="C6" t="str">
            <v>Zone</v>
          </cell>
          <cell r="D6" t="str">
            <v>Zone2</v>
          </cell>
          <cell r="E6" t="str">
            <v>Zone2</v>
          </cell>
          <cell r="F6" t="str">
            <v>South</v>
          </cell>
          <cell r="G6" t="str">
            <v>South</v>
          </cell>
        </row>
        <row r="7">
          <cell r="A7" t="str">
            <v>West</v>
          </cell>
          <cell r="B7" t="str">
            <v>Zone</v>
          </cell>
          <cell r="C7" t="str">
            <v>Zone</v>
          </cell>
          <cell r="D7" t="str">
            <v>Zone3</v>
          </cell>
          <cell r="E7" t="str">
            <v>Zone3</v>
          </cell>
          <cell r="F7" t="str">
            <v>West</v>
          </cell>
          <cell r="G7" t="str">
            <v>West</v>
          </cell>
        </row>
        <row r="8">
          <cell r="A8" t="str">
            <v>DealerBihar</v>
          </cell>
          <cell r="B8" t="str">
            <v>DealerZone</v>
          </cell>
          <cell r="C8" t="str">
            <v>DealerZone</v>
          </cell>
          <cell r="D8" t="str">
            <v>DealerZone1</v>
          </cell>
          <cell r="E8" t="str">
            <v>DealerZone1</v>
          </cell>
          <cell r="F8" t="str">
            <v>Bihar</v>
          </cell>
          <cell r="G8" t="str">
            <v>Bihar</v>
          </cell>
        </row>
        <row r="9">
          <cell r="A9" t="str">
            <v>DealerDelhi (U.T.-Nct)</v>
          </cell>
          <cell r="B9" t="str">
            <v>DealerZone</v>
          </cell>
          <cell r="C9" t="str">
            <v>DealerZone</v>
          </cell>
          <cell r="D9" t="str">
            <v>DealerZone2</v>
          </cell>
          <cell r="E9" t="str">
            <v>DealerZone2</v>
          </cell>
          <cell r="F9" t="str">
            <v>Delhi (U.T.-Nct)</v>
          </cell>
          <cell r="G9" t="str">
            <v>Delhi (U.T.-Nct)</v>
          </cell>
        </row>
        <row r="10">
          <cell r="A10" t="str">
            <v>DealerHaryana</v>
          </cell>
          <cell r="B10" t="str">
            <v>DealerZone</v>
          </cell>
          <cell r="C10" t="str">
            <v>DealerZone</v>
          </cell>
          <cell r="D10" t="str">
            <v>DealerZone3</v>
          </cell>
          <cell r="E10" t="str">
            <v>DealerZone3</v>
          </cell>
          <cell r="F10" t="str">
            <v>Haryana</v>
          </cell>
          <cell r="G10" t="str">
            <v>Haryana</v>
          </cell>
        </row>
        <row r="11">
          <cell r="A11" t="str">
            <v>DealerOrissa</v>
          </cell>
          <cell r="B11" t="str">
            <v>DealerZone</v>
          </cell>
          <cell r="C11" t="str">
            <v>DealerZone</v>
          </cell>
          <cell r="D11" t="str">
            <v>DealerZone4</v>
          </cell>
          <cell r="E11" t="str">
            <v>DealerZone4</v>
          </cell>
          <cell r="F11" t="str">
            <v>Orissa</v>
          </cell>
          <cell r="G11" t="str">
            <v>Orissa</v>
          </cell>
        </row>
        <row r="12">
          <cell r="A12" t="str">
            <v>DealerPunjab</v>
          </cell>
          <cell r="B12" t="str">
            <v>DealerZone</v>
          </cell>
          <cell r="C12" t="str">
            <v>DealerZone</v>
          </cell>
          <cell r="D12" t="str">
            <v>DealerZone5</v>
          </cell>
          <cell r="E12" t="str">
            <v>DealerZone5</v>
          </cell>
          <cell r="F12" t="str">
            <v>Punjab</v>
          </cell>
          <cell r="G12" t="str">
            <v>Punjab</v>
          </cell>
        </row>
        <row r="13">
          <cell r="A13" t="str">
            <v>DealerUttar Pradesh</v>
          </cell>
          <cell r="B13" t="str">
            <v>DealerZone</v>
          </cell>
          <cell r="C13" t="str">
            <v>DealerZone</v>
          </cell>
          <cell r="D13" t="str">
            <v>DealerZone6</v>
          </cell>
          <cell r="E13" t="str">
            <v>DealerZone6</v>
          </cell>
          <cell r="F13" t="str">
            <v>Uttar Pradesh</v>
          </cell>
          <cell r="G13" t="str">
            <v>Uttar Pradesh</v>
          </cell>
        </row>
        <row r="14">
          <cell r="A14" t="str">
            <v>DealerWest Bengal</v>
          </cell>
          <cell r="B14" t="str">
            <v>DealerZone</v>
          </cell>
          <cell r="C14" t="str">
            <v>DealerZone</v>
          </cell>
          <cell r="D14" t="str">
            <v>DealerZone7</v>
          </cell>
          <cell r="E14" t="str">
            <v>DealerZone7</v>
          </cell>
          <cell r="F14" t="str">
            <v>West Bengal</v>
          </cell>
          <cell r="G14" t="str">
            <v>West Bengal</v>
          </cell>
        </row>
        <row r="15">
          <cell r="A15" t="str">
            <v>DealerNepal</v>
          </cell>
          <cell r="B15" t="str">
            <v>DealerZone</v>
          </cell>
          <cell r="C15" t="str">
            <v>DealerZone</v>
          </cell>
          <cell r="D15" t="str">
            <v>DealerZone8</v>
          </cell>
          <cell r="E15" t="str">
            <v>DealerZone8</v>
          </cell>
          <cell r="F15" t="str">
            <v>Nepal</v>
          </cell>
          <cell r="G15" t="str">
            <v>Nepal</v>
          </cell>
        </row>
        <row r="16">
          <cell r="A16" t="str">
            <v>DealerNorth East</v>
          </cell>
          <cell r="B16" t="str">
            <v>DealerZone</v>
          </cell>
          <cell r="C16" t="str">
            <v>DealerZone</v>
          </cell>
          <cell r="D16" t="str">
            <v>DealerZone9</v>
          </cell>
          <cell r="E16" t="str">
            <v>DealerZone9</v>
          </cell>
          <cell r="F16" t="str">
            <v>North East</v>
          </cell>
          <cell r="G16" t="str">
            <v>North East</v>
          </cell>
        </row>
        <row r="17">
          <cell r="A17" t="str">
            <v>DealerAndhra Pradesh</v>
          </cell>
          <cell r="B17" t="str">
            <v>DealerZone</v>
          </cell>
          <cell r="C17" t="str">
            <v>DealerZone</v>
          </cell>
          <cell r="D17" t="str">
            <v>DealerZone10</v>
          </cell>
          <cell r="E17" t="str">
            <v>DealerZone10</v>
          </cell>
          <cell r="F17" t="str">
            <v>Andhra Pradesh</v>
          </cell>
          <cell r="G17" t="str">
            <v>Andhra Pradesh</v>
          </cell>
        </row>
        <row r="18">
          <cell r="A18" t="str">
            <v>DealerKarnataka</v>
          </cell>
          <cell r="B18" t="str">
            <v>DealerZone</v>
          </cell>
          <cell r="C18" t="str">
            <v>DealerZone</v>
          </cell>
          <cell r="D18" t="str">
            <v>DealerZone11</v>
          </cell>
          <cell r="E18" t="str">
            <v>DealerZone11</v>
          </cell>
          <cell r="F18" t="str">
            <v>Karnataka</v>
          </cell>
          <cell r="G18" t="str">
            <v>Karnataka</v>
          </cell>
        </row>
        <row r="19">
          <cell r="A19" t="str">
            <v>DealerKerala</v>
          </cell>
          <cell r="B19" t="str">
            <v>DealerZone</v>
          </cell>
          <cell r="C19" t="str">
            <v>DealerZone</v>
          </cell>
          <cell r="D19" t="str">
            <v>DealerZone12</v>
          </cell>
          <cell r="E19" t="str">
            <v>DealerZone12</v>
          </cell>
          <cell r="F19" t="str">
            <v>Kerala</v>
          </cell>
          <cell r="G19" t="str">
            <v>Kerala</v>
          </cell>
        </row>
        <row r="20">
          <cell r="A20" t="str">
            <v>DealerTamil Nadu</v>
          </cell>
          <cell r="B20" t="str">
            <v>DealerZone</v>
          </cell>
          <cell r="C20" t="str">
            <v>DealerZone</v>
          </cell>
          <cell r="D20" t="str">
            <v>DealerZone13</v>
          </cell>
          <cell r="E20" t="str">
            <v>DealerZone13</v>
          </cell>
          <cell r="F20" t="str">
            <v>Tamil Nadu</v>
          </cell>
          <cell r="G20" t="str">
            <v>Tamil Nadu</v>
          </cell>
        </row>
        <row r="21">
          <cell r="A21" t="str">
            <v>DealerGujarat</v>
          </cell>
          <cell r="B21" t="str">
            <v>DealerZone</v>
          </cell>
          <cell r="C21" t="str">
            <v>DealerZone</v>
          </cell>
          <cell r="D21" t="str">
            <v>DealerZone14</v>
          </cell>
          <cell r="E21" t="str">
            <v>DealerZone14</v>
          </cell>
          <cell r="F21" t="str">
            <v>Gujarat</v>
          </cell>
          <cell r="G21" t="str">
            <v>Gujarat</v>
          </cell>
        </row>
        <row r="22">
          <cell r="A22" t="str">
            <v>DealerChattisgarh</v>
          </cell>
          <cell r="B22" t="str">
            <v>DealerZone</v>
          </cell>
          <cell r="C22" t="str">
            <v>DealerZone</v>
          </cell>
          <cell r="D22" t="str">
            <v>DealerZone15</v>
          </cell>
          <cell r="E22" t="str">
            <v>DealerZone15</v>
          </cell>
          <cell r="F22" t="str">
            <v>Chattisgarh</v>
          </cell>
          <cell r="G22" t="str">
            <v>Chattisgarh</v>
          </cell>
        </row>
        <row r="23">
          <cell r="A23" t="str">
            <v>DealerMadhya Pradesh</v>
          </cell>
          <cell r="B23" t="str">
            <v>DealerZone</v>
          </cell>
          <cell r="C23" t="str">
            <v>DealerZone</v>
          </cell>
          <cell r="D23" t="str">
            <v>DealerZone16</v>
          </cell>
          <cell r="E23" t="str">
            <v>DealerZone16</v>
          </cell>
          <cell r="F23" t="str">
            <v>Madhya Pradesh</v>
          </cell>
          <cell r="G23" t="str">
            <v>Madhya Pradesh</v>
          </cell>
        </row>
        <row r="24">
          <cell r="A24" t="str">
            <v>DealerMaharashtra</v>
          </cell>
          <cell r="B24" t="str">
            <v>DealerZone</v>
          </cell>
          <cell r="C24" t="str">
            <v>DealerZone</v>
          </cell>
          <cell r="D24" t="str">
            <v>DealerZone17</v>
          </cell>
          <cell r="E24" t="str">
            <v>DealerZone17</v>
          </cell>
          <cell r="F24" t="str">
            <v>Maharashtra</v>
          </cell>
          <cell r="G24" t="str">
            <v>Maharashtra</v>
          </cell>
        </row>
        <row r="25">
          <cell r="A25" t="str">
            <v>DealerRajasthan</v>
          </cell>
          <cell r="B25" t="str">
            <v>DealerZone</v>
          </cell>
          <cell r="C25" t="str">
            <v>DealerZone</v>
          </cell>
          <cell r="D25" t="str">
            <v>DealerZone18</v>
          </cell>
          <cell r="E25" t="str">
            <v>DealerZone18</v>
          </cell>
          <cell r="F25" t="str">
            <v>Rajasthan</v>
          </cell>
          <cell r="G25" t="str">
            <v>Rajasthan</v>
          </cell>
        </row>
        <row r="26">
          <cell r="A26" t="str">
            <v>Ashok Enerprises-Bhagalpur</v>
          </cell>
          <cell r="B26" t="str">
            <v>Dealer</v>
          </cell>
          <cell r="C26" t="str">
            <v>DealerBihar</v>
          </cell>
          <cell r="D26" t="str">
            <v>Dealer1</v>
          </cell>
          <cell r="E26" t="str">
            <v>DealerBihar1</v>
          </cell>
          <cell r="F26" t="str">
            <v>Ashok Enerprises-Bhagalpur</v>
          </cell>
          <cell r="G26" t="str">
            <v>Ashok Enerprises-Bhagalpur</v>
          </cell>
          <cell r="H26" t="str">
            <v>North &amp; East</v>
          </cell>
        </row>
        <row r="27">
          <cell r="A27" t="str">
            <v>Auto Agencies-Bettaiah</v>
          </cell>
          <cell r="B27" t="str">
            <v>Dealer</v>
          </cell>
          <cell r="C27" t="str">
            <v>DealerBihar</v>
          </cell>
          <cell r="D27" t="str">
            <v>Dealer2</v>
          </cell>
          <cell r="E27" t="str">
            <v>DealerBihar2</v>
          </cell>
          <cell r="F27" t="str">
            <v>Auto Agencies-Bettaiah</v>
          </cell>
          <cell r="G27" t="str">
            <v>Auto Agencies-Bettaiah</v>
          </cell>
          <cell r="H27" t="str">
            <v>North &amp; East</v>
          </cell>
        </row>
        <row r="28">
          <cell r="A28" t="str">
            <v>Bikes India-Dumka</v>
          </cell>
          <cell r="B28" t="str">
            <v>Dealer</v>
          </cell>
          <cell r="C28" t="str">
            <v>DealerBihar</v>
          </cell>
          <cell r="D28" t="str">
            <v>Dealer3</v>
          </cell>
          <cell r="E28" t="str">
            <v>DealerBihar3</v>
          </cell>
          <cell r="F28" t="str">
            <v>Bikes India-Dumka</v>
          </cell>
          <cell r="G28" t="str">
            <v>Bikes India-Dumka</v>
          </cell>
          <cell r="H28" t="str">
            <v>North &amp; East</v>
          </cell>
        </row>
        <row r="29">
          <cell r="A29" t="str">
            <v>Deni Automobiles-Patna</v>
          </cell>
          <cell r="B29" t="str">
            <v>Dealer</v>
          </cell>
          <cell r="C29" t="str">
            <v>DealerBihar</v>
          </cell>
          <cell r="D29" t="str">
            <v>Dealer4</v>
          </cell>
          <cell r="E29" t="str">
            <v>DealerBihar4</v>
          </cell>
          <cell r="F29" t="str">
            <v>Deni Automobiles-Patna</v>
          </cell>
          <cell r="G29" t="str">
            <v>Deni Automobiles-Patna</v>
          </cell>
          <cell r="H29" t="str">
            <v>North &amp; East</v>
          </cell>
        </row>
        <row r="30">
          <cell r="A30" t="str">
            <v>Gatisheel Auto Agency-Gumla</v>
          </cell>
          <cell r="B30" t="str">
            <v>Dealer</v>
          </cell>
          <cell r="C30" t="str">
            <v>DealerBihar</v>
          </cell>
          <cell r="D30" t="str">
            <v>Dealer5</v>
          </cell>
          <cell r="E30" t="str">
            <v>DealerBihar5</v>
          </cell>
          <cell r="F30" t="str">
            <v>Gatisheel Auto Agency-Gumla</v>
          </cell>
          <cell r="G30" t="str">
            <v>Gatisheel Auto Agency-Gumla</v>
          </cell>
          <cell r="H30" t="str">
            <v>North &amp; East</v>
          </cell>
        </row>
        <row r="31">
          <cell r="A31" t="str">
            <v>Hindustan Auto Agency-Purnea</v>
          </cell>
          <cell r="B31" t="str">
            <v>Dealer</v>
          </cell>
          <cell r="C31" t="str">
            <v>DealerBihar</v>
          </cell>
          <cell r="D31" t="str">
            <v>Dealer6</v>
          </cell>
          <cell r="E31" t="str">
            <v>DealerBihar6</v>
          </cell>
          <cell r="F31" t="str">
            <v>Hindustan Auto Agency-Purnea</v>
          </cell>
          <cell r="G31" t="str">
            <v>Hindustan Auto Agency-Purnea</v>
          </cell>
          <cell r="H31" t="str">
            <v>North &amp; East</v>
          </cell>
        </row>
        <row r="32">
          <cell r="A32" t="str">
            <v>Hindustan Enterprises-Gaya</v>
          </cell>
          <cell r="B32" t="str">
            <v>Dealer</v>
          </cell>
          <cell r="C32" t="str">
            <v>DealerBihar</v>
          </cell>
          <cell r="D32" t="str">
            <v>Dealer7</v>
          </cell>
          <cell r="E32" t="str">
            <v>DealerBihar7</v>
          </cell>
          <cell r="F32" t="str">
            <v>Hindustan Enterprises-Gaya</v>
          </cell>
          <cell r="G32" t="str">
            <v>Hindustan Enterprises-Gaya</v>
          </cell>
          <cell r="H32" t="str">
            <v>North &amp; East</v>
          </cell>
        </row>
        <row r="33">
          <cell r="A33" t="str">
            <v>Khetan Automobiles-Hazaribagh</v>
          </cell>
          <cell r="B33" t="str">
            <v>Dealer</v>
          </cell>
          <cell r="C33" t="str">
            <v>DealerBihar</v>
          </cell>
          <cell r="D33" t="str">
            <v>Dealer8</v>
          </cell>
          <cell r="E33" t="str">
            <v>DealerBihar8</v>
          </cell>
          <cell r="F33" t="str">
            <v>Khetan Automobiles-Hazaribagh</v>
          </cell>
          <cell r="G33" t="str">
            <v>Khetan Automobiles-Hazaribagh</v>
          </cell>
          <cell r="H33" t="str">
            <v>North &amp; East</v>
          </cell>
        </row>
        <row r="34">
          <cell r="A34" t="str">
            <v>Mayank Automobiles-Muzafarpur</v>
          </cell>
          <cell r="B34" t="str">
            <v>Dealer</v>
          </cell>
          <cell r="C34" t="str">
            <v>DealerBihar</v>
          </cell>
          <cell r="D34" t="str">
            <v>Dealer9</v>
          </cell>
          <cell r="E34" t="str">
            <v>DealerBihar9</v>
          </cell>
          <cell r="F34" t="str">
            <v>Mayank Automobiles-Muzafarpur</v>
          </cell>
          <cell r="G34" t="str">
            <v>Mayank Automobiles-Muzafarpur</v>
          </cell>
          <cell r="H34" t="str">
            <v>North &amp; East</v>
          </cell>
        </row>
        <row r="35">
          <cell r="A35" t="str">
            <v>Narbheram Motors (P) Ltd-Jamshedpur</v>
          </cell>
          <cell r="B35" t="str">
            <v>Dealer</v>
          </cell>
          <cell r="C35" t="str">
            <v>DealerBihar</v>
          </cell>
          <cell r="D35" t="str">
            <v>Dealer10</v>
          </cell>
          <cell r="E35" t="str">
            <v>DealerBihar10</v>
          </cell>
          <cell r="F35" t="str">
            <v>Narbheram Motors (P) Ltd-Jamshedpur</v>
          </cell>
          <cell r="G35" t="str">
            <v>Narbheram Motors (P) Ltd-Jamshedpur</v>
          </cell>
          <cell r="H35" t="str">
            <v>North &amp; East</v>
          </cell>
        </row>
        <row r="36">
          <cell r="A36" t="str">
            <v>New Auto Point-Dhanbad</v>
          </cell>
          <cell r="B36" t="str">
            <v>Dealer</v>
          </cell>
          <cell r="C36" t="str">
            <v>DealerBihar</v>
          </cell>
          <cell r="D36" t="str">
            <v>Dealer11</v>
          </cell>
          <cell r="E36" t="str">
            <v>DealerBihar11</v>
          </cell>
          <cell r="F36" t="str">
            <v>New Auto Point-Dhanbad</v>
          </cell>
          <cell r="G36" t="str">
            <v>New Auto Point-Dhanbad</v>
          </cell>
          <cell r="H36" t="str">
            <v>North &amp; East</v>
          </cell>
        </row>
        <row r="37">
          <cell r="A37" t="str">
            <v>New Jaishankar &amp; Company-Sasaram</v>
          </cell>
          <cell r="B37" t="str">
            <v>Dealer</v>
          </cell>
          <cell r="C37" t="str">
            <v>DealerBihar</v>
          </cell>
          <cell r="D37" t="str">
            <v>Dealer12</v>
          </cell>
          <cell r="E37" t="str">
            <v>DealerBihar12</v>
          </cell>
          <cell r="F37" t="str">
            <v>New Jaishankar &amp; Company-Sasaram</v>
          </cell>
          <cell r="G37" t="str">
            <v>New Jaishankar &amp; Company-Sasaram</v>
          </cell>
          <cell r="H37" t="str">
            <v>North &amp; East</v>
          </cell>
        </row>
        <row r="38">
          <cell r="A38" t="str">
            <v>Parvathy Agency-Siwan</v>
          </cell>
          <cell r="B38" t="str">
            <v>Dealer</v>
          </cell>
          <cell r="C38" t="str">
            <v>DealerBihar</v>
          </cell>
          <cell r="D38" t="str">
            <v>Dealer13</v>
          </cell>
          <cell r="E38" t="str">
            <v>DealerBihar13</v>
          </cell>
          <cell r="F38" t="str">
            <v>Parvathy Agency-Siwan</v>
          </cell>
          <cell r="G38" t="str">
            <v>Parvathy Agency-Siwan</v>
          </cell>
          <cell r="H38" t="str">
            <v>North &amp; East</v>
          </cell>
        </row>
        <row r="39">
          <cell r="A39" t="str">
            <v>Pratima Traders-Begusarai</v>
          </cell>
          <cell r="B39" t="str">
            <v>Dealer</v>
          </cell>
          <cell r="C39" t="str">
            <v>DealerBihar</v>
          </cell>
          <cell r="D39" t="str">
            <v>Dealer14</v>
          </cell>
          <cell r="E39" t="str">
            <v>DealerBihar14</v>
          </cell>
          <cell r="F39" t="str">
            <v>Pratima Traders-Begusarai</v>
          </cell>
          <cell r="G39" t="str">
            <v>Pratima Traders-Begusarai</v>
          </cell>
          <cell r="H39" t="str">
            <v>North &amp; East</v>
          </cell>
        </row>
        <row r="40">
          <cell r="A40" t="str">
            <v>Sabita Auto Agencies-Samastipur</v>
          </cell>
          <cell r="B40" t="str">
            <v>Dealer</v>
          </cell>
          <cell r="C40" t="str">
            <v>DealerBihar</v>
          </cell>
          <cell r="D40" t="str">
            <v>Dealer15</v>
          </cell>
          <cell r="E40" t="str">
            <v>DealerBihar15</v>
          </cell>
          <cell r="F40" t="str">
            <v>Sabita Auto Agencies-Samastipur</v>
          </cell>
          <cell r="G40" t="str">
            <v>Sabita Auto Agencies-Samastipur</v>
          </cell>
          <cell r="H40" t="str">
            <v>North &amp; East</v>
          </cell>
        </row>
        <row r="41">
          <cell r="A41" t="str">
            <v>Sharda Automobiles-Daltonganj</v>
          </cell>
          <cell r="B41" t="str">
            <v>Dealer</v>
          </cell>
          <cell r="C41" t="str">
            <v>DealerBihar</v>
          </cell>
          <cell r="D41" t="str">
            <v>Dealer16</v>
          </cell>
          <cell r="E41" t="str">
            <v>DealerBihar16</v>
          </cell>
          <cell r="F41" t="str">
            <v>Sharda Automobiles-Daltonganj</v>
          </cell>
          <cell r="G41" t="str">
            <v>Sharda Automobiles-Daltonganj</v>
          </cell>
          <cell r="H41" t="str">
            <v>North &amp; East</v>
          </cell>
        </row>
        <row r="42">
          <cell r="A42" t="str">
            <v>Sneha Automobiles-Motihari</v>
          </cell>
          <cell r="B42" t="str">
            <v>Dealer</v>
          </cell>
          <cell r="C42" t="str">
            <v>DealerBihar</v>
          </cell>
          <cell r="D42" t="str">
            <v>Dealer17</v>
          </cell>
          <cell r="E42" t="str">
            <v>DealerBihar17</v>
          </cell>
          <cell r="F42" t="str">
            <v>Sneha Automobiles-Motihari</v>
          </cell>
          <cell r="G42" t="str">
            <v>Sneha Automobiles-Motihari</v>
          </cell>
          <cell r="H42" t="str">
            <v>North &amp; East</v>
          </cell>
        </row>
        <row r="43">
          <cell r="A43" t="str">
            <v>Subhash Auto-Lohardaga</v>
          </cell>
          <cell r="B43" t="str">
            <v>Dealer</v>
          </cell>
          <cell r="C43" t="str">
            <v>DealerBihar</v>
          </cell>
          <cell r="D43" t="str">
            <v>Dealer18</v>
          </cell>
          <cell r="E43" t="str">
            <v>DealerBihar18</v>
          </cell>
          <cell r="F43" t="str">
            <v>Subhash Auto-Lohardaga</v>
          </cell>
          <cell r="G43" t="str">
            <v>Subhash Auto-Lohardaga</v>
          </cell>
          <cell r="H43" t="str">
            <v>North &amp; East</v>
          </cell>
        </row>
        <row r="44">
          <cell r="A44" t="str">
            <v>Swastik Auto-Ranchi</v>
          </cell>
          <cell r="B44" t="str">
            <v>Dealer</v>
          </cell>
          <cell r="C44" t="str">
            <v>DealerBihar</v>
          </cell>
          <cell r="D44" t="str">
            <v>Dealer19</v>
          </cell>
          <cell r="E44" t="str">
            <v>DealerBihar19</v>
          </cell>
          <cell r="F44" t="str">
            <v>Swastik Auto-Ranchi</v>
          </cell>
          <cell r="G44" t="str">
            <v>Swastik Auto-Ranchi</v>
          </cell>
          <cell r="H44" t="str">
            <v>North &amp; East</v>
          </cell>
        </row>
        <row r="45">
          <cell r="A45" t="str">
            <v>Wadhwani Auto-Darbhanga</v>
          </cell>
          <cell r="B45" t="str">
            <v>Dealer</v>
          </cell>
          <cell r="C45" t="str">
            <v>DealerBihar</v>
          </cell>
          <cell r="D45" t="str">
            <v>Dealer20</v>
          </cell>
          <cell r="E45" t="str">
            <v>DealerBihar20</v>
          </cell>
          <cell r="F45" t="str">
            <v>Wadhwani Auto-Darbhanga</v>
          </cell>
          <cell r="G45" t="str">
            <v>Wadhwani Auto-Darbhanga</v>
          </cell>
          <cell r="H45" t="str">
            <v>North &amp; East</v>
          </cell>
        </row>
        <row r="46">
          <cell r="A46" t="str">
            <v>Himgiri Sales Pvt.Ltd-New Delhi</v>
          </cell>
          <cell r="B46" t="str">
            <v>Dealer</v>
          </cell>
          <cell r="C46" t="str">
            <v>DealerDelhi (U.T.-Nct)</v>
          </cell>
          <cell r="D46" t="str">
            <v>Dealer21</v>
          </cell>
          <cell r="E46" t="str">
            <v>DealerDelhi (U.T.-Nct)1</v>
          </cell>
          <cell r="F46" t="str">
            <v>Himgiri Sales Pvt.Ltd-New Delhi</v>
          </cell>
          <cell r="G46" t="str">
            <v>Himgiri Sales Pvt.Ltd-New Delhi</v>
          </cell>
          <cell r="H46" t="str">
            <v>North &amp; East</v>
          </cell>
        </row>
        <row r="47">
          <cell r="A47" t="str">
            <v>M C R Enerprises-New Delhi</v>
          </cell>
          <cell r="B47" t="str">
            <v>Dealer</v>
          </cell>
          <cell r="C47" t="str">
            <v>DealerDelhi (U.T.-Nct)</v>
          </cell>
          <cell r="D47" t="str">
            <v>Dealer22</v>
          </cell>
          <cell r="E47" t="str">
            <v>DealerDelhi (U.T.-Nct)2</v>
          </cell>
          <cell r="F47" t="str">
            <v>M C R Enerprises-New Delhi</v>
          </cell>
          <cell r="G47" t="str">
            <v>M C R Enerprises-New Delhi</v>
          </cell>
          <cell r="H47" t="str">
            <v>North &amp; East</v>
          </cell>
        </row>
        <row r="48">
          <cell r="A48" t="str">
            <v>Padam Motors Private Limited-New Delhi</v>
          </cell>
          <cell r="B48" t="str">
            <v>Dealer</v>
          </cell>
          <cell r="C48" t="str">
            <v>DealerDelhi (U.T.-Nct)</v>
          </cell>
          <cell r="D48" t="str">
            <v>Dealer23</v>
          </cell>
          <cell r="E48" t="str">
            <v>DealerDelhi (U.T.-Nct)3</v>
          </cell>
          <cell r="F48" t="str">
            <v>Padam Motors Private Limited-New Delhi</v>
          </cell>
          <cell r="G48" t="str">
            <v>Padam Motors Private Limited-New Delhi</v>
          </cell>
          <cell r="H48" t="str">
            <v>North &amp; East</v>
          </cell>
        </row>
        <row r="49">
          <cell r="A49" t="str">
            <v>S.K. Traders-New Delhi</v>
          </cell>
          <cell r="B49" t="str">
            <v>Dealer</v>
          </cell>
          <cell r="C49" t="str">
            <v>DealerDelhi (U.T.-Nct)</v>
          </cell>
          <cell r="D49" t="str">
            <v>Dealer24</v>
          </cell>
          <cell r="E49" t="str">
            <v>DealerDelhi (U.T.-Nct)4</v>
          </cell>
          <cell r="F49" t="str">
            <v>S.K. Traders-New Delhi</v>
          </cell>
          <cell r="G49" t="str">
            <v>S.K. Traders-New Delhi</v>
          </cell>
          <cell r="H49" t="str">
            <v>North &amp; East</v>
          </cell>
        </row>
        <row r="50">
          <cell r="A50" t="str">
            <v>Surya Automobiles-Delhi</v>
          </cell>
          <cell r="B50" t="str">
            <v>Dealer</v>
          </cell>
          <cell r="C50" t="str">
            <v>DealerDelhi (U.T.-Nct)</v>
          </cell>
          <cell r="D50" t="str">
            <v>Dealer25</v>
          </cell>
          <cell r="E50" t="str">
            <v>DealerDelhi (U.T.-Nct)5</v>
          </cell>
          <cell r="F50" t="str">
            <v>Surya Automobiles-Delhi</v>
          </cell>
          <cell r="G50" t="str">
            <v>Surya Automobiles-Delhi</v>
          </cell>
          <cell r="H50" t="str">
            <v>North &amp; East</v>
          </cell>
        </row>
        <row r="51">
          <cell r="A51" t="str">
            <v>Veera Auto Syndicate-New Delhi</v>
          </cell>
          <cell r="B51" t="str">
            <v>Dealer</v>
          </cell>
          <cell r="C51" t="str">
            <v>DealerDelhi (U.T.-Nct)</v>
          </cell>
          <cell r="D51" t="str">
            <v>Dealer26</v>
          </cell>
          <cell r="E51" t="str">
            <v>DealerDelhi (U.T.-Nct)6</v>
          </cell>
          <cell r="F51" t="str">
            <v>Veera Auto Syndicate-New Delhi</v>
          </cell>
          <cell r="G51" t="str">
            <v>Veera Auto Syndicate-New Delhi</v>
          </cell>
          <cell r="H51" t="str">
            <v>North &amp; East</v>
          </cell>
        </row>
        <row r="52">
          <cell r="A52" t="str">
            <v>Arora Auto Centre-Rewari</v>
          </cell>
          <cell r="B52" t="str">
            <v>Dealer</v>
          </cell>
          <cell r="C52" t="str">
            <v>DealerHaryana</v>
          </cell>
          <cell r="D52" t="str">
            <v>Dealer27</v>
          </cell>
          <cell r="E52" t="str">
            <v>DealerHaryana1</v>
          </cell>
          <cell r="F52" t="str">
            <v>Arora Auto Centre-Rewari</v>
          </cell>
          <cell r="G52" t="str">
            <v>Arora Auto Centre-Rewari</v>
          </cell>
          <cell r="H52" t="str">
            <v>North &amp; East</v>
          </cell>
        </row>
        <row r="53">
          <cell r="A53" t="str">
            <v>Arya Motors-Bhiwani</v>
          </cell>
          <cell r="B53" t="str">
            <v>Dealer</v>
          </cell>
          <cell r="C53" t="str">
            <v>DealerHaryana</v>
          </cell>
          <cell r="D53" t="str">
            <v>Dealer28</v>
          </cell>
          <cell r="E53" t="str">
            <v>DealerHaryana2</v>
          </cell>
          <cell r="F53" t="str">
            <v>Arya Motors-Bhiwani</v>
          </cell>
          <cell r="G53" t="str">
            <v>Arya Motors-Bhiwani</v>
          </cell>
          <cell r="H53" t="str">
            <v>North &amp; East</v>
          </cell>
        </row>
        <row r="54">
          <cell r="A54" t="str">
            <v>Bansal Autos-Sirsa</v>
          </cell>
          <cell r="B54" t="str">
            <v>Dealer</v>
          </cell>
          <cell r="C54" t="str">
            <v>DealerHaryana</v>
          </cell>
          <cell r="D54" t="str">
            <v>Dealer29</v>
          </cell>
          <cell r="E54" t="str">
            <v>DealerHaryana3</v>
          </cell>
          <cell r="F54" t="str">
            <v>Bansal Autos-Sirsa</v>
          </cell>
          <cell r="G54" t="str">
            <v>Bansal Autos-Sirsa</v>
          </cell>
          <cell r="H54" t="str">
            <v>North &amp; East</v>
          </cell>
        </row>
        <row r="55">
          <cell r="A55" t="str">
            <v>Bharath Tractors-Kaithal</v>
          </cell>
          <cell r="B55" t="str">
            <v>Dealer</v>
          </cell>
          <cell r="C55" t="str">
            <v>DealerHaryana</v>
          </cell>
          <cell r="D55" t="str">
            <v>Dealer30</v>
          </cell>
          <cell r="E55" t="str">
            <v>DealerHaryana4</v>
          </cell>
          <cell r="F55" t="str">
            <v>Bharath Tractors-Kaithal</v>
          </cell>
          <cell r="G55" t="str">
            <v>Bharath Tractors-Kaithal</v>
          </cell>
          <cell r="H55" t="str">
            <v>North &amp; East</v>
          </cell>
        </row>
        <row r="56">
          <cell r="A56" t="str">
            <v>Green Autos-Karnal</v>
          </cell>
          <cell r="B56" t="str">
            <v>Dealer</v>
          </cell>
          <cell r="C56" t="str">
            <v>DealerHaryana</v>
          </cell>
          <cell r="D56" t="str">
            <v>Dealer31</v>
          </cell>
          <cell r="E56" t="str">
            <v>DealerHaryana5</v>
          </cell>
          <cell r="F56" t="str">
            <v>Green Autos-Karnal</v>
          </cell>
          <cell r="G56" t="str">
            <v>Green Autos-Karnal</v>
          </cell>
          <cell r="H56" t="str">
            <v>North &amp; East</v>
          </cell>
        </row>
        <row r="57">
          <cell r="A57" t="str">
            <v>Harsh Motors-Yamunanagar</v>
          </cell>
          <cell r="B57" t="str">
            <v>Dealer</v>
          </cell>
          <cell r="C57" t="str">
            <v>DealerHaryana</v>
          </cell>
          <cell r="D57" t="str">
            <v>Dealer32</v>
          </cell>
          <cell r="E57" t="str">
            <v>DealerHaryana6</v>
          </cell>
          <cell r="F57" t="str">
            <v>Harsh Motors-Yamunanagar</v>
          </cell>
          <cell r="G57" t="str">
            <v>Harsh Motors-Yamunanagar</v>
          </cell>
          <cell r="H57" t="str">
            <v>North &amp; East</v>
          </cell>
        </row>
        <row r="58">
          <cell r="A58" t="str">
            <v>Khanna Motors-Ambala City</v>
          </cell>
          <cell r="B58" t="str">
            <v>Dealer</v>
          </cell>
          <cell r="C58" t="str">
            <v>DealerHaryana</v>
          </cell>
          <cell r="D58" t="str">
            <v>Dealer33</v>
          </cell>
          <cell r="E58" t="str">
            <v>DealerHaryana7</v>
          </cell>
          <cell r="F58" t="str">
            <v>Khanna Motors-Ambala City</v>
          </cell>
          <cell r="G58" t="str">
            <v>Khanna Motors-Ambala City</v>
          </cell>
          <cell r="H58" t="str">
            <v>North &amp; East</v>
          </cell>
        </row>
        <row r="59">
          <cell r="A59" t="str">
            <v>M M &amp; Company-Narnaul</v>
          </cell>
          <cell r="B59" t="str">
            <v>Dealer</v>
          </cell>
          <cell r="C59" t="str">
            <v>DealerHaryana</v>
          </cell>
          <cell r="D59" t="str">
            <v>Dealer34</v>
          </cell>
          <cell r="E59" t="str">
            <v>DealerHaryana8</v>
          </cell>
          <cell r="F59" t="str">
            <v>M M &amp; Company-Narnaul</v>
          </cell>
          <cell r="G59" t="str">
            <v>M M &amp; Company-Narnaul</v>
          </cell>
          <cell r="H59" t="str">
            <v>North &amp; East</v>
          </cell>
        </row>
        <row r="60">
          <cell r="A60" t="str">
            <v>S.K.Jain Motor Co.-Rohtak</v>
          </cell>
          <cell r="B60" t="str">
            <v>Dealer</v>
          </cell>
          <cell r="C60" t="str">
            <v>DealerHaryana</v>
          </cell>
          <cell r="D60" t="str">
            <v>Dealer35</v>
          </cell>
          <cell r="E60" t="str">
            <v>DealerHaryana9</v>
          </cell>
          <cell r="F60" t="str">
            <v>S.K.Jain Motor Co.-Rohtak</v>
          </cell>
          <cell r="G60" t="str">
            <v>S.K.Jain Motor Co.-Rohtak</v>
          </cell>
          <cell r="H60" t="str">
            <v>North &amp; East</v>
          </cell>
        </row>
        <row r="61">
          <cell r="A61" t="str">
            <v>Sunrise Wheels Pvt.Ltd-Sonepat</v>
          </cell>
          <cell r="B61" t="str">
            <v>Dealer</v>
          </cell>
          <cell r="C61" t="str">
            <v>DealerHaryana</v>
          </cell>
          <cell r="D61" t="str">
            <v>Dealer36</v>
          </cell>
          <cell r="E61" t="str">
            <v>DealerHaryana10</v>
          </cell>
          <cell r="F61" t="str">
            <v>Sunrise Wheels Pvt.Ltd-Sonepat</v>
          </cell>
          <cell r="G61" t="str">
            <v>Sunrise Wheels Pvt.Ltd-Sonepat</v>
          </cell>
          <cell r="H61" t="str">
            <v>North &amp; East</v>
          </cell>
        </row>
        <row r="62">
          <cell r="A62" t="str">
            <v>Supreme Traders-Panipat</v>
          </cell>
          <cell r="B62" t="str">
            <v>Dealer</v>
          </cell>
          <cell r="C62" t="str">
            <v>DealerHaryana</v>
          </cell>
          <cell r="D62" t="str">
            <v>Dealer37</v>
          </cell>
          <cell r="E62" t="str">
            <v>DealerHaryana11</v>
          </cell>
          <cell r="F62" t="str">
            <v>Supreme Traders-Panipat</v>
          </cell>
          <cell r="G62" t="str">
            <v>Supreme Traders-Panipat</v>
          </cell>
          <cell r="H62" t="str">
            <v>North &amp; East</v>
          </cell>
        </row>
        <row r="63">
          <cell r="A63" t="str">
            <v>Tayal Automobiles-Faridabad</v>
          </cell>
          <cell r="B63" t="str">
            <v>Dealer</v>
          </cell>
          <cell r="C63" t="str">
            <v>DealerHaryana</v>
          </cell>
          <cell r="D63" t="str">
            <v>Dealer38</v>
          </cell>
          <cell r="E63" t="str">
            <v>DealerHaryana12</v>
          </cell>
          <cell r="F63" t="str">
            <v>Tayal Automobiles-Faridabad</v>
          </cell>
          <cell r="G63" t="str">
            <v>Tayal Automobiles-Faridabad</v>
          </cell>
          <cell r="H63" t="str">
            <v>North &amp; East</v>
          </cell>
        </row>
        <row r="64">
          <cell r="A64" t="str">
            <v>Veer Autos-Hisar</v>
          </cell>
          <cell r="B64" t="str">
            <v>Dealer</v>
          </cell>
          <cell r="C64" t="str">
            <v>DealerHaryana</v>
          </cell>
          <cell r="D64" t="str">
            <v>Dealer39</v>
          </cell>
          <cell r="E64" t="str">
            <v>DealerHaryana13</v>
          </cell>
          <cell r="F64" t="str">
            <v>Veer Autos-Hisar</v>
          </cell>
          <cell r="G64" t="str">
            <v>Veer Autos-Hisar</v>
          </cell>
          <cell r="H64" t="str">
            <v>North &amp; East</v>
          </cell>
        </row>
        <row r="65">
          <cell r="A65" t="str">
            <v>Veer Brothers-Gurgaon</v>
          </cell>
          <cell r="B65" t="str">
            <v>Dealer</v>
          </cell>
          <cell r="C65" t="str">
            <v>DealerHaryana</v>
          </cell>
          <cell r="D65" t="str">
            <v>Dealer40</v>
          </cell>
          <cell r="E65" t="str">
            <v>DealerHaryana14</v>
          </cell>
          <cell r="F65" t="str">
            <v>Veer Brothers-Gurgaon</v>
          </cell>
          <cell r="G65" t="str">
            <v>Veer Brothers-Gurgaon</v>
          </cell>
          <cell r="H65" t="str">
            <v>North &amp; East</v>
          </cell>
        </row>
        <row r="66">
          <cell r="A66" t="str">
            <v>A I T Pvt.Ltd-Kathmandu</v>
          </cell>
          <cell r="B66" t="str">
            <v>Dealer</v>
          </cell>
          <cell r="C66" t="str">
            <v>DealerNepal</v>
          </cell>
          <cell r="D66" t="str">
            <v>Dealer41</v>
          </cell>
          <cell r="E66" t="str">
            <v>DealerNepal1</v>
          </cell>
          <cell r="F66" t="str">
            <v>A I T Pvt.Ltd-Kathmandu</v>
          </cell>
          <cell r="G66" t="str">
            <v>A I T Pvt.Ltd-Kathmandu</v>
          </cell>
          <cell r="H66" t="str">
            <v>North &amp; East</v>
          </cell>
        </row>
        <row r="67">
          <cell r="A67" t="str">
            <v>Mahabir Automobiles-Biratnagar</v>
          </cell>
          <cell r="B67" t="str">
            <v>Dealer</v>
          </cell>
          <cell r="C67" t="str">
            <v>DealerNepal</v>
          </cell>
          <cell r="D67" t="str">
            <v>Dealer42</v>
          </cell>
          <cell r="E67" t="str">
            <v>DealerNepal2</v>
          </cell>
          <cell r="F67" t="str">
            <v>Mahabir Automobiles-Biratnagar</v>
          </cell>
          <cell r="G67" t="str">
            <v>Mahabir Automobiles-Biratnagar</v>
          </cell>
          <cell r="H67" t="str">
            <v>North &amp; East</v>
          </cell>
        </row>
        <row r="68">
          <cell r="A68" t="str">
            <v>Advance Enterprises-Nagaon</v>
          </cell>
          <cell r="B68" t="str">
            <v>Dealer</v>
          </cell>
          <cell r="C68" t="str">
            <v>DealerNorth East</v>
          </cell>
          <cell r="D68" t="str">
            <v>Dealer43</v>
          </cell>
          <cell r="E68" t="str">
            <v>DealerNorth East1</v>
          </cell>
          <cell r="F68" t="str">
            <v>Advance Enterprises-Nagaon</v>
          </cell>
          <cell r="G68" t="str">
            <v>Advance Enterprises-Nagaon</v>
          </cell>
          <cell r="H68" t="str">
            <v>North &amp; East</v>
          </cell>
        </row>
        <row r="69">
          <cell r="A69" t="str">
            <v>Aquina Motors-Banderdewa</v>
          </cell>
          <cell r="B69" t="str">
            <v>Dealer</v>
          </cell>
          <cell r="C69" t="str">
            <v>DealerNorth East</v>
          </cell>
          <cell r="D69" t="str">
            <v>Dealer44</v>
          </cell>
          <cell r="E69" t="str">
            <v>DealerNorth East2</v>
          </cell>
          <cell r="F69" t="str">
            <v>Aquina Motors-Banderdewa</v>
          </cell>
          <cell r="G69" t="str">
            <v>Aquina Motors-Banderdewa</v>
          </cell>
          <cell r="H69" t="str">
            <v>North &amp; East</v>
          </cell>
        </row>
        <row r="70">
          <cell r="A70" t="str">
            <v>Asian Agencies-Jorhat</v>
          </cell>
          <cell r="B70" t="str">
            <v>Dealer</v>
          </cell>
          <cell r="C70" t="str">
            <v>DealerNorth East</v>
          </cell>
          <cell r="D70" t="str">
            <v>Dealer45</v>
          </cell>
          <cell r="E70" t="str">
            <v>DealerNorth East3</v>
          </cell>
          <cell r="F70" t="str">
            <v>Asian Agencies-Jorhat</v>
          </cell>
          <cell r="G70" t="str">
            <v>Asian Agencies-Jorhat</v>
          </cell>
          <cell r="H70" t="str">
            <v>North &amp; East</v>
          </cell>
        </row>
        <row r="71">
          <cell r="A71" t="str">
            <v>Assam Store (Scooter Division)-Tinsukia</v>
          </cell>
          <cell r="B71" t="str">
            <v>Dealer</v>
          </cell>
          <cell r="C71" t="str">
            <v>DealerNorth East</v>
          </cell>
          <cell r="D71" t="str">
            <v>Dealer46</v>
          </cell>
          <cell r="E71" t="str">
            <v>DealerNorth East4</v>
          </cell>
          <cell r="F71" t="str">
            <v>Assam Store (Scooter Division)-Tinsukia</v>
          </cell>
          <cell r="G71" t="str">
            <v>Assam Store (Scooter Division)-Tinsukia</v>
          </cell>
          <cell r="H71" t="str">
            <v>North &amp; East</v>
          </cell>
        </row>
        <row r="72">
          <cell r="A72" t="str">
            <v>Auto Hi-Tech Distributors-Tezpur</v>
          </cell>
          <cell r="B72" t="str">
            <v>Dealer</v>
          </cell>
          <cell r="C72" t="str">
            <v>DealerNorth East</v>
          </cell>
          <cell r="D72" t="str">
            <v>Dealer47</v>
          </cell>
          <cell r="E72" t="str">
            <v>DealerNorth East5</v>
          </cell>
          <cell r="F72" t="str">
            <v>Auto Hi-Tech Distributors-Tezpur</v>
          </cell>
          <cell r="G72" t="str">
            <v>Auto Hi-Tech Distributors-Tezpur</v>
          </cell>
          <cell r="H72" t="str">
            <v>North &amp; East</v>
          </cell>
        </row>
        <row r="73">
          <cell r="A73" t="str">
            <v>Chief Auto Centre-Aizwal</v>
          </cell>
          <cell r="B73" t="str">
            <v>Dealer</v>
          </cell>
          <cell r="C73" t="str">
            <v>DealerNorth East</v>
          </cell>
          <cell r="D73" t="str">
            <v>Dealer48</v>
          </cell>
          <cell r="E73" t="str">
            <v>DealerNorth East6</v>
          </cell>
          <cell r="F73" t="str">
            <v>Chief Auto Centre-Aizwal</v>
          </cell>
          <cell r="G73" t="str">
            <v>Chief Auto Centre-Aizwal</v>
          </cell>
          <cell r="H73" t="str">
            <v>North &amp; East</v>
          </cell>
        </row>
        <row r="74">
          <cell r="A74" t="str">
            <v>Olivia Motors-Guwahati</v>
          </cell>
          <cell r="B74" t="str">
            <v>Dealer</v>
          </cell>
          <cell r="C74" t="str">
            <v>DealerNorth East</v>
          </cell>
          <cell r="D74" t="str">
            <v>Dealer49</v>
          </cell>
          <cell r="E74" t="str">
            <v>DealerNorth East7</v>
          </cell>
          <cell r="F74" t="str">
            <v>Olivia Motors-Guwahati</v>
          </cell>
          <cell r="G74" t="str">
            <v>Olivia Motors-Guwahati</v>
          </cell>
          <cell r="H74" t="str">
            <v>North &amp; East</v>
          </cell>
        </row>
        <row r="75">
          <cell r="A75" t="str">
            <v>Reliance Motors-Silchar</v>
          </cell>
          <cell r="B75" t="str">
            <v>Dealer</v>
          </cell>
          <cell r="C75" t="str">
            <v>DealerNorth East</v>
          </cell>
          <cell r="D75" t="str">
            <v>Dealer50</v>
          </cell>
          <cell r="E75" t="str">
            <v>DealerNorth East8</v>
          </cell>
          <cell r="F75" t="str">
            <v>Reliance Motors-Silchar</v>
          </cell>
          <cell r="G75" t="str">
            <v>Reliance Motors-Silchar</v>
          </cell>
          <cell r="H75" t="str">
            <v>North &amp; East</v>
          </cell>
        </row>
        <row r="76">
          <cell r="A76" t="str">
            <v>Sree Maa Motors-Agartala</v>
          </cell>
          <cell r="B76" t="str">
            <v>Dealer</v>
          </cell>
          <cell r="C76" t="str">
            <v>DealerNorth East</v>
          </cell>
          <cell r="D76" t="str">
            <v>Dealer51</v>
          </cell>
          <cell r="E76" t="str">
            <v>DealerNorth East9</v>
          </cell>
          <cell r="F76" t="str">
            <v>Sree Maa Motors-Agartala</v>
          </cell>
          <cell r="G76" t="str">
            <v>Sree Maa Motors-Agartala</v>
          </cell>
          <cell r="H76" t="str">
            <v>North &amp; East</v>
          </cell>
        </row>
        <row r="77">
          <cell r="A77" t="str">
            <v>Arya Motors-Berhampur</v>
          </cell>
          <cell r="B77" t="str">
            <v>Dealer</v>
          </cell>
          <cell r="C77" t="str">
            <v>DealerOrissa</v>
          </cell>
          <cell r="D77" t="str">
            <v>Dealer52</v>
          </cell>
          <cell r="E77" t="str">
            <v>DealerOrissa1</v>
          </cell>
          <cell r="F77" t="str">
            <v>Arya Motors-Berhampur</v>
          </cell>
          <cell r="G77" t="str">
            <v>Arya Motors-Berhampur</v>
          </cell>
          <cell r="H77" t="str">
            <v>North &amp; East</v>
          </cell>
        </row>
        <row r="78">
          <cell r="A78" t="str">
            <v>Ashirbad (Automobile Division)-Bhubaneshwar</v>
          </cell>
          <cell r="B78" t="str">
            <v>Dealer</v>
          </cell>
          <cell r="C78" t="str">
            <v>DealerOrissa</v>
          </cell>
          <cell r="D78" t="str">
            <v>Dealer53</v>
          </cell>
          <cell r="E78" t="str">
            <v>DealerOrissa2</v>
          </cell>
          <cell r="F78" t="str">
            <v>Ashirbad (Automobile Division)-Bhubaneshwar</v>
          </cell>
          <cell r="G78" t="str">
            <v>Ashirbad (Automobile Division)-Bhubaneshwar</v>
          </cell>
          <cell r="H78" t="str">
            <v>North &amp; East</v>
          </cell>
        </row>
        <row r="79">
          <cell r="A79" t="str">
            <v>Hirakud Agency-Rourkela</v>
          </cell>
          <cell r="B79" t="str">
            <v>Dealer</v>
          </cell>
          <cell r="C79" t="str">
            <v>DealerOrissa</v>
          </cell>
          <cell r="D79" t="str">
            <v>Dealer54</v>
          </cell>
          <cell r="E79" t="str">
            <v>DealerOrissa3</v>
          </cell>
          <cell r="F79" t="str">
            <v>Hirakud Agency-Rourkela</v>
          </cell>
          <cell r="G79" t="str">
            <v>Hirakud Agency-Rourkela</v>
          </cell>
          <cell r="H79" t="str">
            <v>North &amp; East</v>
          </cell>
        </row>
        <row r="80">
          <cell r="A80" t="str">
            <v>Jyote Motors-Bhubaneshwar</v>
          </cell>
          <cell r="B80" t="str">
            <v>Dealer</v>
          </cell>
          <cell r="C80" t="str">
            <v>DealerOrissa</v>
          </cell>
          <cell r="D80" t="str">
            <v>Dealer55</v>
          </cell>
          <cell r="E80" t="str">
            <v>DealerOrissa4</v>
          </cell>
          <cell r="F80" t="str">
            <v>Jyote Motors-Bhubaneshwar</v>
          </cell>
          <cell r="G80" t="str">
            <v>Jyote Motors-Bhubaneshwar</v>
          </cell>
          <cell r="H80" t="str">
            <v>North &amp; East</v>
          </cell>
        </row>
        <row r="81">
          <cell r="A81" t="str">
            <v>Konark Auto Point-Bargarh</v>
          </cell>
          <cell r="B81" t="str">
            <v>Dealer</v>
          </cell>
          <cell r="C81" t="str">
            <v>DealerOrissa</v>
          </cell>
          <cell r="D81" t="str">
            <v>Dealer56</v>
          </cell>
          <cell r="E81" t="str">
            <v>DealerOrissa5</v>
          </cell>
          <cell r="F81" t="str">
            <v>Konark Auto Point-Bargarh</v>
          </cell>
          <cell r="G81" t="str">
            <v>Konark Auto Point-Bargarh</v>
          </cell>
          <cell r="H81" t="str">
            <v>North &amp; East</v>
          </cell>
        </row>
        <row r="82">
          <cell r="A82" t="str">
            <v>Routray Automobiles-Angul</v>
          </cell>
          <cell r="B82" t="str">
            <v>Dealer</v>
          </cell>
          <cell r="C82" t="str">
            <v>DealerOrissa</v>
          </cell>
          <cell r="D82" t="str">
            <v>Dealer57</v>
          </cell>
          <cell r="E82" t="str">
            <v>DealerOrissa6</v>
          </cell>
          <cell r="F82" t="str">
            <v>Routray Automobiles-Angul</v>
          </cell>
          <cell r="G82" t="str">
            <v>Routray Automobiles-Angul</v>
          </cell>
          <cell r="H82" t="str">
            <v>North &amp; East</v>
          </cell>
        </row>
        <row r="83">
          <cell r="A83" t="str">
            <v>Sai Auto Agencies-Jeypore</v>
          </cell>
          <cell r="B83" t="str">
            <v>Dealer</v>
          </cell>
          <cell r="C83" t="str">
            <v>DealerOrissa</v>
          </cell>
          <cell r="D83" t="str">
            <v>Dealer58</v>
          </cell>
          <cell r="E83" t="str">
            <v>DealerOrissa7</v>
          </cell>
          <cell r="F83" t="str">
            <v>Sai Auto Agencies-Jeypore</v>
          </cell>
          <cell r="G83" t="str">
            <v>Sai Auto Agencies-Jeypore</v>
          </cell>
          <cell r="H83" t="str">
            <v>North &amp; East</v>
          </cell>
        </row>
        <row r="84">
          <cell r="A84" t="str">
            <v>Sarangi Motors-Keonjhar</v>
          </cell>
          <cell r="B84" t="str">
            <v>Dealer</v>
          </cell>
          <cell r="C84" t="str">
            <v>DealerOrissa</v>
          </cell>
          <cell r="D84" t="str">
            <v>Dealer59</v>
          </cell>
          <cell r="E84" t="str">
            <v>DealerOrissa8</v>
          </cell>
          <cell r="F84" t="str">
            <v>Sarangi Motors-Keonjhar</v>
          </cell>
          <cell r="G84" t="str">
            <v>Sarangi Motors-Keonjhar</v>
          </cell>
          <cell r="H84" t="str">
            <v>North &amp; East</v>
          </cell>
        </row>
        <row r="85">
          <cell r="A85" t="str">
            <v>Sita Commercials-Balasore</v>
          </cell>
          <cell r="B85" t="str">
            <v>Dealer</v>
          </cell>
          <cell r="C85" t="str">
            <v>DealerOrissa</v>
          </cell>
          <cell r="D85" t="str">
            <v>Dealer60</v>
          </cell>
          <cell r="E85" t="str">
            <v>DealerOrissa9</v>
          </cell>
          <cell r="F85" t="str">
            <v>Sita Commercials-Balasore</v>
          </cell>
          <cell r="G85" t="str">
            <v>Sita Commercials-Balasore</v>
          </cell>
          <cell r="H85" t="str">
            <v>North &amp; East</v>
          </cell>
        </row>
        <row r="86">
          <cell r="A86" t="str">
            <v>Susil Motors-Cuttack</v>
          </cell>
          <cell r="B86" t="str">
            <v>Dealer</v>
          </cell>
          <cell r="C86" t="str">
            <v>DealerOrissa</v>
          </cell>
          <cell r="D86" t="str">
            <v>Dealer61</v>
          </cell>
          <cell r="E86" t="str">
            <v>DealerOrissa10</v>
          </cell>
          <cell r="F86" t="str">
            <v>Susil Motors-Cuttack</v>
          </cell>
          <cell r="G86" t="str">
            <v>Susil Motors-Cuttack</v>
          </cell>
          <cell r="H86" t="str">
            <v>North &amp; East</v>
          </cell>
        </row>
        <row r="87">
          <cell r="A87" t="str">
            <v>Aman Autos-Bathinda</v>
          </cell>
          <cell r="B87" t="str">
            <v>Dealer</v>
          </cell>
          <cell r="C87" t="str">
            <v>DealerPunjab</v>
          </cell>
          <cell r="D87" t="str">
            <v>Dealer62</v>
          </cell>
          <cell r="E87" t="str">
            <v>DealerPunjab1</v>
          </cell>
          <cell r="F87" t="str">
            <v>Aman Autos-Bathinda</v>
          </cell>
          <cell r="G87" t="str">
            <v>Aman Autos-Bathinda</v>
          </cell>
          <cell r="H87" t="str">
            <v>North &amp; East</v>
          </cell>
        </row>
        <row r="88">
          <cell r="A88" t="str">
            <v>Globe Auto Agencies-Jalandhar</v>
          </cell>
          <cell r="B88" t="str">
            <v>Dealer</v>
          </cell>
          <cell r="C88" t="str">
            <v>DealerPunjab</v>
          </cell>
          <cell r="D88" t="str">
            <v>Dealer63</v>
          </cell>
          <cell r="E88" t="str">
            <v>DealerPunjab2</v>
          </cell>
          <cell r="F88" t="str">
            <v>Globe Auto Agencies-Jalandhar</v>
          </cell>
          <cell r="G88" t="str">
            <v>Globe Auto Agencies-Jalandhar</v>
          </cell>
          <cell r="H88" t="str">
            <v>North &amp; East</v>
          </cell>
        </row>
        <row r="89">
          <cell r="A89" t="str">
            <v>Gulzar Trading Company-Ludhiana</v>
          </cell>
          <cell r="B89" t="str">
            <v>Dealer</v>
          </cell>
          <cell r="C89" t="str">
            <v>DealerPunjab</v>
          </cell>
          <cell r="D89" t="str">
            <v>Dealer64</v>
          </cell>
          <cell r="E89" t="str">
            <v>DealerPunjab3</v>
          </cell>
          <cell r="F89" t="str">
            <v>Gulzar Trading Company-Ludhiana</v>
          </cell>
          <cell r="G89" t="str">
            <v>Gulzar Trading Company-Ludhiana</v>
          </cell>
          <cell r="H89" t="str">
            <v>North &amp; East</v>
          </cell>
        </row>
        <row r="90">
          <cell r="A90" t="str">
            <v>Guru Nanak Automobiles-Amritsar</v>
          </cell>
          <cell r="B90" t="str">
            <v>Dealer</v>
          </cell>
          <cell r="C90" t="str">
            <v>DealerPunjab</v>
          </cell>
          <cell r="D90" t="str">
            <v>Dealer65</v>
          </cell>
          <cell r="E90" t="str">
            <v>DealerPunjab4</v>
          </cell>
          <cell r="F90" t="str">
            <v>Guru Nanak Automobiles-Amritsar</v>
          </cell>
          <cell r="G90" t="str">
            <v>Guru Nanak Automobiles-Amritsar</v>
          </cell>
          <cell r="H90" t="str">
            <v>North &amp; East</v>
          </cell>
        </row>
        <row r="91">
          <cell r="A91" t="str">
            <v>Jagadamba Motors-Abohar</v>
          </cell>
          <cell r="B91" t="str">
            <v>Dealer</v>
          </cell>
          <cell r="C91" t="str">
            <v>DealerPunjab</v>
          </cell>
          <cell r="D91" t="str">
            <v>Dealer66</v>
          </cell>
          <cell r="E91" t="str">
            <v>DealerPunjab5</v>
          </cell>
          <cell r="F91" t="str">
            <v>Jagadamba Motors-Abohar</v>
          </cell>
          <cell r="G91" t="str">
            <v>Jagadamba Motors-Abohar</v>
          </cell>
          <cell r="H91" t="str">
            <v>North &amp; East</v>
          </cell>
        </row>
        <row r="92">
          <cell r="A92" t="str">
            <v>Jaswal Enterprises-Nawanshahr</v>
          </cell>
          <cell r="B92" t="str">
            <v>Dealer</v>
          </cell>
          <cell r="C92" t="str">
            <v>DealerPunjab</v>
          </cell>
          <cell r="D92" t="str">
            <v>Dealer67</v>
          </cell>
          <cell r="E92" t="str">
            <v>DealerPunjab6</v>
          </cell>
          <cell r="F92" t="str">
            <v>Jaswal Enterprises-Nawanshahr</v>
          </cell>
          <cell r="G92" t="str">
            <v>Jaswal Enterprises-Nawanshahr</v>
          </cell>
          <cell r="H92" t="str">
            <v>North &amp; East</v>
          </cell>
        </row>
        <row r="93">
          <cell r="A93" t="str">
            <v>Kashmir Motors-Srinagar</v>
          </cell>
          <cell r="B93" t="str">
            <v>Dealer</v>
          </cell>
          <cell r="C93" t="str">
            <v>DealerPunjab</v>
          </cell>
          <cell r="D93" t="str">
            <v>Dealer68</v>
          </cell>
          <cell r="E93" t="str">
            <v>DealerPunjab7</v>
          </cell>
          <cell r="F93" t="str">
            <v>Kashmir Motors-Srinagar</v>
          </cell>
          <cell r="G93" t="str">
            <v>Kashmir Motors-Srinagar</v>
          </cell>
          <cell r="H93" t="str">
            <v>North &amp; East</v>
          </cell>
        </row>
        <row r="94">
          <cell r="A94" t="str">
            <v>M.S. Vehicle Trading Pvt Ltd-Jammu</v>
          </cell>
          <cell r="B94" t="str">
            <v>Dealer</v>
          </cell>
          <cell r="C94" t="str">
            <v>DealerPunjab</v>
          </cell>
          <cell r="D94" t="str">
            <v>Dealer69</v>
          </cell>
          <cell r="E94" t="str">
            <v>DealerPunjab8</v>
          </cell>
          <cell r="F94" t="str">
            <v>M.S. Vehicle Trading Pvt Ltd-Jammu</v>
          </cell>
          <cell r="G94" t="str">
            <v>M.S. Vehicle Trading Pvt Ltd-Jammu</v>
          </cell>
          <cell r="H94" t="str">
            <v>North &amp; East</v>
          </cell>
        </row>
        <row r="95">
          <cell r="A95" t="str">
            <v>Mahal Auto Enterprises-Nangal</v>
          </cell>
          <cell r="B95" t="str">
            <v>Dealer</v>
          </cell>
          <cell r="C95" t="str">
            <v>DealerPunjab</v>
          </cell>
          <cell r="D95" t="str">
            <v>Dealer70</v>
          </cell>
          <cell r="E95" t="str">
            <v>DealerPunjab9</v>
          </cell>
          <cell r="F95" t="str">
            <v>Mahal Auto Enterprises-Nangal</v>
          </cell>
          <cell r="G95" t="str">
            <v>Mahal Auto Enterprises-Nangal</v>
          </cell>
          <cell r="H95" t="str">
            <v>North &amp; East</v>
          </cell>
        </row>
        <row r="96">
          <cell r="A96" t="str">
            <v>Mahal Auto Enterprises-Una</v>
          </cell>
          <cell r="B96" t="str">
            <v>Dealer</v>
          </cell>
          <cell r="C96" t="str">
            <v>DealerPunjab</v>
          </cell>
          <cell r="D96" t="str">
            <v>Dealer71</v>
          </cell>
          <cell r="E96" t="str">
            <v>DealerPunjab10</v>
          </cell>
          <cell r="F96" t="str">
            <v>Mahal Auto Enterprises-Una</v>
          </cell>
          <cell r="G96" t="str">
            <v>Mahal Auto Enterprises-Una</v>
          </cell>
          <cell r="H96" t="str">
            <v>North &amp; East</v>
          </cell>
        </row>
        <row r="97">
          <cell r="A97" t="str">
            <v>Mahaluxmi Motors-Pathankot</v>
          </cell>
          <cell r="B97" t="str">
            <v>Dealer</v>
          </cell>
          <cell r="C97" t="str">
            <v>DealerPunjab</v>
          </cell>
          <cell r="D97" t="str">
            <v>Dealer72</v>
          </cell>
          <cell r="E97" t="str">
            <v>DealerPunjab11</v>
          </cell>
          <cell r="F97" t="str">
            <v>Mahaluxmi Motors-Pathankot</v>
          </cell>
          <cell r="G97" t="str">
            <v>Mahaluxmi Motors-Pathankot</v>
          </cell>
          <cell r="H97" t="str">
            <v>North &amp; East</v>
          </cell>
        </row>
        <row r="98">
          <cell r="A98" t="str">
            <v>Oriental Motors-Kangra</v>
          </cell>
          <cell r="B98" t="str">
            <v>Dealer</v>
          </cell>
          <cell r="C98" t="str">
            <v>DealerPunjab</v>
          </cell>
          <cell r="D98" t="str">
            <v>Dealer73</v>
          </cell>
          <cell r="E98" t="str">
            <v>DealerPunjab12</v>
          </cell>
          <cell r="F98" t="str">
            <v>Oriental Motors-Kangra</v>
          </cell>
          <cell r="G98" t="str">
            <v>Oriental Motors-Kangra</v>
          </cell>
          <cell r="H98" t="str">
            <v>North &amp; East</v>
          </cell>
        </row>
        <row r="99">
          <cell r="A99" t="str">
            <v>Sawan Motors-Moga</v>
          </cell>
          <cell r="B99" t="str">
            <v>Dealer</v>
          </cell>
          <cell r="C99" t="str">
            <v>DealerPunjab</v>
          </cell>
          <cell r="D99" t="str">
            <v>Dealer74</v>
          </cell>
          <cell r="E99" t="str">
            <v>DealerPunjab13</v>
          </cell>
          <cell r="F99" t="str">
            <v>Sawan Motors-Moga</v>
          </cell>
          <cell r="G99" t="str">
            <v>Sawan Motors-Moga</v>
          </cell>
          <cell r="H99" t="str">
            <v>North &amp; East</v>
          </cell>
        </row>
        <row r="100">
          <cell r="A100" t="str">
            <v>Shiv Shakti Motors-Sangrur</v>
          </cell>
          <cell r="B100" t="str">
            <v>Dealer</v>
          </cell>
          <cell r="C100" t="str">
            <v>DealerPunjab</v>
          </cell>
          <cell r="D100" t="str">
            <v>Dealer75</v>
          </cell>
          <cell r="E100" t="str">
            <v>DealerPunjab14</v>
          </cell>
          <cell r="F100" t="str">
            <v>Shiv Shakti Motors-Sangrur</v>
          </cell>
          <cell r="G100" t="str">
            <v>Shiv Shakti Motors-Sangrur</v>
          </cell>
          <cell r="H100" t="str">
            <v>North &amp; East</v>
          </cell>
        </row>
        <row r="101">
          <cell r="A101" t="str">
            <v>The Zamindara Engineering Co.,-Ferozepur Cantt.</v>
          </cell>
          <cell r="B101" t="str">
            <v>Dealer</v>
          </cell>
          <cell r="C101" t="str">
            <v>DealerPunjab</v>
          </cell>
          <cell r="D101" t="str">
            <v>Dealer76</v>
          </cell>
          <cell r="E101" t="str">
            <v>DealerPunjab15</v>
          </cell>
          <cell r="F101" t="str">
            <v>The Zamindara Engineering Co.,-Ferozepur Cantt.</v>
          </cell>
          <cell r="G101" t="str">
            <v>The Zamindara Engineering Co.,-Ferozepur Cantt.</v>
          </cell>
          <cell r="H101" t="str">
            <v>North &amp; East</v>
          </cell>
        </row>
        <row r="102">
          <cell r="A102" t="str">
            <v>Universal Motors-Amritsar</v>
          </cell>
          <cell r="B102" t="str">
            <v>Dealer</v>
          </cell>
          <cell r="C102" t="str">
            <v>DealerPunjab</v>
          </cell>
          <cell r="D102" t="str">
            <v>Dealer77</v>
          </cell>
          <cell r="E102" t="str">
            <v>DealerPunjab16</v>
          </cell>
          <cell r="F102" t="str">
            <v>Universal Motors-Amritsar</v>
          </cell>
          <cell r="G102" t="str">
            <v>Universal Motors-Amritsar</v>
          </cell>
          <cell r="H102" t="str">
            <v>North &amp; East</v>
          </cell>
        </row>
        <row r="103">
          <cell r="A103" t="str">
            <v>Yashodha Motors-Patiala</v>
          </cell>
          <cell r="B103" t="str">
            <v>Dealer</v>
          </cell>
          <cell r="C103" t="str">
            <v>DealerPunjab</v>
          </cell>
          <cell r="D103" t="str">
            <v>Dealer78</v>
          </cell>
          <cell r="E103" t="str">
            <v>DealerPunjab17</v>
          </cell>
          <cell r="F103" t="str">
            <v>Yashodha Motors-Patiala</v>
          </cell>
          <cell r="G103" t="str">
            <v>Yashodha Motors-Patiala</v>
          </cell>
          <cell r="H103" t="str">
            <v>North &amp; East</v>
          </cell>
        </row>
        <row r="104">
          <cell r="A104" t="str">
            <v>Zamindara Engg &amp; Autos Pvt.Ltd.-Chandigarh</v>
          </cell>
          <cell r="B104" t="str">
            <v>Dealer</v>
          </cell>
          <cell r="C104" t="str">
            <v>DealerPunjab</v>
          </cell>
          <cell r="D104" t="str">
            <v>Dealer79</v>
          </cell>
          <cell r="E104" t="str">
            <v>DealerPunjab18</v>
          </cell>
          <cell r="F104" t="str">
            <v>Zamindara Engg &amp; Autos Pvt.Ltd.-Chandigarh</v>
          </cell>
          <cell r="G104" t="str">
            <v>Zamindara Engg &amp; Autos Pvt.Ltd.-Chandigarh</v>
          </cell>
          <cell r="H104" t="str">
            <v>North &amp; East</v>
          </cell>
        </row>
        <row r="105">
          <cell r="A105" t="str">
            <v>A.K.Motors-Gonda</v>
          </cell>
          <cell r="B105" t="str">
            <v>Dealer</v>
          </cell>
          <cell r="C105" t="str">
            <v>DealerUttar Pradesh</v>
          </cell>
          <cell r="D105" t="str">
            <v>Dealer80</v>
          </cell>
          <cell r="E105" t="str">
            <v>DealerUttar Pradesh1</v>
          </cell>
          <cell r="F105" t="str">
            <v>A.K.Motors-Gonda</v>
          </cell>
          <cell r="G105" t="str">
            <v>A.K.Motors-Gonda</v>
          </cell>
          <cell r="H105" t="str">
            <v>North &amp; East</v>
          </cell>
        </row>
        <row r="106">
          <cell r="A106" t="str">
            <v>Aditi Automobiles-Noida</v>
          </cell>
          <cell r="B106" t="str">
            <v>Dealer</v>
          </cell>
          <cell r="C106" t="str">
            <v>DealerUttar Pradesh</v>
          </cell>
          <cell r="D106" t="str">
            <v>Dealer81</v>
          </cell>
          <cell r="E106" t="str">
            <v>DealerUttar Pradesh2</v>
          </cell>
          <cell r="F106" t="str">
            <v>Aditi Automobiles-Noida</v>
          </cell>
          <cell r="G106" t="str">
            <v>Aditi Automobiles-Noida</v>
          </cell>
          <cell r="H106" t="str">
            <v>North &amp; East</v>
          </cell>
        </row>
        <row r="107">
          <cell r="A107" t="str">
            <v>Ambica Auto Wheels-Haldwani</v>
          </cell>
          <cell r="B107" t="str">
            <v>Dealer</v>
          </cell>
          <cell r="C107" t="str">
            <v>DealerUttar Pradesh</v>
          </cell>
          <cell r="D107" t="str">
            <v>Dealer82</v>
          </cell>
          <cell r="E107" t="str">
            <v>DealerUttar Pradesh3</v>
          </cell>
          <cell r="F107" t="str">
            <v>Ambica Auto Wheels-Haldwani</v>
          </cell>
          <cell r="G107" t="str">
            <v>Ambica Auto Wheels-Haldwani</v>
          </cell>
          <cell r="H107" t="str">
            <v>North &amp; East</v>
          </cell>
        </row>
        <row r="108">
          <cell r="A108" t="str">
            <v>Arun Motors-Firozabad</v>
          </cell>
          <cell r="B108" t="str">
            <v>Dealer</v>
          </cell>
          <cell r="C108" t="str">
            <v>DealerUttar Pradesh</v>
          </cell>
          <cell r="D108" t="str">
            <v>Dealer83</v>
          </cell>
          <cell r="E108" t="str">
            <v>DealerUttar Pradesh4</v>
          </cell>
          <cell r="F108" t="str">
            <v>Arun Motors-Firozabad</v>
          </cell>
          <cell r="G108" t="str">
            <v>Arun Motors-Firozabad</v>
          </cell>
          <cell r="H108" t="str">
            <v>North &amp; East</v>
          </cell>
        </row>
        <row r="109">
          <cell r="A109" t="str">
            <v>Arya Auto Centre-Rampur</v>
          </cell>
          <cell r="B109" t="str">
            <v>Dealer</v>
          </cell>
          <cell r="C109" t="str">
            <v>DealerUttar Pradesh</v>
          </cell>
          <cell r="D109" t="str">
            <v>Dealer84</v>
          </cell>
          <cell r="E109" t="str">
            <v>DealerUttar Pradesh5</v>
          </cell>
          <cell r="F109" t="str">
            <v>Arya Auto Centre-Rampur</v>
          </cell>
          <cell r="G109" t="str">
            <v>Arya Auto Centre-Rampur</v>
          </cell>
          <cell r="H109" t="str">
            <v>North &amp; East</v>
          </cell>
        </row>
        <row r="110">
          <cell r="A110" t="str">
            <v>Auto Movers-Lucknow</v>
          </cell>
          <cell r="B110" t="str">
            <v>Dealer</v>
          </cell>
          <cell r="C110" t="str">
            <v>DealerUttar Pradesh</v>
          </cell>
          <cell r="D110" t="str">
            <v>Dealer85</v>
          </cell>
          <cell r="E110" t="str">
            <v>DealerUttar Pradesh6</v>
          </cell>
          <cell r="F110" t="str">
            <v>Auto Movers-Lucknow</v>
          </cell>
          <cell r="G110" t="str">
            <v>Auto Movers-Lucknow</v>
          </cell>
          <cell r="H110" t="str">
            <v>North &amp; East</v>
          </cell>
        </row>
        <row r="111">
          <cell r="A111" t="str">
            <v>B.M.Auto-Dehradun</v>
          </cell>
          <cell r="B111" t="str">
            <v>Dealer</v>
          </cell>
          <cell r="C111" t="str">
            <v>DealerUttar Pradesh</v>
          </cell>
          <cell r="D111" t="str">
            <v>Dealer86</v>
          </cell>
          <cell r="E111" t="str">
            <v>DealerUttar Pradesh7</v>
          </cell>
          <cell r="F111" t="str">
            <v>B.M.Auto-Dehradun</v>
          </cell>
          <cell r="G111" t="str">
            <v>B.M.Auto-Dehradun</v>
          </cell>
          <cell r="H111" t="str">
            <v>North &amp; East</v>
          </cell>
        </row>
        <row r="112">
          <cell r="A112" t="str">
            <v>Banaras Auto Traders-Varanasi</v>
          </cell>
          <cell r="B112" t="str">
            <v>Dealer</v>
          </cell>
          <cell r="C112" t="str">
            <v>DealerUttar Pradesh</v>
          </cell>
          <cell r="D112" t="str">
            <v>Dealer87</v>
          </cell>
          <cell r="E112" t="str">
            <v>DealerUttar Pradesh8</v>
          </cell>
          <cell r="F112" t="str">
            <v>Banaras Auto Traders-Varanasi</v>
          </cell>
          <cell r="G112" t="str">
            <v>Banaras Auto Traders-Varanasi</v>
          </cell>
          <cell r="H112" t="str">
            <v>North &amp; East</v>
          </cell>
        </row>
        <row r="113">
          <cell r="A113" t="str">
            <v>Bareilly Autos-Bareilly</v>
          </cell>
          <cell r="B113" t="str">
            <v>Dealer</v>
          </cell>
          <cell r="C113" t="str">
            <v>DealerUttar Pradesh</v>
          </cell>
          <cell r="D113" t="str">
            <v>Dealer88</v>
          </cell>
          <cell r="E113" t="str">
            <v>DealerUttar Pradesh9</v>
          </cell>
          <cell r="F113" t="str">
            <v>Bareilly Autos-Bareilly</v>
          </cell>
          <cell r="G113" t="str">
            <v>Bareilly Autos-Bareilly</v>
          </cell>
          <cell r="H113" t="str">
            <v>North &amp; East</v>
          </cell>
        </row>
        <row r="114">
          <cell r="A114" t="str">
            <v>Bharat Tractors-Sitapur</v>
          </cell>
          <cell r="B114" t="str">
            <v>Dealer</v>
          </cell>
          <cell r="C114" t="str">
            <v>DealerUttar Pradesh</v>
          </cell>
          <cell r="D114" t="str">
            <v>Dealer89</v>
          </cell>
          <cell r="E114" t="str">
            <v>DealerUttar Pradesh10</v>
          </cell>
          <cell r="F114" t="str">
            <v>Bharat Tractors-Sitapur</v>
          </cell>
          <cell r="G114" t="str">
            <v>Bharat Tractors-Sitapur</v>
          </cell>
          <cell r="H114" t="str">
            <v>North &amp; East</v>
          </cell>
        </row>
        <row r="115">
          <cell r="A115" t="str">
            <v>Brasscity Motors-Moradabad</v>
          </cell>
          <cell r="B115" t="str">
            <v>Dealer</v>
          </cell>
          <cell r="C115" t="str">
            <v>DealerUttar Pradesh</v>
          </cell>
          <cell r="D115" t="str">
            <v>Dealer90</v>
          </cell>
          <cell r="E115" t="str">
            <v>DealerUttar Pradesh11</v>
          </cell>
          <cell r="F115" t="str">
            <v>Brasscity Motors-Moradabad</v>
          </cell>
          <cell r="G115" t="str">
            <v>Brasscity Motors-Moradabad</v>
          </cell>
          <cell r="H115" t="str">
            <v>North &amp; East</v>
          </cell>
        </row>
        <row r="116">
          <cell r="A116" t="str">
            <v>Brij Tractors-Mathura</v>
          </cell>
          <cell r="B116" t="str">
            <v>Dealer</v>
          </cell>
          <cell r="C116" t="str">
            <v>DealerUttar Pradesh</v>
          </cell>
          <cell r="D116" t="str">
            <v>Dealer91</v>
          </cell>
          <cell r="E116" t="str">
            <v>DealerUttar Pradesh12</v>
          </cell>
          <cell r="F116" t="str">
            <v>Brij Tractors-Mathura</v>
          </cell>
          <cell r="G116" t="str">
            <v>Brij Tractors-Mathura</v>
          </cell>
          <cell r="H116" t="str">
            <v>North &amp; East</v>
          </cell>
        </row>
        <row r="117">
          <cell r="A117" t="str">
            <v>Calcutta Automobiles-Sultanpur</v>
          </cell>
          <cell r="B117" t="str">
            <v>Dealer</v>
          </cell>
          <cell r="C117" t="str">
            <v>DealerUttar Pradesh</v>
          </cell>
          <cell r="D117" t="str">
            <v>Dealer92</v>
          </cell>
          <cell r="E117" t="str">
            <v>DealerUttar Pradesh13</v>
          </cell>
          <cell r="F117" t="str">
            <v>Calcutta Automobiles-Sultanpur</v>
          </cell>
          <cell r="G117" t="str">
            <v>Calcutta Automobiles-Sultanpur</v>
          </cell>
          <cell r="H117" t="str">
            <v>North &amp; East</v>
          </cell>
        </row>
        <row r="118">
          <cell r="A118" t="str">
            <v>Chawla Motors-Agra</v>
          </cell>
          <cell r="B118" t="str">
            <v>Dealer</v>
          </cell>
          <cell r="C118" t="str">
            <v>DealerUttar Pradesh</v>
          </cell>
          <cell r="D118" t="str">
            <v>Dealer93</v>
          </cell>
          <cell r="E118" t="str">
            <v>DealerUttar Pradesh14</v>
          </cell>
          <cell r="F118" t="str">
            <v>Chawla Motors-Agra</v>
          </cell>
          <cell r="G118" t="str">
            <v>Chawla Motors-Agra</v>
          </cell>
          <cell r="H118" t="str">
            <v>North &amp; East</v>
          </cell>
        </row>
        <row r="119">
          <cell r="A119" t="str">
            <v>Dinesh Auto Sales-Baharaich</v>
          </cell>
          <cell r="B119" t="str">
            <v>Dealer</v>
          </cell>
          <cell r="C119" t="str">
            <v>DealerUttar Pradesh</v>
          </cell>
          <cell r="D119" t="str">
            <v>Dealer94</v>
          </cell>
          <cell r="E119" t="str">
            <v>DealerUttar Pradesh15</v>
          </cell>
          <cell r="F119" t="str">
            <v>Dinesh Auto Sales-Baharaich</v>
          </cell>
          <cell r="G119" t="str">
            <v>Dinesh Auto Sales-Baharaich</v>
          </cell>
          <cell r="H119" t="str">
            <v>North &amp; East</v>
          </cell>
        </row>
        <row r="120">
          <cell r="A120" t="str">
            <v>G.S.Motors-Ghaziabad</v>
          </cell>
          <cell r="B120" t="str">
            <v>Dealer</v>
          </cell>
          <cell r="C120" t="str">
            <v>DealerUttar Pradesh</v>
          </cell>
          <cell r="D120" t="str">
            <v>Dealer95</v>
          </cell>
          <cell r="E120" t="str">
            <v>DealerUttar Pradesh16</v>
          </cell>
          <cell r="F120" t="str">
            <v>G.S.Motors-Ghaziabad</v>
          </cell>
          <cell r="G120" t="str">
            <v>G.S.Motors-Ghaziabad</v>
          </cell>
          <cell r="H120" t="str">
            <v>North &amp; East</v>
          </cell>
        </row>
        <row r="121">
          <cell r="A121" t="str">
            <v>Greenlands (A&amp;M) Corporation-Allahabad</v>
          </cell>
          <cell r="B121" t="str">
            <v>Dealer</v>
          </cell>
          <cell r="C121" t="str">
            <v>DealerUttar Pradesh</v>
          </cell>
          <cell r="D121" t="str">
            <v>Dealer96</v>
          </cell>
          <cell r="E121" t="str">
            <v>DealerUttar Pradesh17</v>
          </cell>
          <cell r="F121" t="str">
            <v>Greenlands (A&amp;M) Corporation-Allahabad</v>
          </cell>
          <cell r="G121" t="str">
            <v>Greenlands (A&amp;M) Corporation-Allahabad</v>
          </cell>
          <cell r="H121" t="str">
            <v>North &amp; East</v>
          </cell>
        </row>
        <row r="122">
          <cell r="A122" t="str">
            <v>Gupta Automobiles-Hardoi</v>
          </cell>
          <cell r="B122" t="str">
            <v>Dealer</v>
          </cell>
          <cell r="C122" t="str">
            <v>DealerUttar Pradesh</v>
          </cell>
          <cell r="D122" t="str">
            <v>Dealer97</v>
          </cell>
          <cell r="E122" t="str">
            <v>DealerUttar Pradesh18</v>
          </cell>
          <cell r="F122" t="str">
            <v>Gupta Automobiles-Hardoi</v>
          </cell>
          <cell r="G122" t="str">
            <v>Gupta Automobiles-Hardoi</v>
          </cell>
          <cell r="H122" t="str">
            <v>North &amp; East</v>
          </cell>
        </row>
        <row r="123">
          <cell r="A123" t="str">
            <v>Hi Tech Agencies-Muzafarnagar</v>
          </cell>
          <cell r="B123" t="str">
            <v>Dealer</v>
          </cell>
          <cell r="C123" t="str">
            <v>DealerUttar Pradesh</v>
          </cell>
          <cell r="D123" t="str">
            <v>Dealer98</v>
          </cell>
          <cell r="E123" t="str">
            <v>DealerUttar Pradesh19</v>
          </cell>
          <cell r="F123" t="str">
            <v>Hi Tech Agencies-Muzafarnagar</v>
          </cell>
          <cell r="G123" t="str">
            <v>Hi Tech Agencies-Muzafarnagar</v>
          </cell>
          <cell r="H123" t="str">
            <v>North &amp; East</v>
          </cell>
        </row>
        <row r="124">
          <cell r="A124" t="str">
            <v>India Motor Kanpur (P) Ltd-Kanpur</v>
          </cell>
          <cell r="B124" t="str">
            <v>Dealer</v>
          </cell>
          <cell r="C124" t="str">
            <v>DealerUttar Pradesh</v>
          </cell>
          <cell r="D124" t="str">
            <v>Dealer99</v>
          </cell>
          <cell r="E124" t="str">
            <v>DealerUttar Pradesh20</v>
          </cell>
          <cell r="F124" t="str">
            <v>India Motor Kanpur (P) Ltd-Kanpur</v>
          </cell>
          <cell r="G124" t="str">
            <v>India Motor Kanpur (P) Ltd-Kanpur</v>
          </cell>
          <cell r="H124" t="str">
            <v>North &amp; East</v>
          </cell>
        </row>
        <row r="125">
          <cell r="A125" t="str">
            <v>Jagadamba Motors-Mau</v>
          </cell>
          <cell r="B125" t="str">
            <v>Dealer</v>
          </cell>
          <cell r="C125" t="str">
            <v>DealerUttar Pradesh</v>
          </cell>
          <cell r="D125" t="str">
            <v>Dealer100</v>
          </cell>
          <cell r="E125" t="str">
            <v>DealerUttar Pradesh21</v>
          </cell>
          <cell r="F125" t="str">
            <v>Jagadamba Motors-Mau</v>
          </cell>
          <cell r="G125" t="str">
            <v>Jagadamba Motors-Mau</v>
          </cell>
          <cell r="H125" t="str">
            <v>North &amp; East</v>
          </cell>
        </row>
        <row r="126">
          <cell r="A126" t="str">
            <v>Jai Durga Automobiels-Meerut</v>
          </cell>
          <cell r="B126" t="str">
            <v>Dealer</v>
          </cell>
          <cell r="C126" t="str">
            <v>DealerUttar Pradesh</v>
          </cell>
          <cell r="D126" t="str">
            <v>Dealer101</v>
          </cell>
          <cell r="E126" t="str">
            <v>DealerUttar Pradesh22</v>
          </cell>
          <cell r="F126" t="str">
            <v>Jai Durga Automobiels-Meerut</v>
          </cell>
          <cell r="G126" t="str">
            <v>Jai Durga Automobiels-Meerut</v>
          </cell>
          <cell r="H126" t="str">
            <v>North &amp; East</v>
          </cell>
        </row>
        <row r="127">
          <cell r="A127" t="str">
            <v>Jaypee Cycle Mart-Aligarh</v>
          </cell>
          <cell r="B127" t="str">
            <v>Dealer</v>
          </cell>
          <cell r="C127" t="str">
            <v>DealerUttar Pradesh</v>
          </cell>
          <cell r="D127" t="str">
            <v>Dealer102</v>
          </cell>
          <cell r="E127" t="str">
            <v>DealerUttar Pradesh23</v>
          </cell>
          <cell r="F127" t="str">
            <v>Jaypee Cycle Mart-Aligarh</v>
          </cell>
          <cell r="G127" t="str">
            <v>Jaypee Cycle Mart-Aligarh</v>
          </cell>
          <cell r="H127" t="str">
            <v>North &amp; East</v>
          </cell>
        </row>
        <row r="128">
          <cell r="A128" t="str">
            <v>Kinker Auto Sales-Fatehpur</v>
          </cell>
          <cell r="B128" t="str">
            <v>Dealer</v>
          </cell>
          <cell r="C128" t="str">
            <v>DealerUttar Pradesh</v>
          </cell>
          <cell r="D128" t="str">
            <v>Dealer103</v>
          </cell>
          <cell r="E128" t="str">
            <v>DealerUttar Pradesh24</v>
          </cell>
          <cell r="F128" t="str">
            <v>Kinker Auto Sales-Fatehpur</v>
          </cell>
          <cell r="G128" t="str">
            <v>Kinker Auto Sales-Fatehpur</v>
          </cell>
          <cell r="H128" t="str">
            <v>North &amp; East</v>
          </cell>
        </row>
        <row r="129">
          <cell r="A129" t="str">
            <v>Mahalaxmi Tractors-Pilibhit</v>
          </cell>
          <cell r="B129" t="str">
            <v>Dealer</v>
          </cell>
          <cell r="C129" t="str">
            <v>DealerUttar Pradesh</v>
          </cell>
          <cell r="D129" t="str">
            <v>Dealer104</v>
          </cell>
          <cell r="E129" t="str">
            <v>DealerUttar Pradesh25</v>
          </cell>
          <cell r="F129" t="str">
            <v>Mahalaxmi Tractors-Pilibhit</v>
          </cell>
          <cell r="G129" t="str">
            <v>Mahalaxmi Tractors-Pilibhit</v>
          </cell>
          <cell r="H129" t="str">
            <v>North &amp; East</v>
          </cell>
        </row>
        <row r="130">
          <cell r="A130" t="str">
            <v>Naveen Autos-Bulandshahr</v>
          </cell>
          <cell r="B130" t="str">
            <v>Dealer</v>
          </cell>
          <cell r="C130" t="str">
            <v>DealerUttar Pradesh</v>
          </cell>
          <cell r="D130" t="str">
            <v>Dealer105</v>
          </cell>
          <cell r="E130" t="str">
            <v>DealerUttar Pradesh26</v>
          </cell>
          <cell r="F130" t="str">
            <v>Naveen Autos-Bulandshahr</v>
          </cell>
          <cell r="G130" t="str">
            <v>Naveen Autos-Bulandshahr</v>
          </cell>
          <cell r="H130" t="str">
            <v>North &amp; East</v>
          </cell>
        </row>
        <row r="131">
          <cell r="A131" t="str">
            <v>New Auto Wheel-Mirzapur</v>
          </cell>
          <cell r="B131" t="str">
            <v>Dealer</v>
          </cell>
          <cell r="C131" t="str">
            <v>DealerUttar Pradesh</v>
          </cell>
          <cell r="D131" t="str">
            <v>Dealer106</v>
          </cell>
          <cell r="E131" t="str">
            <v>DealerUttar Pradesh27</v>
          </cell>
          <cell r="F131" t="str">
            <v>New Auto Wheel-Mirzapur</v>
          </cell>
          <cell r="G131" t="str">
            <v>New Auto Wheel-Mirzapur</v>
          </cell>
          <cell r="H131" t="str">
            <v>North &amp; East</v>
          </cell>
        </row>
        <row r="132">
          <cell r="A132" t="str">
            <v>Om Automobiles (Unnao) Pvt. Ltd-Unnao</v>
          </cell>
          <cell r="B132" t="str">
            <v>Dealer</v>
          </cell>
          <cell r="C132" t="str">
            <v>DealerUttar Pradesh</v>
          </cell>
          <cell r="D132" t="str">
            <v>Dealer107</v>
          </cell>
          <cell r="E132" t="str">
            <v>DealerUttar Pradesh28</v>
          </cell>
          <cell r="F132" t="str">
            <v>Om Automobiles (Unnao) Pvt. Ltd-Unnao</v>
          </cell>
          <cell r="G132" t="str">
            <v>Om Automobiles (Unnao) Pvt. Ltd-Unnao</v>
          </cell>
          <cell r="H132" t="str">
            <v>North &amp; East</v>
          </cell>
        </row>
        <row r="133">
          <cell r="A133" t="str">
            <v>Om Automobiles Pvt.Ltd-Raibareily</v>
          </cell>
          <cell r="B133" t="str">
            <v>Dealer</v>
          </cell>
          <cell r="C133" t="str">
            <v>DealerUttar Pradesh</v>
          </cell>
          <cell r="D133" t="str">
            <v>Dealer108</v>
          </cell>
          <cell r="E133" t="str">
            <v>DealerUttar Pradesh29</v>
          </cell>
          <cell r="F133" t="str">
            <v>Om Automobiles Pvt.Ltd-Raibareily</v>
          </cell>
          <cell r="G133" t="str">
            <v>Om Automobiles Pvt.Ltd-Raibareily</v>
          </cell>
          <cell r="H133" t="str">
            <v>North &amp; East</v>
          </cell>
        </row>
        <row r="134">
          <cell r="A134" t="str">
            <v>Prince Automobiles-Saharanpur</v>
          </cell>
          <cell r="B134" t="str">
            <v>Dealer</v>
          </cell>
          <cell r="C134" t="str">
            <v>DealerUttar Pradesh</v>
          </cell>
          <cell r="D134" t="str">
            <v>Dealer109</v>
          </cell>
          <cell r="E134" t="str">
            <v>DealerUttar Pradesh30</v>
          </cell>
          <cell r="F134" t="str">
            <v>Prince Automobiles-Saharanpur</v>
          </cell>
          <cell r="G134" t="str">
            <v>Prince Automobiles-Saharanpur</v>
          </cell>
          <cell r="H134" t="str">
            <v>North &amp; East</v>
          </cell>
        </row>
        <row r="135">
          <cell r="A135" t="str">
            <v>Raj Automobiles-Orai</v>
          </cell>
          <cell r="B135" t="str">
            <v>Dealer</v>
          </cell>
          <cell r="C135" t="str">
            <v>DealerUttar Pradesh</v>
          </cell>
          <cell r="D135" t="str">
            <v>Dealer110</v>
          </cell>
          <cell r="E135" t="str">
            <v>DealerUttar Pradesh31</v>
          </cell>
          <cell r="F135" t="str">
            <v>Raj Automobiles-Orai</v>
          </cell>
          <cell r="G135" t="str">
            <v>Raj Automobiles-Orai</v>
          </cell>
          <cell r="H135" t="str">
            <v>North &amp; East</v>
          </cell>
        </row>
        <row r="136">
          <cell r="A136" t="str">
            <v>Rayen Automobiles-Ballia</v>
          </cell>
          <cell r="B136" t="str">
            <v>Dealer</v>
          </cell>
          <cell r="C136" t="str">
            <v>DealerUttar Pradesh</v>
          </cell>
          <cell r="D136" t="str">
            <v>Dealer111</v>
          </cell>
          <cell r="E136" t="str">
            <v>DealerUttar Pradesh32</v>
          </cell>
          <cell r="F136" t="str">
            <v>Rayen Automobiles-Ballia</v>
          </cell>
          <cell r="G136" t="str">
            <v>Rayen Automobiles-Ballia</v>
          </cell>
          <cell r="H136" t="str">
            <v>North &amp; East</v>
          </cell>
        </row>
        <row r="137">
          <cell r="A137" t="str">
            <v>Riydadh Automobiles-Azamgarh</v>
          </cell>
          <cell r="B137" t="str">
            <v>Dealer</v>
          </cell>
          <cell r="C137" t="str">
            <v>DealerUttar Pradesh</v>
          </cell>
          <cell r="D137" t="str">
            <v>Dealer112</v>
          </cell>
          <cell r="E137" t="str">
            <v>DealerUttar Pradesh33</v>
          </cell>
          <cell r="F137" t="str">
            <v>Riydadh Automobiles-Azamgarh</v>
          </cell>
          <cell r="G137" t="str">
            <v>Riydadh Automobiles-Azamgarh</v>
          </cell>
          <cell r="H137" t="str">
            <v>North &amp; East</v>
          </cell>
        </row>
        <row r="138">
          <cell r="A138" t="str">
            <v>Sahney Brothers-Jhansi</v>
          </cell>
          <cell r="B138" t="str">
            <v>Dealer</v>
          </cell>
          <cell r="C138" t="str">
            <v>DealerUttar Pradesh</v>
          </cell>
          <cell r="D138" t="str">
            <v>Dealer113</v>
          </cell>
          <cell r="E138" t="str">
            <v>DealerUttar Pradesh34</v>
          </cell>
          <cell r="F138" t="str">
            <v>Sahney Brothers-Jhansi</v>
          </cell>
          <cell r="G138" t="str">
            <v>Sahney Brothers-Jhansi</v>
          </cell>
          <cell r="H138" t="str">
            <v>North &amp; East</v>
          </cell>
        </row>
        <row r="139">
          <cell r="A139" t="str">
            <v>Sardar Auto Engineering Company-Faizabad</v>
          </cell>
          <cell r="B139" t="str">
            <v>Dealer</v>
          </cell>
          <cell r="C139" t="str">
            <v>DealerUttar Pradesh</v>
          </cell>
          <cell r="D139" t="str">
            <v>Dealer114</v>
          </cell>
          <cell r="E139" t="str">
            <v>DealerUttar Pradesh35</v>
          </cell>
          <cell r="F139" t="str">
            <v>Sardar Auto Engineering Company-Faizabad</v>
          </cell>
          <cell r="G139" t="str">
            <v>Sardar Auto Engineering Company-Faizabad</v>
          </cell>
          <cell r="H139" t="str">
            <v>North &amp; East</v>
          </cell>
        </row>
        <row r="140">
          <cell r="A140" t="str">
            <v>Sardar Machinery Stores-Khalilabad</v>
          </cell>
          <cell r="B140" t="str">
            <v>Dealer</v>
          </cell>
          <cell r="C140" t="str">
            <v>DealerUttar Pradesh</v>
          </cell>
          <cell r="D140" t="str">
            <v>Dealer115</v>
          </cell>
          <cell r="E140" t="str">
            <v>DealerUttar Pradesh36</v>
          </cell>
          <cell r="F140" t="str">
            <v>Sardar Machinery Stores-Khalilabad</v>
          </cell>
          <cell r="G140" t="str">
            <v>Sardar Machinery Stores-Khalilabad</v>
          </cell>
          <cell r="H140" t="str">
            <v>North &amp; East</v>
          </cell>
        </row>
        <row r="141">
          <cell r="A141" t="str">
            <v>Ses Automobiles-Basti</v>
          </cell>
          <cell r="B141" t="str">
            <v>Dealer</v>
          </cell>
          <cell r="C141" t="str">
            <v>DealerUttar Pradesh</v>
          </cell>
          <cell r="D141" t="str">
            <v>Dealer116</v>
          </cell>
          <cell r="E141" t="str">
            <v>DealerUttar Pradesh37</v>
          </cell>
          <cell r="F141" t="str">
            <v>Ses Automobiles-Basti</v>
          </cell>
          <cell r="G141" t="str">
            <v>Ses Automobiles-Basti</v>
          </cell>
          <cell r="H141" t="str">
            <v>North &amp; East</v>
          </cell>
        </row>
        <row r="142">
          <cell r="A142" t="str">
            <v>Shree Krishna Motors-Etah</v>
          </cell>
          <cell r="B142" t="str">
            <v>Dealer</v>
          </cell>
          <cell r="C142" t="str">
            <v>DealerUttar Pradesh</v>
          </cell>
          <cell r="D142" t="str">
            <v>Dealer117</v>
          </cell>
          <cell r="E142" t="str">
            <v>DealerUttar Pradesh38</v>
          </cell>
          <cell r="F142" t="str">
            <v>Shree Krishna Motors-Etah</v>
          </cell>
          <cell r="G142" t="str">
            <v>Shree Krishna Motors-Etah</v>
          </cell>
          <cell r="H142" t="str">
            <v>North &amp; East</v>
          </cell>
        </row>
        <row r="143">
          <cell r="A143" t="str">
            <v>Shri Choudhary Auto Sales-Etawah</v>
          </cell>
          <cell r="B143" t="str">
            <v>Dealer</v>
          </cell>
          <cell r="C143" t="str">
            <v>DealerUttar Pradesh</v>
          </cell>
          <cell r="D143" t="str">
            <v>Dealer118</v>
          </cell>
          <cell r="E143" t="str">
            <v>DealerUttar Pradesh39</v>
          </cell>
          <cell r="F143" t="str">
            <v>Shri Choudhary Auto Sales-Etawah</v>
          </cell>
          <cell r="G143" t="str">
            <v>Shri Choudhary Auto Sales-Etawah</v>
          </cell>
          <cell r="H143" t="str">
            <v>North &amp; East</v>
          </cell>
        </row>
        <row r="144">
          <cell r="A144" t="str">
            <v>Shunty Bunty Motors Pvt Ltd-Kanpur</v>
          </cell>
          <cell r="B144" t="str">
            <v>Dealer</v>
          </cell>
          <cell r="C144" t="str">
            <v>DealerUttar Pradesh</v>
          </cell>
          <cell r="D144" t="str">
            <v>Dealer119</v>
          </cell>
          <cell r="E144" t="str">
            <v>DealerUttar Pradesh40</v>
          </cell>
          <cell r="F144" t="str">
            <v>Shunty Bunty Motors Pvt Ltd-Kanpur</v>
          </cell>
          <cell r="G144" t="str">
            <v>Shunty Bunty Motors Pvt Ltd-Kanpur</v>
          </cell>
          <cell r="H144" t="str">
            <v>North &amp; East</v>
          </cell>
        </row>
        <row r="145">
          <cell r="A145" t="str">
            <v>Speed Motor Company-Lucknow</v>
          </cell>
          <cell r="B145" t="str">
            <v>Dealer</v>
          </cell>
          <cell r="C145" t="str">
            <v>DealerUttar Pradesh</v>
          </cell>
          <cell r="D145" t="str">
            <v>Dealer120</v>
          </cell>
          <cell r="E145" t="str">
            <v>DealerUttar Pradesh41</v>
          </cell>
          <cell r="F145" t="str">
            <v>Speed Motor Company-Lucknow</v>
          </cell>
          <cell r="G145" t="str">
            <v>Speed Motor Company-Lucknow</v>
          </cell>
          <cell r="H145" t="str">
            <v>North &amp; East</v>
          </cell>
        </row>
        <row r="146">
          <cell r="A146" t="str">
            <v>Sri Sharadha Tractors Pvt.Ltd-Jaunpur</v>
          </cell>
          <cell r="B146" t="str">
            <v>Dealer</v>
          </cell>
          <cell r="C146" t="str">
            <v>DealerUttar Pradesh</v>
          </cell>
          <cell r="D146" t="str">
            <v>Dealer121</v>
          </cell>
          <cell r="E146" t="str">
            <v>DealerUttar Pradesh42</v>
          </cell>
          <cell r="F146" t="str">
            <v>Sri Sharadha Tractors Pvt.Ltd-Jaunpur</v>
          </cell>
          <cell r="G146" t="str">
            <v>Sri Sharadha Tractors Pvt.Ltd-Jaunpur</v>
          </cell>
          <cell r="H146" t="str">
            <v>North &amp; East</v>
          </cell>
        </row>
        <row r="147">
          <cell r="A147" t="str">
            <v>Tirupati Agencies-Kashipur</v>
          </cell>
          <cell r="B147" t="str">
            <v>Dealer</v>
          </cell>
          <cell r="C147" t="str">
            <v>DealerUttar Pradesh</v>
          </cell>
          <cell r="D147" t="str">
            <v>Dealer122</v>
          </cell>
          <cell r="E147" t="str">
            <v>DealerUttar Pradesh43</v>
          </cell>
          <cell r="F147" t="str">
            <v>Tirupati Agencies-Kashipur</v>
          </cell>
          <cell r="G147" t="str">
            <v>Tirupati Agencies-Kashipur</v>
          </cell>
          <cell r="H147" t="str">
            <v>North &amp; East</v>
          </cell>
        </row>
        <row r="148">
          <cell r="A148" t="str">
            <v>Trilok Singh &amp; Co.,-Lucknow</v>
          </cell>
          <cell r="B148" t="str">
            <v>Dealer</v>
          </cell>
          <cell r="C148" t="str">
            <v>DealerUttar Pradesh</v>
          </cell>
          <cell r="D148" t="str">
            <v>Dealer123</v>
          </cell>
          <cell r="E148" t="str">
            <v>DealerUttar Pradesh44</v>
          </cell>
          <cell r="F148" t="str">
            <v>Trilok Singh &amp; Co.,-Lucknow</v>
          </cell>
          <cell r="G148" t="str">
            <v>Trilok Singh &amp; Co.,-Lucknow</v>
          </cell>
          <cell r="H148" t="str">
            <v>North &amp; East</v>
          </cell>
        </row>
        <row r="149">
          <cell r="A149" t="str">
            <v>United Tractors-Gorakhpur</v>
          </cell>
          <cell r="B149" t="str">
            <v>Dealer</v>
          </cell>
          <cell r="C149" t="str">
            <v>DealerUttar Pradesh</v>
          </cell>
          <cell r="D149" t="str">
            <v>Dealer124</v>
          </cell>
          <cell r="E149" t="str">
            <v>DealerUttar Pradesh45</v>
          </cell>
          <cell r="F149" t="str">
            <v>United Tractors-Gorakhpur</v>
          </cell>
          <cell r="G149" t="str">
            <v>United Tractors-Gorakhpur</v>
          </cell>
          <cell r="H149" t="str">
            <v>North &amp; East</v>
          </cell>
        </row>
        <row r="150">
          <cell r="A150" t="str">
            <v>Vaneet Tractors-Shahjahanpur</v>
          </cell>
          <cell r="B150" t="str">
            <v>Dealer</v>
          </cell>
          <cell r="C150" t="str">
            <v>DealerUttar Pradesh</v>
          </cell>
          <cell r="D150" t="str">
            <v>Dealer125</v>
          </cell>
          <cell r="E150" t="str">
            <v>DealerUttar Pradesh46</v>
          </cell>
          <cell r="F150" t="str">
            <v>Vaneet Tractors-Shahjahanpur</v>
          </cell>
          <cell r="G150" t="str">
            <v>Vaneet Tractors-Shahjahanpur</v>
          </cell>
          <cell r="H150" t="str">
            <v>North &amp; East</v>
          </cell>
        </row>
        <row r="151">
          <cell r="A151" t="str">
            <v>Vikram Tractors-Barabanki</v>
          </cell>
          <cell r="B151" t="str">
            <v>Dealer</v>
          </cell>
          <cell r="C151" t="str">
            <v>DealerUttar Pradesh</v>
          </cell>
          <cell r="D151" t="str">
            <v>Dealer126</v>
          </cell>
          <cell r="E151" t="str">
            <v>DealerUttar Pradesh47</v>
          </cell>
          <cell r="F151" t="str">
            <v>Vikram Tractors-Barabanki</v>
          </cell>
          <cell r="G151" t="str">
            <v>Vikram Tractors-Barabanki</v>
          </cell>
          <cell r="H151" t="str">
            <v>North &amp; East</v>
          </cell>
        </row>
        <row r="152">
          <cell r="A152" t="str">
            <v>Visok Agencies-Lakhimpur Kheri</v>
          </cell>
          <cell r="B152" t="str">
            <v>Dealer</v>
          </cell>
          <cell r="C152" t="str">
            <v>DealerUttar Pradesh</v>
          </cell>
          <cell r="D152" t="str">
            <v>Dealer127</v>
          </cell>
          <cell r="E152" t="str">
            <v>DealerUttar Pradesh48</v>
          </cell>
          <cell r="F152" t="str">
            <v>Visok Agencies-Lakhimpur Kheri</v>
          </cell>
          <cell r="G152" t="str">
            <v>Visok Agencies-Lakhimpur Kheri</v>
          </cell>
          <cell r="H152" t="str">
            <v>North &amp; East</v>
          </cell>
        </row>
        <row r="153">
          <cell r="A153" t="str">
            <v>Wheels Care-Bhadohi</v>
          </cell>
          <cell r="B153" t="str">
            <v>Dealer</v>
          </cell>
          <cell r="C153" t="str">
            <v>DealerUttar Pradesh</v>
          </cell>
          <cell r="D153" t="str">
            <v>Dealer128</v>
          </cell>
          <cell r="E153" t="str">
            <v>DealerUttar Pradesh49</v>
          </cell>
          <cell r="F153" t="str">
            <v>Wheels Care-Bhadohi</v>
          </cell>
          <cell r="G153" t="str">
            <v>Wheels Care-Bhadohi</v>
          </cell>
          <cell r="H153" t="str">
            <v>North &amp; East</v>
          </cell>
        </row>
        <row r="154">
          <cell r="A154" t="str">
            <v>Annpurna Automobiles-Siliguri</v>
          </cell>
          <cell r="B154" t="str">
            <v>Dealer</v>
          </cell>
          <cell r="C154" t="str">
            <v>DealerWest Bengal</v>
          </cell>
          <cell r="D154" t="str">
            <v>Dealer129</v>
          </cell>
          <cell r="E154" t="str">
            <v>DealerWest Bengal1</v>
          </cell>
          <cell r="F154" t="str">
            <v>Annpurna Automobiles-Siliguri</v>
          </cell>
          <cell r="G154" t="str">
            <v>Annpurna Automobiles-Siliguri</v>
          </cell>
          <cell r="H154" t="str">
            <v>North &amp; East</v>
          </cell>
        </row>
        <row r="155">
          <cell r="A155" t="str">
            <v>Associated Automobiles-Durgapur</v>
          </cell>
          <cell r="B155" t="str">
            <v>Dealer</v>
          </cell>
          <cell r="C155" t="str">
            <v>DealerWest Bengal</v>
          </cell>
          <cell r="D155" t="str">
            <v>Dealer130</v>
          </cell>
          <cell r="E155" t="str">
            <v>DealerWest Bengal2</v>
          </cell>
          <cell r="F155" t="str">
            <v>Associated Automobiles-Durgapur</v>
          </cell>
          <cell r="G155" t="str">
            <v>Associated Automobiles-Durgapur</v>
          </cell>
          <cell r="H155" t="str">
            <v>North &amp; East</v>
          </cell>
        </row>
        <row r="156">
          <cell r="A156" t="str">
            <v>Berhampore Motorcycles-Murshidabad</v>
          </cell>
          <cell r="B156" t="str">
            <v>Dealer</v>
          </cell>
          <cell r="C156" t="str">
            <v>DealerWest Bengal</v>
          </cell>
          <cell r="D156" t="str">
            <v>Dealer131</v>
          </cell>
          <cell r="E156" t="str">
            <v>DealerWest Bengal3</v>
          </cell>
          <cell r="F156" t="str">
            <v>Berhampore Motorcycles-Murshidabad</v>
          </cell>
          <cell r="G156" t="str">
            <v>Berhampore Motorcycles-Murshidabad</v>
          </cell>
          <cell r="H156" t="str">
            <v>North &amp; East</v>
          </cell>
        </row>
        <row r="157">
          <cell r="A157" t="str">
            <v>Centre Point Automobiles Pvt.Ltd-Howrah</v>
          </cell>
          <cell r="B157" t="str">
            <v>Dealer</v>
          </cell>
          <cell r="C157" t="str">
            <v>DealerWest Bengal</v>
          </cell>
          <cell r="D157" t="str">
            <v>Dealer132</v>
          </cell>
          <cell r="E157" t="str">
            <v>DealerWest Bengal4</v>
          </cell>
          <cell r="F157" t="str">
            <v>Centre Point Automobiles Pvt.Ltd-Howrah</v>
          </cell>
          <cell r="G157" t="str">
            <v>Centre Point Automobiles Pvt.Ltd-Howrah</v>
          </cell>
          <cell r="H157" t="str">
            <v>North &amp; East</v>
          </cell>
        </row>
        <row r="158">
          <cell r="A158" t="str">
            <v>Crescent Auto-Kharagpur</v>
          </cell>
          <cell r="B158" t="str">
            <v>Dealer</v>
          </cell>
          <cell r="C158" t="str">
            <v>DealerWest Bengal</v>
          </cell>
          <cell r="D158" t="str">
            <v>Dealer133</v>
          </cell>
          <cell r="E158" t="str">
            <v>DealerWest Bengal5</v>
          </cell>
          <cell r="F158" t="str">
            <v>Crescent Auto-Kharagpur</v>
          </cell>
          <cell r="G158" t="str">
            <v>Crescent Auto-Kharagpur</v>
          </cell>
          <cell r="H158" t="str">
            <v>North &amp; East</v>
          </cell>
        </row>
        <row r="159">
          <cell r="A159" t="str">
            <v>P.D.Enterprises-Kolkata</v>
          </cell>
          <cell r="B159" t="str">
            <v>Dealer</v>
          </cell>
          <cell r="C159" t="str">
            <v>DealerWest Bengal</v>
          </cell>
          <cell r="D159" t="str">
            <v>Dealer134</v>
          </cell>
          <cell r="E159" t="str">
            <v>DealerWest Bengal6</v>
          </cell>
          <cell r="F159" t="str">
            <v>P.D.Enterprises-Kolkata</v>
          </cell>
          <cell r="G159" t="str">
            <v>P.D.Enterprises-Kolkata</v>
          </cell>
          <cell r="H159" t="str">
            <v>North &amp; East</v>
          </cell>
        </row>
        <row r="160">
          <cell r="A160" t="str">
            <v>R.B.Distributors-Asansol</v>
          </cell>
          <cell r="B160" t="str">
            <v>Dealer</v>
          </cell>
          <cell r="C160" t="str">
            <v>DealerWest Bengal</v>
          </cell>
          <cell r="D160" t="str">
            <v>Dealer135</v>
          </cell>
          <cell r="E160" t="str">
            <v>DealerWest Bengal7</v>
          </cell>
          <cell r="F160" t="str">
            <v>R.B.Distributors-Asansol</v>
          </cell>
          <cell r="G160" t="str">
            <v>R.B.Distributors-Asansol</v>
          </cell>
          <cell r="H160" t="str">
            <v>North &amp; East</v>
          </cell>
        </row>
        <row r="161">
          <cell r="A161" t="str">
            <v>Raisa Automobiles-Burdwan</v>
          </cell>
          <cell r="B161" t="str">
            <v>Dealer</v>
          </cell>
          <cell r="C161" t="str">
            <v>DealerWest Bengal</v>
          </cell>
          <cell r="D161" t="str">
            <v>Dealer136</v>
          </cell>
          <cell r="E161" t="str">
            <v>DealerWest Bengal8</v>
          </cell>
          <cell r="F161" t="str">
            <v>Raisa Automobiles-Burdwan</v>
          </cell>
          <cell r="G161" t="str">
            <v>Raisa Automobiles-Burdwan</v>
          </cell>
          <cell r="H161" t="str">
            <v>North &amp; East</v>
          </cell>
        </row>
        <row r="162">
          <cell r="A162" t="str">
            <v>Sayan Auto-Chinsurah</v>
          </cell>
          <cell r="B162" t="str">
            <v>Dealer</v>
          </cell>
          <cell r="C162" t="str">
            <v>DealerWest Bengal</v>
          </cell>
          <cell r="D162" t="str">
            <v>Dealer137</v>
          </cell>
          <cell r="E162" t="str">
            <v>DealerWest Bengal9</v>
          </cell>
          <cell r="F162" t="str">
            <v>Sayan Auto-Chinsurah</v>
          </cell>
          <cell r="G162" t="str">
            <v>Sayan Auto-Chinsurah</v>
          </cell>
          <cell r="H162" t="str">
            <v>North &amp; East</v>
          </cell>
        </row>
        <row r="163">
          <cell r="A163" t="str">
            <v>Shah Distributors (Auto Division)-Calcutta</v>
          </cell>
          <cell r="B163" t="str">
            <v>Dealer</v>
          </cell>
          <cell r="C163" t="str">
            <v>DealerWest Bengal</v>
          </cell>
          <cell r="D163" t="str">
            <v>Dealer138</v>
          </cell>
          <cell r="E163" t="str">
            <v>DealerWest Bengal10</v>
          </cell>
          <cell r="F163" t="str">
            <v>Shah Distributors (Auto Division)-Calcutta</v>
          </cell>
          <cell r="G163" t="str">
            <v>Shah Distributors (Auto Division)-Calcutta</v>
          </cell>
          <cell r="H163" t="str">
            <v>North &amp; East</v>
          </cell>
        </row>
        <row r="164">
          <cell r="A164" t="str">
            <v>Shaila Motors Pvt.Ltd-Tamluk</v>
          </cell>
          <cell r="B164" t="str">
            <v>Dealer</v>
          </cell>
          <cell r="C164" t="str">
            <v>DealerWest Bengal</v>
          </cell>
          <cell r="D164" t="str">
            <v>Dealer139</v>
          </cell>
          <cell r="E164" t="str">
            <v>DealerWest Bengal11</v>
          </cell>
          <cell r="F164" t="str">
            <v>Shaila Motors Pvt.Ltd-Tamluk</v>
          </cell>
          <cell r="G164" t="str">
            <v>Shaila Motors Pvt.Ltd-Tamluk</v>
          </cell>
          <cell r="H164" t="str">
            <v>North &amp; East</v>
          </cell>
        </row>
        <row r="165">
          <cell r="A165" t="str">
            <v>Shaw Auto Centre-Titagarh</v>
          </cell>
          <cell r="B165" t="str">
            <v>Dealer</v>
          </cell>
          <cell r="C165" t="str">
            <v>DealerWest Bengal</v>
          </cell>
          <cell r="D165" t="str">
            <v>Dealer140</v>
          </cell>
          <cell r="E165" t="str">
            <v>DealerWest Bengal12</v>
          </cell>
          <cell r="F165" t="str">
            <v>Shaw Auto Centre-Titagarh</v>
          </cell>
          <cell r="G165" t="str">
            <v>Shaw Auto Centre-Titagarh</v>
          </cell>
          <cell r="H165" t="str">
            <v>North &amp; East</v>
          </cell>
        </row>
        <row r="166">
          <cell r="A166" t="str">
            <v>Speed Wheels-Malda</v>
          </cell>
          <cell r="B166" t="str">
            <v>Dealer</v>
          </cell>
          <cell r="C166" t="str">
            <v>DealerWest Bengal</v>
          </cell>
          <cell r="D166" t="str">
            <v>Dealer141</v>
          </cell>
          <cell r="E166" t="str">
            <v>DealerWest Bengal13</v>
          </cell>
          <cell r="F166" t="str">
            <v>Speed Wheels-Malda</v>
          </cell>
          <cell r="G166" t="str">
            <v>Speed Wheels-Malda</v>
          </cell>
          <cell r="H166" t="str">
            <v>North &amp; East</v>
          </cell>
        </row>
        <row r="167">
          <cell r="A167" t="str">
            <v>The Bi-Wheelers-Krishnanagar</v>
          </cell>
          <cell r="B167" t="str">
            <v>Dealer</v>
          </cell>
          <cell r="C167" t="str">
            <v>DealerWest Bengal</v>
          </cell>
          <cell r="D167" t="str">
            <v>Dealer142</v>
          </cell>
          <cell r="E167" t="str">
            <v>DealerWest Bengal14</v>
          </cell>
          <cell r="F167" t="str">
            <v>The Bi-Wheelers-Krishnanagar</v>
          </cell>
          <cell r="G167" t="str">
            <v>The Bi-Wheelers-Krishnanagar</v>
          </cell>
          <cell r="H167" t="str">
            <v>North &amp; East</v>
          </cell>
        </row>
        <row r="168">
          <cell r="A168" t="str">
            <v>Tripti Automobiles-Suri</v>
          </cell>
          <cell r="B168" t="str">
            <v>Dealer</v>
          </cell>
          <cell r="C168" t="str">
            <v>DealerWest Bengal</v>
          </cell>
          <cell r="D168" t="str">
            <v>Dealer143</v>
          </cell>
          <cell r="E168" t="str">
            <v>DealerWest Bengal15</v>
          </cell>
          <cell r="F168" t="str">
            <v>Tripti Automobiles-Suri</v>
          </cell>
          <cell r="G168" t="str">
            <v>Tripti Automobiles-Suri</v>
          </cell>
          <cell r="H168" t="str">
            <v>North &amp; East</v>
          </cell>
        </row>
        <row r="169">
          <cell r="A169" t="str">
            <v>Uma Automobiles-Purulia</v>
          </cell>
          <cell r="B169" t="str">
            <v>Dealer</v>
          </cell>
          <cell r="C169" t="str">
            <v>DealerWest Bengal</v>
          </cell>
          <cell r="D169" t="str">
            <v>Dealer144</v>
          </cell>
          <cell r="E169" t="str">
            <v>DealerWest Bengal16</v>
          </cell>
          <cell r="F169" t="str">
            <v>Uma Automobiles-Purulia</v>
          </cell>
          <cell r="G169" t="str">
            <v>Uma Automobiles-Purulia</v>
          </cell>
          <cell r="H169" t="str">
            <v>North &amp; East</v>
          </cell>
        </row>
        <row r="170">
          <cell r="A170" t="str">
            <v>Adarsha Automobiles-Mancherial</v>
          </cell>
          <cell r="B170" t="str">
            <v>Dealer</v>
          </cell>
          <cell r="C170" t="str">
            <v>DealerAndhra Pradesh</v>
          </cell>
          <cell r="D170" t="str">
            <v>Dealer145</v>
          </cell>
          <cell r="E170" t="str">
            <v>DealerAndhra Pradesh1</v>
          </cell>
          <cell r="F170" t="str">
            <v>Adarsha Automobiles-Mancherial</v>
          </cell>
          <cell r="G170" t="str">
            <v>Adarsha Automobiles-Mancherial</v>
          </cell>
          <cell r="H170" t="str">
            <v>South</v>
          </cell>
        </row>
        <row r="171">
          <cell r="A171" t="str">
            <v>Adarsha Motors-Karimnagar</v>
          </cell>
          <cell r="B171" t="str">
            <v>Dealer</v>
          </cell>
          <cell r="C171" t="str">
            <v>DealerAndhra Pradesh</v>
          </cell>
          <cell r="D171" t="str">
            <v>Dealer146</v>
          </cell>
          <cell r="E171" t="str">
            <v>DealerAndhra Pradesh2</v>
          </cell>
          <cell r="F171" t="str">
            <v>Adarsha Motors-Karimnagar</v>
          </cell>
          <cell r="G171" t="str">
            <v>Adarsha Motors-Karimnagar</v>
          </cell>
          <cell r="H171" t="str">
            <v>South</v>
          </cell>
        </row>
        <row r="172">
          <cell r="A172" t="str">
            <v>Aditya Automobiles-Vijayawada</v>
          </cell>
          <cell r="B172" t="str">
            <v>Dealer</v>
          </cell>
          <cell r="C172" t="str">
            <v>DealerAndhra Pradesh</v>
          </cell>
          <cell r="D172" t="str">
            <v>Dealer147</v>
          </cell>
          <cell r="E172" t="str">
            <v>DealerAndhra Pradesh3</v>
          </cell>
          <cell r="F172" t="str">
            <v>Aditya Automobiles-Vijayawada</v>
          </cell>
          <cell r="G172" t="str">
            <v>Aditya Automobiles-Vijayawada</v>
          </cell>
          <cell r="H172" t="str">
            <v>South</v>
          </cell>
        </row>
        <row r="173">
          <cell r="A173" t="str">
            <v>Bharat Auto Agencies-Ravulapalem</v>
          </cell>
          <cell r="B173" t="str">
            <v>Dealer</v>
          </cell>
          <cell r="C173" t="str">
            <v>DealerAndhra Pradesh</v>
          </cell>
          <cell r="D173" t="str">
            <v>Dealer148</v>
          </cell>
          <cell r="E173" t="str">
            <v>DealerAndhra Pradesh4</v>
          </cell>
          <cell r="F173" t="str">
            <v>Bharat Auto Agencies-Ravulapalem</v>
          </cell>
          <cell r="G173" t="str">
            <v>Bharat Auto Agencies-Ravulapalem</v>
          </cell>
          <cell r="H173" t="str">
            <v>South</v>
          </cell>
        </row>
        <row r="174">
          <cell r="A174" t="str">
            <v>Bharath Auto Enterprises-Vijayawada</v>
          </cell>
          <cell r="B174" t="str">
            <v>Dealer</v>
          </cell>
          <cell r="C174" t="str">
            <v>DealerAndhra Pradesh</v>
          </cell>
          <cell r="D174" t="str">
            <v>Dealer149</v>
          </cell>
          <cell r="E174" t="str">
            <v>DealerAndhra Pradesh5</v>
          </cell>
          <cell r="F174" t="str">
            <v>Bharath Auto Enterprises-Vijayawada</v>
          </cell>
          <cell r="G174" t="str">
            <v>Bharath Auto Enterprises-Vijayawada</v>
          </cell>
          <cell r="H174" t="str">
            <v>South</v>
          </cell>
        </row>
        <row r="175">
          <cell r="A175" t="str">
            <v>City Sales-Hyderabad</v>
          </cell>
          <cell r="B175" t="str">
            <v>Dealer</v>
          </cell>
          <cell r="C175" t="str">
            <v>DealerAndhra Pradesh</v>
          </cell>
          <cell r="D175" t="str">
            <v>Dealer150</v>
          </cell>
          <cell r="E175" t="str">
            <v>DealerAndhra Pradesh6</v>
          </cell>
          <cell r="F175" t="str">
            <v>City Sales-Hyderabad</v>
          </cell>
          <cell r="G175" t="str">
            <v>City Sales-Hyderabad</v>
          </cell>
          <cell r="H175" t="str">
            <v>South</v>
          </cell>
        </row>
        <row r="176">
          <cell r="A176" t="str">
            <v>Classic Motors-Visakhapatnam</v>
          </cell>
          <cell r="B176" t="str">
            <v>Dealer</v>
          </cell>
          <cell r="C176" t="str">
            <v>DealerAndhra Pradesh</v>
          </cell>
          <cell r="D176" t="str">
            <v>Dealer151</v>
          </cell>
          <cell r="E176" t="str">
            <v>DealerAndhra Pradesh7</v>
          </cell>
          <cell r="F176" t="str">
            <v>Classic Motors-Visakhapatnam</v>
          </cell>
          <cell r="G176" t="str">
            <v>Classic Motors-Visakhapatnam</v>
          </cell>
          <cell r="H176" t="str">
            <v>South</v>
          </cell>
        </row>
        <row r="177">
          <cell r="A177" t="str">
            <v>Dakshayani Automobiles-Rajahmundry</v>
          </cell>
          <cell r="B177" t="str">
            <v>Dealer</v>
          </cell>
          <cell r="C177" t="str">
            <v>DealerAndhra Pradesh</v>
          </cell>
          <cell r="D177" t="str">
            <v>Dealer152</v>
          </cell>
          <cell r="E177" t="str">
            <v>DealerAndhra Pradesh8</v>
          </cell>
          <cell r="F177" t="str">
            <v>Dakshayani Automobiles-Rajahmundry</v>
          </cell>
          <cell r="G177" t="str">
            <v>Dakshayani Automobiles-Rajahmundry</v>
          </cell>
          <cell r="H177" t="str">
            <v>South</v>
          </cell>
        </row>
        <row r="178">
          <cell r="A178" t="str">
            <v>Dharmana Motors-Srikakulam</v>
          </cell>
          <cell r="B178" t="str">
            <v>Dealer</v>
          </cell>
          <cell r="C178" t="str">
            <v>DealerAndhra Pradesh</v>
          </cell>
          <cell r="D178" t="str">
            <v>Dealer153</v>
          </cell>
          <cell r="E178" t="str">
            <v>DealerAndhra Pradesh9</v>
          </cell>
          <cell r="F178" t="str">
            <v>Dharmana Motors-Srikakulam</v>
          </cell>
          <cell r="G178" t="str">
            <v>Dharmana Motors-Srikakulam</v>
          </cell>
          <cell r="H178" t="str">
            <v>South</v>
          </cell>
        </row>
        <row r="179">
          <cell r="A179" t="str">
            <v>Eswar Autos-Hindupur</v>
          </cell>
          <cell r="B179" t="str">
            <v>Dealer</v>
          </cell>
          <cell r="C179" t="str">
            <v>DealerAndhra Pradesh</v>
          </cell>
          <cell r="D179" t="str">
            <v>Dealer154</v>
          </cell>
          <cell r="E179" t="str">
            <v>DealerAndhra Pradesh10</v>
          </cell>
          <cell r="F179" t="str">
            <v>Eswar Autos-Hindupur</v>
          </cell>
          <cell r="G179" t="str">
            <v>Eswar Autos-Hindupur</v>
          </cell>
          <cell r="H179" t="str">
            <v>South</v>
          </cell>
        </row>
        <row r="180">
          <cell r="A180" t="str">
            <v>Kiran Komercials-Secunderabad</v>
          </cell>
          <cell r="B180" t="str">
            <v>Dealer</v>
          </cell>
          <cell r="C180" t="str">
            <v>DealerAndhra Pradesh</v>
          </cell>
          <cell r="D180" t="str">
            <v>Dealer155</v>
          </cell>
          <cell r="E180" t="str">
            <v>DealerAndhra Pradesh11</v>
          </cell>
          <cell r="F180" t="str">
            <v>Kiran Komercials-Secunderabad</v>
          </cell>
          <cell r="G180" t="str">
            <v>Kiran Komercials-Secunderabad</v>
          </cell>
          <cell r="H180" t="str">
            <v>South</v>
          </cell>
        </row>
        <row r="181">
          <cell r="A181" t="str">
            <v>Lakshmi Priya-Nellore</v>
          </cell>
          <cell r="B181" t="str">
            <v>Dealer</v>
          </cell>
          <cell r="C181" t="str">
            <v>DealerAndhra Pradesh</v>
          </cell>
          <cell r="D181" t="str">
            <v>Dealer156</v>
          </cell>
          <cell r="E181" t="str">
            <v>DealerAndhra Pradesh12</v>
          </cell>
          <cell r="F181" t="str">
            <v>Lakshmi Priya-Nellore</v>
          </cell>
          <cell r="G181" t="str">
            <v>Lakshmi Priya-Nellore</v>
          </cell>
          <cell r="H181" t="str">
            <v>South</v>
          </cell>
        </row>
        <row r="182">
          <cell r="A182" t="str">
            <v>Laxmi Motors-Adilabad</v>
          </cell>
          <cell r="B182" t="str">
            <v>Dealer</v>
          </cell>
          <cell r="C182" t="str">
            <v>DealerAndhra Pradesh</v>
          </cell>
          <cell r="D182" t="str">
            <v>Dealer157</v>
          </cell>
          <cell r="E182" t="str">
            <v>DealerAndhra Pradesh13</v>
          </cell>
          <cell r="F182" t="str">
            <v>Laxmi Motors-Adilabad</v>
          </cell>
          <cell r="G182" t="str">
            <v>Laxmi Motors-Adilabad</v>
          </cell>
          <cell r="H182" t="str">
            <v>South</v>
          </cell>
        </row>
        <row r="183">
          <cell r="A183" t="str">
            <v>M D H -T V S-Cuddapah</v>
          </cell>
          <cell r="B183" t="str">
            <v>Dealer</v>
          </cell>
          <cell r="C183" t="str">
            <v>DealerAndhra Pradesh</v>
          </cell>
          <cell r="D183" t="str">
            <v>Dealer158</v>
          </cell>
          <cell r="E183" t="str">
            <v>DealerAndhra Pradesh14</v>
          </cell>
          <cell r="F183" t="str">
            <v>M D H -T V S-Cuddapah</v>
          </cell>
          <cell r="G183" t="str">
            <v>M D H -T V S-Cuddapah</v>
          </cell>
          <cell r="H183" t="str">
            <v>South</v>
          </cell>
        </row>
        <row r="184">
          <cell r="A184" t="str">
            <v>M M. Movers Pvt.Ltd-Hyderabad</v>
          </cell>
          <cell r="B184" t="str">
            <v>Dealer</v>
          </cell>
          <cell r="C184" t="str">
            <v>DealerAndhra Pradesh</v>
          </cell>
          <cell r="D184" t="str">
            <v>Dealer159</v>
          </cell>
          <cell r="E184" t="str">
            <v>DealerAndhra Pradesh15</v>
          </cell>
          <cell r="F184" t="str">
            <v>M M. Movers Pvt.Ltd-Hyderabad</v>
          </cell>
          <cell r="G184" t="str">
            <v>M M. Movers Pvt.Ltd-Hyderabad</v>
          </cell>
          <cell r="H184" t="str">
            <v>South</v>
          </cell>
        </row>
        <row r="185">
          <cell r="A185" t="str">
            <v>M.G.Brothers Automotive Enterprises-Anantapur</v>
          </cell>
          <cell r="B185" t="str">
            <v>Dealer</v>
          </cell>
          <cell r="C185" t="str">
            <v>DealerAndhra Pradesh</v>
          </cell>
          <cell r="D185" t="str">
            <v>Dealer160</v>
          </cell>
          <cell r="E185" t="str">
            <v>DealerAndhra Pradesh16</v>
          </cell>
          <cell r="F185" t="str">
            <v>M.G.Brothers Automotive Enterprises-Anantapur</v>
          </cell>
          <cell r="G185" t="str">
            <v>M.G.Brothers Automotive Enterprises-Anantapur</v>
          </cell>
          <cell r="H185" t="str">
            <v>South</v>
          </cell>
        </row>
        <row r="186">
          <cell r="A186" t="str">
            <v>M.G.Brothers Automotive Enterprises-Kurnool</v>
          </cell>
          <cell r="B186" t="str">
            <v>Dealer</v>
          </cell>
          <cell r="C186" t="str">
            <v>DealerAndhra Pradesh</v>
          </cell>
          <cell r="D186" t="str">
            <v>Dealer161</v>
          </cell>
          <cell r="E186" t="str">
            <v>DealerAndhra Pradesh17</v>
          </cell>
          <cell r="F186" t="str">
            <v>M.G.Brothers Automotive Enterprises-Kurnool</v>
          </cell>
          <cell r="G186" t="str">
            <v>M.G.Brothers Automotive Enterprises-Kurnool</v>
          </cell>
          <cell r="H186" t="str">
            <v>South</v>
          </cell>
        </row>
        <row r="187">
          <cell r="A187" t="str">
            <v>Narella Raja Automobiles-Eluru</v>
          </cell>
          <cell r="B187" t="str">
            <v>Dealer</v>
          </cell>
          <cell r="C187" t="str">
            <v>DealerAndhra Pradesh</v>
          </cell>
          <cell r="D187" t="str">
            <v>Dealer162</v>
          </cell>
          <cell r="E187" t="str">
            <v>DealerAndhra Pradesh18</v>
          </cell>
          <cell r="F187" t="str">
            <v>Narella Raja Automobiles-Eluru</v>
          </cell>
          <cell r="G187" t="str">
            <v>Narella Raja Automobiles-Eluru</v>
          </cell>
          <cell r="H187" t="str">
            <v>South</v>
          </cell>
        </row>
        <row r="188">
          <cell r="A188" t="str">
            <v>Narella Raja Automotives-Bhimavaram</v>
          </cell>
          <cell r="B188" t="str">
            <v>Dealer</v>
          </cell>
          <cell r="C188" t="str">
            <v>DealerAndhra Pradesh</v>
          </cell>
          <cell r="D188" t="str">
            <v>Dealer163</v>
          </cell>
          <cell r="E188" t="str">
            <v>DealerAndhra Pradesh19</v>
          </cell>
          <cell r="F188" t="str">
            <v>Narella Raja Automotives-Bhimavaram</v>
          </cell>
          <cell r="G188" t="str">
            <v>Narella Raja Automotives-Bhimavaram</v>
          </cell>
          <cell r="H188" t="str">
            <v>South</v>
          </cell>
        </row>
        <row r="189">
          <cell r="A189" t="str">
            <v>Pawan Sekhar Automobiles-Vizianagaram</v>
          </cell>
          <cell r="B189" t="str">
            <v>Dealer</v>
          </cell>
          <cell r="C189" t="str">
            <v>DealerAndhra Pradesh</v>
          </cell>
          <cell r="D189" t="str">
            <v>Dealer164</v>
          </cell>
          <cell r="E189" t="str">
            <v>DealerAndhra Pradesh20</v>
          </cell>
          <cell r="F189" t="str">
            <v>Pawan Sekhar Automobiles-Vizianagaram</v>
          </cell>
          <cell r="G189" t="str">
            <v>Pawan Sekhar Automobiles-Vizianagaram</v>
          </cell>
          <cell r="H189" t="str">
            <v>South</v>
          </cell>
        </row>
        <row r="190">
          <cell r="A190" t="str">
            <v>Pioneer Automobiles-Guntur</v>
          </cell>
          <cell r="B190" t="str">
            <v>Dealer</v>
          </cell>
          <cell r="C190" t="str">
            <v>DealerAndhra Pradesh</v>
          </cell>
          <cell r="D190" t="str">
            <v>Dealer165</v>
          </cell>
          <cell r="E190" t="str">
            <v>DealerAndhra Pradesh21</v>
          </cell>
          <cell r="F190" t="str">
            <v>Pioneer Automobiles-Guntur</v>
          </cell>
          <cell r="G190" t="str">
            <v>Pioneer Automobiles-Guntur</v>
          </cell>
          <cell r="H190" t="str">
            <v>South</v>
          </cell>
        </row>
        <row r="191">
          <cell r="A191" t="str">
            <v>Pragati Auto Enterprises-Gudivada</v>
          </cell>
          <cell r="B191" t="str">
            <v>Dealer</v>
          </cell>
          <cell r="C191" t="str">
            <v>DealerAndhra Pradesh</v>
          </cell>
          <cell r="D191" t="str">
            <v>Dealer166</v>
          </cell>
          <cell r="E191" t="str">
            <v>DealerAndhra Pradesh22</v>
          </cell>
          <cell r="F191" t="str">
            <v>Pragati Auto Enterprises-Gudivada</v>
          </cell>
          <cell r="G191" t="str">
            <v>Pragati Auto Enterprises-Gudivada</v>
          </cell>
          <cell r="H191" t="str">
            <v>South</v>
          </cell>
        </row>
        <row r="192">
          <cell r="A192" t="str">
            <v>Rangaraya Auto Agency-Khammam</v>
          </cell>
          <cell r="B192" t="str">
            <v>Dealer</v>
          </cell>
          <cell r="C192" t="str">
            <v>DealerAndhra Pradesh</v>
          </cell>
          <cell r="D192" t="str">
            <v>Dealer167</v>
          </cell>
          <cell r="E192" t="str">
            <v>DealerAndhra Pradesh23</v>
          </cell>
          <cell r="F192" t="str">
            <v>Rangaraya Auto Agency-Khammam</v>
          </cell>
          <cell r="G192" t="str">
            <v>Rangaraya Auto Agency-Khammam</v>
          </cell>
          <cell r="H192" t="str">
            <v>South</v>
          </cell>
        </row>
        <row r="193">
          <cell r="A193" t="str">
            <v>Rohan Motors-Visakhapatnam</v>
          </cell>
          <cell r="B193" t="str">
            <v>Dealer</v>
          </cell>
          <cell r="C193" t="str">
            <v>DealerAndhra Pradesh</v>
          </cell>
          <cell r="D193" t="str">
            <v>Dealer168</v>
          </cell>
          <cell r="E193" t="str">
            <v>DealerAndhra Pradesh24</v>
          </cell>
          <cell r="F193" t="str">
            <v>Rohan Motors-Visakhapatnam</v>
          </cell>
          <cell r="G193" t="str">
            <v>Rohan Motors-Visakhapatnam</v>
          </cell>
          <cell r="H193" t="str">
            <v>South</v>
          </cell>
        </row>
        <row r="194">
          <cell r="A194" t="str">
            <v>Sai Lakshmi Motors-Chittoor</v>
          </cell>
          <cell r="B194" t="str">
            <v>Dealer</v>
          </cell>
          <cell r="C194" t="str">
            <v>DealerAndhra Pradesh</v>
          </cell>
          <cell r="D194" t="str">
            <v>Dealer169</v>
          </cell>
          <cell r="E194" t="str">
            <v>DealerAndhra Pradesh25</v>
          </cell>
          <cell r="F194" t="str">
            <v>Sai Lakshmi Motors-Chittoor</v>
          </cell>
          <cell r="G194" t="str">
            <v>Sai Lakshmi Motors-Chittoor</v>
          </cell>
          <cell r="H194" t="str">
            <v>South</v>
          </cell>
        </row>
        <row r="195">
          <cell r="A195" t="str">
            <v>Sai Motors-Nizamabad</v>
          </cell>
          <cell r="B195" t="str">
            <v>Dealer</v>
          </cell>
          <cell r="C195" t="str">
            <v>DealerAndhra Pradesh</v>
          </cell>
          <cell r="D195" t="str">
            <v>Dealer170</v>
          </cell>
          <cell r="E195" t="str">
            <v>DealerAndhra Pradesh26</v>
          </cell>
          <cell r="F195" t="str">
            <v>Sai Motors-Nizamabad</v>
          </cell>
          <cell r="G195" t="str">
            <v>Sai Motors-Nizamabad</v>
          </cell>
          <cell r="H195" t="str">
            <v>South</v>
          </cell>
        </row>
        <row r="196">
          <cell r="A196" t="str">
            <v>Secunderabad Motors-Hyderabad</v>
          </cell>
          <cell r="B196" t="str">
            <v>Dealer</v>
          </cell>
          <cell r="C196" t="str">
            <v>DealerAndhra Pradesh</v>
          </cell>
          <cell r="D196" t="str">
            <v>Dealer171</v>
          </cell>
          <cell r="E196" t="str">
            <v>DealerAndhra Pradesh27</v>
          </cell>
          <cell r="F196" t="str">
            <v>Secunderabad Motors-Hyderabad</v>
          </cell>
          <cell r="G196" t="str">
            <v>Secunderabad Motors-Hyderabad</v>
          </cell>
          <cell r="H196" t="str">
            <v>South</v>
          </cell>
        </row>
        <row r="197">
          <cell r="A197" t="str">
            <v>Siri Motors Private Limited-Hyderabad</v>
          </cell>
          <cell r="B197" t="str">
            <v>Dealer</v>
          </cell>
          <cell r="C197" t="str">
            <v>DealerAndhra Pradesh</v>
          </cell>
          <cell r="D197" t="str">
            <v>Dealer172</v>
          </cell>
          <cell r="E197" t="str">
            <v>DealerAndhra Pradesh28</v>
          </cell>
          <cell r="F197" t="str">
            <v>Siri Motors Private Limited-Hyderabad</v>
          </cell>
          <cell r="G197" t="str">
            <v>Siri Motors Private Limited-Hyderabad</v>
          </cell>
          <cell r="H197" t="str">
            <v>South</v>
          </cell>
        </row>
        <row r="198">
          <cell r="A198" t="str">
            <v>Sri Gokul Motors-Rajahmundry</v>
          </cell>
          <cell r="B198" t="str">
            <v>Dealer</v>
          </cell>
          <cell r="C198" t="str">
            <v>DealerAndhra Pradesh</v>
          </cell>
          <cell r="D198" t="str">
            <v>Dealer173</v>
          </cell>
          <cell r="E198" t="str">
            <v>DealerAndhra Pradesh29</v>
          </cell>
          <cell r="F198" t="str">
            <v>Sri Gokul Motors-Rajahmundry</v>
          </cell>
          <cell r="G198" t="str">
            <v>Sri Gokul Motors-Rajahmundry</v>
          </cell>
          <cell r="H198" t="str">
            <v>South</v>
          </cell>
        </row>
        <row r="199">
          <cell r="A199" t="str">
            <v>Sri Raghavendra Automobiles-Madanapalle</v>
          </cell>
          <cell r="B199" t="str">
            <v>Dealer</v>
          </cell>
          <cell r="C199" t="str">
            <v>DealerAndhra Pradesh</v>
          </cell>
          <cell r="D199" t="str">
            <v>Dealer174</v>
          </cell>
          <cell r="E199" t="str">
            <v>DealerAndhra Pradesh30</v>
          </cell>
          <cell r="F199" t="str">
            <v>Sri Raghavendra Automobiles-Madanapalle</v>
          </cell>
          <cell r="G199" t="str">
            <v>Sri Raghavendra Automobiles-Madanapalle</v>
          </cell>
          <cell r="H199" t="str">
            <v>South</v>
          </cell>
        </row>
        <row r="200">
          <cell r="A200" t="str">
            <v>Sri Rama Engineering Co.,-Mahabubnagar</v>
          </cell>
          <cell r="B200" t="str">
            <v>Dealer</v>
          </cell>
          <cell r="C200" t="str">
            <v>DealerAndhra Pradesh</v>
          </cell>
          <cell r="D200" t="str">
            <v>Dealer175</v>
          </cell>
          <cell r="E200" t="str">
            <v>DealerAndhra Pradesh31</v>
          </cell>
          <cell r="F200" t="str">
            <v>Sri Rama Engineering Co.,-Mahabubnagar</v>
          </cell>
          <cell r="G200" t="str">
            <v>Sri Rama Engineering Co.,-Mahabubnagar</v>
          </cell>
          <cell r="H200" t="str">
            <v>South</v>
          </cell>
        </row>
        <row r="201">
          <cell r="A201" t="str">
            <v>Sri Sai Automobiles-Nandyal</v>
          </cell>
          <cell r="B201" t="str">
            <v>Dealer</v>
          </cell>
          <cell r="C201" t="str">
            <v>DealerAndhra Pradesh</v>
          </cell>
          <cell r="D201" t="str">
            <v>Dealer176</v>
          </cell>
          <cell r="E201" t="str">
            <v>DealerAndhra Pradesh32</v>
          </cell>
          <cell r="F201" t="str">
            <v>Sri Sai Automobiles-Nandyal</v>
          </cell>
          <cell r="G201" t="str">
            <v>Sri Sai Automobiles-Nandyal</v>
          </cell>
          <cell r="H201" t="str">
            <v>South</v>
          </cell>
        </row>
        <row r="202">
          <cell r="A202" t="str">
            <v>Sri Sowbhagya Automobiles-Kakinada</v>
          </cell>
          <cell r="B202" t="str">
            <v>Dealer</v>
          </cell>
          <cell r="C202" t="str">
            <v>DealerAndhra Pradesh</v>
          </cell>
          <cell r="D202" t="str">
            <v>Dealer177</v>
          </cell>
          <cell r="E202" t="str">
            <v>DealerAndhra Pradesh33</v>
          </cell>
          <cell r="F202" t="str">
            <v>Sri Sowbhagya Automobiles-Kakinada</v>
          </cell>
          <cell r="G202" t="str">
            <v>Sri Sowbhagya Automobiles-Kakinada</v>
          </cell>
          <cell r="H202" t="str">
            <v>South</v>
          </cell>
        </row>
        <row r="203">
          <cell r="A203" t="str">
            <v>Vijaya Bharathi Enterprises-Tirupati</v>
          </cell>
          <cell r="B203" t="str">
            <v>Dealer</v>
          </cell>
          <cell r="C203" t="str">
            <v>DealerAndhra Pradesh</v>
          </cell>
          <cell r="D203" t="str">
            <v>Dealer178</v>
          </cell>
          <cell r="E203" t="str">
            <v>DealerAndhra Pradesh34</v>
          </cell>
          <cell r="F203" t="str">
            <v>Vijaya Bharathi Enterprises-Tirupati</v>
          </cell>
          <cell r="G203" t="str">
            <v>Vijaya Bharathi Enterprises-Tirupati</v>
          </cell>
          <cell r="H203" t="str">
            <v>South</v>
          </cell>
        </row>
        <row r="204">
          <cell r="A204" t="str">
            <v>Vishnu Agencies-Miriyalguda</v>
          </cell>
          <cell r="B204" t="str">
            <v>Dealer</v>
          </cell>
          <cell r="C204" t="str">
            <v>DealerAndhra Pradesh</v>
          </cell>
          <cell r="D204" t="str">
            <v>Dealer179</v>
          </cell>
          <cell r="E204" t="str">
            <v>DealerAndhra Pradesh35</v>
          </cell>
          <cell r="F204" t="str">
            <v>Vishnu Agencies-Miriyalguda</v>
          </cell>
          <cell r="G204" t="str">
            <v>Vishnu Agencies-Miriyalguda</v>
          </cell>
          <cell r="H204" t="str">
            <v>South</v>
          </cell>
        </row>
        <row r="205">
          <cell r="A205" t="str">
            <v>Vishnu Priya Automotives-Ongole</v>
          </cell>
          <cell r="B205" t="str">
            <v>Dealer</v>
          </cell>
          <cell r="C205" t="str">
            <v>DealerAndhra Pradesh</v>
          </cell>
          <cell r="D205" t="str">
            <v>Dealer180</v>
          </cell>
          <cell r="E205" t="str">
            <v>DealerAndhra Pradesh36</v>
          </cell>
          <cell r="F205" t="str">
            <v>Vishnu Priya Automotives-Ongole</v>
          </cell>
          <cell r="G205" t="str">
            <v>Vishnu Priya Automotives-Ongole</v>
          </cell>
          <cell r="H205" t="str">
            <v>South</v>
          </cell>
        </row>
        <row r="206">
          <cell r="A206" t="str">
            <v>Arjun Auto Agencies-Bellary</v>
          </cell>
          <cell r="B206" t="str">
            <v>Dealer</v>
          </cell>
          <cell r="C206" t="str">
            <v>DealerKarnataka</v>
          </cell>
          <cell r="D206" t="str">
            <v>Dealer181</v>
          </cell>
          <cell r="E206" t="str">
            <v>DealerKarnataka1</v>
          </cell>
          <cell r="F206" t="str">
            <v>Arjun Auto Agencies-Bellary</v>
          </cell>
          <cell r="G206" t="str">
            <v>Arjun Auto Agencies-Bellary</v>
          </cell>
          <cell r="H206" t="str">
            <v>South</v>
          </cell>
        </row>
        <row r="207">
          <cell r="A207" t="str">
            <v>Ashwa Motors-Bangalore</v>
          </cell>
          <cell r="B207" t="str">
            <v>Dealer</v>
          </cell>
          <cell r="C207" t="str">
            <v>DealerKarnataka</v>
          </cell>
          <cell r="D207" t="str">
            <v>Dealer182</v>
          </cell>
          <cell r="E207" t="str">
            <v>DealerKarnataka2</v>
          </cell>
          <cell r="F207" t="str">
            <v>Ashwa Motors-Bangalore</v>
          </cell>
          <cell r="G207" t="str">
            <v>Ashwa Motors-Bangalore</v>
          </cell>
          <cell r="H207" t="str">
            <v>South</v>
          </cell>
        </row>
        <row r="208">
          <cell r="A208" t="str">
            <v>Bridgestone Agencies-Bangalore</v>
          </cell>
          <cell r="B208" t="str">
            <v>Dealer</v>
          </cell>
          <cell r="C208" t="str">
            <v>DealerKarnataka</v>
          </cell>
          <cell r="D208" t="str">
            <v>Dealer183</v>
          </cell>
          <cell r="E208" t="str">
            <v>DealerKarnataka3</v>
          </cell>
          <cell r="F208" t="str">
            <v>Bridgestone Agencies-Bangalore</v>
          </cell>
          <cell r="G208" t="str">
            <v>Bridgestone Agencies-Bangalore</v>
          </cell>
          <cell r="H208" t="str">
            <v>South</v>
          </cell>
        </row>
        <row r="209">
          <cell r="A209" t="str">
            <v>Chetan Udyog-Sagar</v>
          </cell>
          <cell r="B209" t="str">
            <v>Dealer</v>
          </cell>
          <cell r="C209" t="str">
            <v>DealerKarnataka</v>
          </cell>
          <cell r="D209" t="str">
            <v>Dealer184</v>
          </cell>
          <cell r="E209" t="str">
            <v>DealerKarnataka4</v>
          </cell>
          <cell r="F209" t="str">
            <v>Chetan Udyog-Sagar</v>
          </cell>
          <cell r="G209" t="str">
            <v>Chetan Udyog-Sagar</v>
          </cell>
          <cell r="H209" t="str">
            <v>South</v>
          </cell>
        </row>
        <row r="210">
          <cell r="A210" t="str">
            <v>Dempo Marketing Co.Ltd-Panaji</v>
          </cell>
          <cell r="B210" t="str">
            <v>Dealer</v>
          </cell>
          <cell r="C210" t="str">
            <v>DealerKarnataka</v>
          </cell>
          <cell r="D210" t="str">
            <v>Dealer185</v>
          </cell>
          <cell r="E210" t="str">
            <v>DealerKarnataka5</v>
          </cell>
          <cell r="F210" t="str">
            <v>Dempo Marketing Co.Ltd-Panaji</v>
          </cell>
          <cell r="G210" t="str">
            <v>Dempo Marketing Co.Ltd-Panaji</v>
          </cell>
          <cell r="H210" t="str">
            <v>South</v>
          </cell>
        </row>
        <row r="211">
          <cell r="A211" t="str">
            <v>Ganesh Motors-Davanagere</v>
          </cell>
          <cell r="B211" t="str">
            <v>Dealer</v>
          </cell>
          <cell r="C211" t="str">
            <v>DealerKarnataka</v>
          </cell>
          <cell r="D211" t="str">
            <v>Dealer186</v>
          </cell>
          <cell r="E211" t="str">
            <v>DealerKarnataka6</v>
          </cell>
          <cell r="F211" t="str">
            <v>Ganesh Motors-Davanagere</v>
          </cell>
          <cell r="G211" t="str">
            <v>Ganesh Motors-Davanagere</v>
          </cell>
          <cell r="H211" t="str">
            <v>South</v>
          </cell>
        </row>
        <row r="212">
          <cell r="A212" t="str">
            <v>Jaganmatha Auto Care-Gangavathi</v>
          </cell>
          <cell r="B212" t="str">
            <v>Dealer</v>
          </cell>
          <cell r="C212" t="str">
            <v>DealerKarnataka</v>
          </cell>
          <cell r="D212" t="str">
            <v>Dealer187</v>
          </cell>
          <cell r="E212" t="str">
            <v>DealerKarnataka7</v>
          </cell>
          <cell r="F212" t="str">
            <v>Jaganmatha Auto Care-Gangavathi</v>
          </cell>
          <cell r="G212" t="str">
            <v>Jaganmatha Auto Care-Gangavathi</v>
          </cell>
          <cell r="H212" t="str">
            <v>South</v>
          </cell>
        </row>
        <row r="213">
          <cell r="A213" t="str">
            <v>Kanchana Motors (P) Ltd-Mangalore</v>
          </cell>
          <cell r="B213" t="str">
            <v>Dealer</v>
          </cell>
          <cell r="C213" t="str">
            <v>DealerKarnataka</v>
          </cell>
          <cell r="D213" t="str">
            <v>Dealer188</v>
          </cell>
          <cell r="E213" t="str">
            <v>DealerKarnataka8</v>
          </cell>
          <cell r="F213" t="str">
            <v>Kanchana Motors (P) Ltd-Mangalore</v>
          </cell>
          <cell r="G213" t="str">
            <v>Kanchana Motors (P) Ltd-Mangalore</v>
          </cell>
          <cell r="H213" t="str">
            <v>South</v>
          </cell>
        </row>
        <row r="214">
          <cell r="A214" t="str">
            <v>Kumatgi Motors-Bagalkot</v>
          </cell>
          <cell r="B214" t="str">
            <v>Dealer</v>
          </cell>
          <cell r="C214" t="str">
            <v>DealerKarnataka</v>
          </cell>
          <cell r="D214" t="str">
            <v>Dealer189</v>
          </cell>
          <cell r="E214" t="str">
            <v>DealerKarnataka9</v>
          </cell>
          <cell r="F214" t="str">
            <v>Kumatgi Motors-Bagalkot</v>
          </cell>
          <cell r="G214" t="str">
            <v>Kumatgi Motors-Bagalkot</v>
          </cell>
          <cell r="H214" t="str">
            <v>South</v>
          </cell>
        </row>
        <row r="215">
          <cell r="A215" t="str">
            <v>M.G.S. Motors-Chickmagalur</v>
          </cell>
          <cell r="B215" t="str">
            <v>Dealer</v>
          </cell>
          <cell r="C215" t="str">
            <v>DealerKarnataka</v>
          </cell>
          <cell r="D215" t="str">
            <v>Dealer190</v>
          </cell>
          <cell r="E215" t="str">
            <v>DealerKarnataka10</v>
          </cell>
          <cell r="F215" t="str">
            <v>M.G.S. Motors-Chickmagalur</v>
          </cell>
          <cell r="G215" t="str">
            <v>M.G.S. Motors-Chickmagalur</v>
          </cell>
          <cell r="H215" t="str">
            <v>South</v>
          </cell>
        </row>
        <row r="216">
          <cell r="A216" t="str">
            <v>Madras Auto Service-Margoa</v>
          </cell>
          <cell r="B216" t="str">
            <v>Dealer</v>
          </cell>
          <cell r="C216" t="str">
            <v>DealerKarnataka</v>
          </cell>
          <cell r="D216" t="str">
            <v>Dealer191</v>
          </cell>
          <cell r="E216" t="str">
            <v>DealerKarnataka11</v>
          </cell>
          <cell r="F216" t="str">
            <v>Madras Auto Service-Margoa</v>
          </cell>
          <cell r="G216" t="str">
            <v>Madras Auto Service-Margoa</v>
          </cell>
          <cell r="H216" t="str">
            <v>South</v>
          </cell>
        </row>
        <row r="217">
          <cell r="A217" t="str">
            <v>Mahalasa Motors(P) Limited-Mangalore</v>
          </cell>
          <cell r="B217" t="str">
            <v>Dealer</v>
          </cell>
          <cell r="C217" t="str">
            <v>DealerKarnataka</v>
          </cell>
          <cell r="D217" t="str">
            <v>Dealer192</v>
          </cell>
          <cell r="E217" t="str">
            <v>DealerKarnataka12</v>
          </cell>
          <cell r="F217" t="str">
            <v>Mahalasa Motors(P) Limited-Mangalore</v>
          </cell>
          <cell r="G217" t="str">
            <v>Mahalasa Motors(P) Limited-Mangalore</v>
          </cell>
          <cell r="H217" t="str">
            <v>South</v>
          </cell>
        </row>
        <row r="218">
          <cell r="A218" t="str">
            <v>Manickbag Engineers-Belgaum</v>
          </cell>
          <cell r="B218" t="str">
            <v>Dealer</v>
          </cell>
          <cell r="C218" t="str">
            <v>DealerKarnataka</v>
          </cell>
          <cell r="D218" t="str">
            <v>Dealer193</v>
          </cell>
          <cell r="E218" t="str">
            <v>DealerKarnataka13</v>
          </cell>
          <cell r="F218" t="str">
            <v>Manickbag Engineers-Belgaum</v>
          </cell>
          <cell r="G218" t="str">
            <v>Manickbag Engineers-Belgaum</v>
          </cell>
          <cell r="H218" t="str">
            <v>South</v>
          </cell>
        </row>
        <row r="219">
          <cell r="A219" t="str">
            <v>Meghdooth Motors-Bangalore</v>
          </cell>
          <cell r="B219" t="str">
            <v>Dealer</v>
          </cell>
          <cell r="C219" t="str">
            <v>DealerKarnataka</v>
          </cell>
          <cell r="D219" t="str">
            <v>Dealer194</v>
          </cell>
          <cell r="E219" t="str">
            <v>DealerKarnataka14</v>
          </cell>
          <cell r="F219" t="str">
            <v>Meghdooth Motors-Bangalore</v>
          </cell>
          <cell r="G219" t="str">
            <v>Meghdooth Motors-Bangalore</v>
          </cell>
          <cell r="H219" t="str">
            <v>South</v>
          </cell>
        </row>
        <row r="220">
          <cell r="A220" t="str">
            <v>Minnie Motors-Tumkur</v>
          </cell>
          <cell r="B220" t="str">
            <v>Dealer</v>
          </cell>
          <cell r="C220" t="str">
            <v>DealerKarnataka</v>
          </cell>
          <cell r="D220" t="str">
            <v>Dealer195</v>
          </cell>
          <cell r="E220" t="str">
            <v>DealerKarnataka15</v>
          </cell>
          <cell r="F220" t="str">
            <v>Minnie Motors-Tumkur</v>
          </cell>
          <cell r="G220" t="str">
            <v>Minnie Motors-Tumkur</v>
          </cell>
          <cell r="H220" t="str">
            <v>South</v>
          </cell>
        </row>
        <row r="221">
          <cell r="A221" t="str">
            <v>Murgod Automobiles-Jamkhandi</v>
          </cell>
          <cell r="B221" t="str">
            <v>Dealer</v>
          </cell>
          <cell r="C221" t="str">
            <v>DealerKarnataka</v>
          </cell>
          <cell r="D221" t="str">
            <v>Dealer196</v>
          </cell>
          <cell r="E221" t="str">
            <v>DealerKarnataka16</v>
          </cell>
          <cell r="F221" t="str">
            <v>Murgod Automobiles-Jamkhandi</v>
          </cell>
          <cell r="G221" t="str">
            <v>Murgod Automobiles-Jamkhandi</v>
          </cell>
          <cell r="H221" t="str">
            <v>South</v>
          </cell>
        </row>
        <row r="222">
          <cell r="A222" t="str">
            <v>Nisty Automotives-Gulbarga</v>
          </cell>
          <cell r="B222" t="str">
            <v>Dealer</v>
          </cell>
          <cell r="C222" t="str">
            <v>DealerKarnataka</v>
          </cell>
          <cell r="D222" t="str">
            <v>Dealer197</v>
          </cell>
          <cell r="E222" t="str">
            <v>DealerKarnataka17</v>
          </cell>
          <cell r="F222" t="str">
            <v>Nisty Automotives-Gulbarga</v>
          </cell>
          <cell r="G222" t="str">
            <v>Nisty Automotives-Gulbarga</v>
          </cell>
          <cell r="H222" t="str">
            <v>South</v>
          </cell>
        </row>
        <row r="223">
          <cell r="A223" t="str">
            <v>Orion Motors-Bangalore</v>
          </cell>
          <cell r="B223" t="str">
            <v>Dealer</v>
          </cell>
          <cell r="C223" t="str">
            <v>DealerKarnataka</v>
          </cell>
          <cell r="D223" t="str">
            <v>Dealer198</v>
          </cell>
          <cell r="E223" t="str">
            <v>DealerKarnataka18</v>
          </cell>
          <cell r="F223" t="str">
            <v>Orion Motors-Bangalore</v>
          </cell>
          <cell r="G223" t="str">
            <v>Orion Motors-Bangalore</v>
          </cell>
          <cell r="H223" t="str">
            <v>South</v>
          </cell>
        </row>
        <row r="224">
          <cell r="A224" t="str">
            <v>Pande Motors-Bidar</v>
          </cell>
          <cell r="B224" t="str">
            <v>Dealer</v>
          </cell>
          <cell r="C224" t="str">
            <v>DealerKarnataka</v>
          </cell>
          <cell r="D224" t="str">
            <v>Dealer199</v>
          </cell>
          <cell r="E224" t="str">
            <v>DealerKarnataka19</v>
          </cell>
          <cell r="F224" t="str">
            <v>Pande Motors-Bidar</v>
          </cell>
          <cell r="G224" t="str">
            <v>Pande Motors-Bidar</v>
          </cell>
          <cell r="H224" t="str">
            <v>South</v>
          </cell>
        </row>
        <row r="225">
          <cell r="A225" t="str">
            <v>Patravali Automobiles-Belgaum</v>
          </cell>
          <cell r="B225" t="str">
            <v>Dealer</v>
          </cell>
          <cell r="C225" t="str">
            <v>DealerKarnataka</v>
          </cell>
          <cell r="D225" t="str">
            <v>Dealer200</v>
          </cell>
          <cell r="E225" t="str">
            <v>DealerKarnataka20</v>
          </cell>
          <cell r="F225" t="str">
            <v>Patravali Automobiles-Belgaum</v>
          </cell>
          <cell r="G225" t="str">
            <v>Patravali Automobiles-Belgaum</v>
          </cell>
          <cell r="H225" t="str">
            <v>South</v>
          </cell>
        </row>
        <row r="226">
          <cell r="A226" t="str">
            <v>Patravali Automobiles-Gokak</v>
          </cell>
          <cell r="B226" t="str">
            <v>Dealer</v>
          </cell>
          <cell r="C226" t="str">
            <v>DealerKarnataka</v>
          </cell>
          <cell r="D226" t="str">
            <v>Dealer201</v>
          </cell>
          <cell r="E226" t="str">
            <v>DealerKarnataka21</v>
          </cell>
          <cell r="F226" t="str">
            <v>Patravali Automobiles-Gokak</v>
          </cell>
          <cell r="G226" t="str">
            <v>Patravali Automobiles-Gokak</v>
          </cell>
          <cell r="H226" t="str">
            <v>South</v>
          </cell>
        </row>
        <row r="227">
          <cell r="A227" t="str">
            <v>Prayag Motors-Mandya</v>
          </cell>
          <cell r="B227" t="str">
            <v>Dealer</v>
          </cell>
          <cell r="C227" t="str">
            <v>DealerKarnataka</v>
          </cell>
          <cell r="D227" t="str">
            <v>Dealer202</v>
          </cell>
          <cell r="E227" t="str">
            <v>DealerKarnataka22</v>
          </cell>
          <cell r="F227" t="str">
            <v>Prayag Motors-Mandya</v>
          </cell>
          <cell r="G227" t="str">
            <v>Prayag Motors-Mandya</v>
          </cell>
          <cell r="H227" t="str">
            <v>South</v>
          </cell>
        </row>
        <row r="228">
          <cell r="A228" t="str">
            <v>Ratnakar Associates Pvt.Ltd-Hubli</v>
          </cell>
          <cell r="B228" t="str">
            <v>Dealer</v>
          </cell>
          <cell r="C228" t="str">
            <v>DealerKarnataka</v>
          </cell>
          <cell r="D228" t="str">
            <v>Dealer203</v>
          </cell>
          <cell r="E228" t="str">
            <v>DealerKarnataka23</v>
          </cell>
          <cell r="F228" t="str">
            <v>Ratnakar Associates Pvt.Ltd-Hubli</v>
          </cell>
          <cell r="G228" t="str">
            <v>Ratnakar Associates Pvt.Ltd-Hubli</v>
          </cell>
          <cell r="H228" t="str">
            <v>South</v>
          </cell>
        </row>
        <row r="229">
          <cell r="A229" t="str">
            <v>Sandesh Motors-Shimoga</v>
          </cell>
          <cell r="B229" t="str">
            <v>Dealer</v>
          </cell>
          <cell r="C229" t="str">
            <v>DealerKarnataka</v>
          </cell>
          <cell r="D229" t="str">
            <v>Dealer204</v>
          </cell>
          <cell r="E229" t="str">
            <v>DealerKarnataka24</v>
          </cell>
          <cell r="F229" t="str">
            <v>Sandesh Motors-Shimoga</v>
          </cell>
          <cell r="G229" t="str">
            <v>Sandesh Motors-Shimoga</v>
          </cell>
          <cell r="H229" t="str">
            <v>South</v>
          </cell>
        </row>
        <row r="230">
          <cell r="A230" t="str">
            <v>Saravana Enterprises-Kolar Gold Fields</v>
          </cell>
          <cell r="B230" t="str">
            <v>Dealer</v>
          </cell>
          <cell r="C230" t="str">
            <v>DealerKarnataka</v>
          </cell>
          <cell r="D230" t="str">
            <v>Dealer205</v>
          </cell>
          <cell r="E230" t="str">
            <v>DealerKarnataka25</v>
          </cell>
          <cell r="F230" t="str">
            <v>Saravana Enterprises-Kolar Gold Fields</v>
          </cell>
          <cell r="G230" t="str">
            <v>Saravana Enterprises-Kolar Gold Fields</v>
          </cell>
          <cell r="H230" t="str">
            <v>South</v>
          </cell>
        </row>
        <row r="231">
          <cell r="A231" t="str">
            <v>Shanthi Agencies-Chitradurga</v>
          </cell>
          <cell r="B231" t="str">
            <v>Dealer</v>
          </cell>
          <cell r="C231" t="str">
            <v>DealerKarnataka</v>
          </cell>
          <cell r="D231" t="str">
            <v>Dealer206</v>
          </cell>
          <cell r="E231" t="str">
            <v>DealerKarnataka26</v>
          </cell>
          <cell r="F231" t="str">
            <v>Shanthi Agencies-Chitradurga</v>
          </cell>
          <cell r="G231" t="str">
            <v>Shanthi Agencies-Chitradurga</v>
          </cell>
          <cell r="H231" t="str">
            <v>South</v>
          </cell>
        </row>
        <row r="232">
          <cell r="A232" t="str">
            <v>Shanthi Agencies-Shimoga</v>
          </cell>
          <cell r="B232" t="str">
            <v>Dealer</v>
          </cell>
          <cell r="C232" t="str">
            <v>DealerKarnataka</v>
          </cell>
          <cell r="D232" t="str">
            <v>Dealer207</v>
          </cell>
          <cell r="E232" t="str">
            <v>DealerKarnataka27</v>
          </cell>
          <cell r="F232" t="str">
            <v>Shanthi Agencies-Shimoga</v>
          </cell>
          <cell r="G232" t="str">
            <v>Shanthi Agencies-Shimoga</v>
          </cell>
          <cell r="H232" t="str">
            <v>South</v>
          </cell>
        </row>
        <row r="233">
          <cell r="A233" t="str">
            <v>Shree Krishna Automobiles-Bijapur</v>
          </cell>
          <cell r="B233" t="str">
            <v>Dealer</v>
          </cell>
          <cell r="C233" t="str">
            <v>DealerKarnataka</v>
          </cell>
          <cell r="D233" t="str">
            <v>Dealer208</v>
          </cell>
          <cell r="E233" t="str">
            <v>DealerKarnataka28</v>
          </cell>
          <cell r="F233" t="str">
            <v>Shree Krishna Automobiles-Bijapur</v>
          </cell>
          <cell r="G233" t="str">
            <v>Shree Krishna Automobiles-Bijapur</v>
          </cell>
          <cell r="H233" t="str">
            <v>South</v>
          </cell>
        </row>
        <row r="234">
          <cell r="A234" t="str">
            <v>Sona Motors-Mysore</v>
          </cell>
          <cell r="B234" t="str">
            <v>Dealer</v>
          </cell>
          <cell r="C234" t="str">
            <v>DealerKarnataka</v>
          </cell>
          <cell r="D234" t="str">
            <v>Dealer209</v>
          </cell>
          <cell r="E234" t="str">
            <v>DealerKarnataka29</v>
          </cell>
          <cell r="F234" t="str">
            <v>Sona Motors-Mysore</v>
          </cell>
          <cell r="G234" t="str">
            <v>Sona Motors-Mysore</v>
          </cell>
          <cell r="H234" t="str">
            <v>South</v>
          </cell>
        </row>
        <row r="235">
          <cell r="A235" t="str">
            <v>Sri Shankar Motors-Hassan</v>
          </cell>
          <cell r="B235" t="str">
            <v>Dealer</v>
          </cell>
          <cell r="C235" t="str">
            <v>DealerKarnataka</v>
          </cell>
          <cell r="D235" t="str">
            <v>Dealer210</v>
          </cell>
          <cell r="E235" t="str">
            <v>DealerKarnataka30</v>
          </cell>
          <cell r="F235" t="str">
            <v>Sri Shankar Motors-Hassan</v>
          </cell>
          <cell r="G235" t="str">
            <v>Sri Shankar Motors-Hassan</v>
          </cell>
          <cell r="H235" t="str">
            <v>South</v>
          </cell>
        </row>
        <row r="236">
          <cell r="A236" t="str">
            <v>The Bharath Automobile Agency-Bangalore</v>
          </cell>
          <cell r="B236" t="str">
            <v>Dealer</v>
          </cell>
          <cell r="C236" t="str">
            <v>DealerKarnataka</v>
          </cell>
          <cell r="D236" t="str">
            <v>Dealer211</v>
          </cell>
          <cell r="E236" t="str">
            <v>DealerKarnataka31</v>
          </cell>
          <cell r="F236" t="str">
            <v>The Bharath Automobile Agency-Bangalore</v>
          </cell>
          <cell r="G236" t="str">
            <v>The Bharath Automobile Agency-Bangalore</v>
          </cell>
          <cell r="H236" t="str">
            <v>South</v>
          </cell>
        </row>
        <row r="237">
          <cell r="A237" t="str">
            <v>The Bharath Automobiles (Agencies)-Bangalore</v>
          </cell>
          <cell r="B237" t="str">
            <v>Dealer</v>
          </cell>
          <cell r="C237" t="str">
            <v>DealerKarnataka</v>
          </cell>
          <cell r="D237" t="str">
            <v>Dealer212</v>
          </cell>
          <cell r="E237" t="str">
            <v>DealerKarnataka32</v>
          </cell>
          <cell r="F237" t="str">
            <v>The Bharath Automobiles (Agencies)-Bangalore</v>
          </cell>
          <cell r="G237" t="str">
            <v>The Bharath Automobiles (Agencies)-Bangalore</v>
          </cell>
          <cell r="H237" t="str">
            <v>South</v>
          </cell>
        </row>
        <row r="238">
          <cell r="A238" t="str">
            <v>Tristar Motors-Bangalore</v>
          </cell>
          <cell r="B238" t="str">
            <v>Dealer</v>
          </cell>
          <cell r="C238" t="str">
            <v>DealerKarnataka</v>
          </cell>
          <cell r="D238" t="str">
            <v>Dealer213</v>
          </cell>
          <cell r="E238" t="str">
            <v>DealerKarnataka33</v>
          </cell>
          <cell r="F238" t="str">
            <v>Tristar Motors-Bangalore</v>
          </cell>
          <cell r="G238" t="str">
            <v>Tristar Motors-Bangalore</v>
          </cell>
          <cell r="H238" t="str">
            <v>South</v>
          </cell>
        </row>
        <row r="239">
          <cell r="A239" t="str">
            <v>Triton Motors-Bangalore</v>
          </cell>
          <cell r="B239" t="str">
            <v>Dealer</v>
          </cell>
          <cell r="C239" t="str">
            <v>DealerKarnataka</v>
          </cell>
          <cell r="D239" t="str">
            <v>Dealer214</v>
          </cell>
          <cell r="E239" t="str">
            <v>DealerKarnataka34</v>
          </cell>
          <cell r="F239" t="str">
            <v>Triton Motors-Bangalore</v>
          </cell>
          <cell r="G239" t="str">
            <v>Triton Motors-Bangalore</v>
          </cell>
          <cell r="H239" t="str">
            <v>South</v>
          </cell>
        </row>
        <row r="240">
          <cell r="A240" t="str">
            <v>Uma Motors &amp; Services-Hospet</v>
          </cell>
          <cell r="B240" t="str">
            <v>Dealer</v>
          </cell>
          <cell r="C240" t="str">
            <v>DealerKarnataka</v>
          </cell>
          <cell r="D240" t="str">
            <v>Dealer215</v>
          </cell>
          <cell r="E240" t="str">
            <v>DealerKarnataka35</v>
          </cell>
          <cell r="F240" t="str">
            <v>Uma Motors &amp; Services-Hospet</v>
          </cell>
          <cell r="G240" t="str">
            <v>Uma Motors &amp; Services-Hospet</v>
          </cell>
          <cell r="H240" t="str">
            <v>South</v>
          </cell>
        </row>
        <row r="241">
          <cell r="A241" t="str">
            <v>Vastrad Automobiles-Gadag</v>
          </cell>
          <cell r="B241" t="str">
            <v>Dealer</v>
          </cell>
          <cell r="C241" t="str">
            <v>DealerKarnataka</v>
          </cell>
          <cell r="D241" t="str">
            <v>Dealer216</v>
          </cell>
          <cell r="E241" t="str">
            <v>DealerKarnataka36</v>
          </cell>
          <cell r="F241" t="str">
            <v>Vastrad Automobiles-Gadag</v>
          </cell>
          <cell r="G241" t="str">
            <v>Vastrad Automobiles-Gadag</v>
          </cell>
          <cell r="H241" t="str">
            <v>South</v>
          </cell>
        </row>
        <row r="242">
          <cell r="A242" t="str">
            <v>Veechi Motors-Udupi</v>
          </cell>
          <cell r="B242" t="str">
            <v>Dealer</v>
          </cell>
          <cell r="C242" t="str">
            <v>DealerKarnataka</v>
          </cell>
          <cell r="D242" t="str">
            <v>Dealer217</v>
          </cell>
          <cell r="E242" t="str">
            <v>DealerKarnataka37</v>
          </cell>
          <cell r="F242" t="str">
            <v>Veechi Motors-Udupi</v>
          </cell>
          <cell r="G242" t="str">
            <v>Veechi Motors-Udupi</v>
          </cell>
          <cell r="H242" t="str">
            <v>South</v>
          </cell>
        </row>
        <row r="243">
          <cell r="A243" t="str">
            <v>Vijalaxmi Auto Engineering-Hubli</v>
          </cell>
          <cell r="B243" t="str">
            <v>Dealer</v>
          </cell>
          <cell r="C243" t="str">
            <v>DealerKarnataka</v>
          </cell>
          <cell r="D243" t="str">
            <v>Dealer218</v>
          </cell>
          <cell r="E243" t="str">
            <v>DealerKarnataka38</v>
          </cell>
          <cell r="F243" t="str">
            <v>Vijalaxmi Auto Engineering-Hubli</v>
          </cell>
          <cell r="G243" t="str">
            <v>Vijalaxmi Auto Engineering-Hubli</v>
          </cell>
          <cell r="H243" t="str">
            <v>South</v>
          </cell>
        </row>
        <row r="244">
          <cell r="A244" t="str">
            <v>Anton Auto-Trivandrum</v>
          </cell>
          <cell r="B244" t="str">
            <v>Dealer</v>
          </cell>
          <cell r="C244" t="str">
            <v>DealerKerala</v>
          </cell>
          <cell r="D244" t="str">
            <v>Dealer219</v>
          </cell>
          <cell r="E244" t="str">
            <v>DealerKerala1</v>
          </cell>
          <cell r="F244" t="str">
            <v>Anton Auto-Trivandrum</v>
          </cell>
          <cell r="G244" t="str">
            <v>Anton Auto-Trivandrum</v>
          </cell>
          <cell r="H244" t="str">
            <v>South</v>
          </cell>
        </row>
        <row r="245">
          <cell r="A245" t="str">
            <v>ARV Auto Land-Alappuzha</v>
          </cell>
          <cell r="B245" t="str">
            <v>Dealer</v>
          </cell>
          <cell r="C245" t="str">
            <v>DealerKerala</v>
          </cell>
          <cell r="D245" t="str">
            <v>Dealer220</v>
          </cell>
          <cell r="E245" t="str">
            <v>DealerKerala2</v>
          </cell>
          <cell r="F245" t="str">
            <v>ARV Auto Land-Alappuzha</v>
          </cell>
          <cell r="G245" t="str">
            <v>ARV Auto Land-Alappuzha</v>
          </cell>
          <cell r="H245" t="str">
            <v>South</v>
          </cell>
        </row>
        <row r="246">
          <cell r="A246" t="str">
            <v>Athickal Automobiles-Thodupuzha</v>
          </cell>
          <cell r="B246" t="str">
            <v>Dealer</v>
          </cell>
          <cell r="C246" t="str">
            <v>DealerKerala</v>
          </cell>
          <cell r="D246" t="str">
            <v>Dealer221</v>
          </cell>
          <cell r="E246" t="str">
            <v>DealerKerala3</v>
          </cell>
          <cell r="F246" t="str">
            <v>Athickal Automobiles-Thodupuzha</v>
          </cell>
          <cell r="G246" t="str">
            <v>Athickal Automobiles-Thodupuzha</v>
          </cell>
          <cell r="H246" t="str">
            <v>South</v>
          </cell>
        </row>
        <row r="247">
          <cell r="A247" t="str">
            <v>Atlas Automobiles-Kottayam</v>
          </cell>
          <cell r="B247" t="str">
            <v>Dealer</v>
          </cell>
          <cell r="C247" t="str">
            <v>DealerKerala</v>
          </cell>
          <cell r="D247" t="str">
            <v>Dealer222</v>
          </cell>
          <cell r="E247" t="str">
            <v>DealerKerala4</v>
          </cell>
          <cell r="F247" t="str">
            <v>Atlas Automobiles-Kottayam</v>
          </cell>
          <cell r="G247" t="str">
            <v>Atlas Automobiles-Kottayam</v>
          </cell>
          <cell r="H247" t="str">
            <v>South</v>
          </cell>
        </row>
        <row r="248">
          <cell r="A248" t="str">
            <v>Central Motors-Aluva</v>
          </cell>
          <cell r="B248" t="str">
            <v>Dealer</v>
          </cell>
          <cell r="C248" t="str">
            <v>DealerKerala</v>
          </cell>
          <cell r="D248" t="str">
            <v>Dealer223</v>
          </cell>
          <cell r="E248" t="str">
            <v>DealerKerala5</v>
          </cell>
          <cell r="F248" t="str">
            <v>Central Motors-Aluva</v>
          </cell>
          <cell r="G248" t="str">
            <v>Central Motors-Aluva</v>
          </cell>
          <cell r="H248" t="str">
            <v>South</v>
          </cell>
        </row>
        <row r="249">
          <cell r="A249" t="str">
            <v>Century Associates-Trichur</v>
          </cell>
          <cell r="B249" t="str">
            <v>Dealer</v>
          </cell>
          <cell r="C249" t="str">
            <v>DealerKerala</v>
          </cell>
          <cell r="D249" t="str">
            <v>Dealer224</v>
          </cell>
          <cell r="E249" t="str">
            <v>DealerKerala6</v>
          </cell>
          <cell r="F249" t="str">
            <v>Century Associates-Trichur</v>
          </cell>
          <cell r="G249" t="str">
            <v>Century Associates-Trichur</v>
          </cell>
          <cell r="H249" t="str">
            <v>South</v>
          </cell>
        </row>
        <row r="250">
          <cell r="A250" t="str">
            <v>Classic Motors-Perinthalmanna</v>
          </cell>
          <cell r="B250" t="str">
            <v>Dealer</v>
          </cell>
          <cell r="C250" t="str">
            <v>DealerKerala</v>
          </cell>
          <cell r="D250" t="str">
            <v>Dealer225</v>
          </cell>
          <cell r="E250" t="str">
            <v>DealerKerala7</v>
          </cell>
          <cell r="F250" t="str">
            <v>Classic Motors-Perinthalmanna</v>
          </cell>
          <cell r="G250" t="str">
            <v>Classic Motors-Perinthalmanna</v>
          </cell>
          <cell r="H250" t="str">
            <v>South</v>
          </cell>
        </row>
        <row r="251">
          <cell r="A251" t="str">
            <v>Cochin Motors-Cochin</v>
          </cell>
          <cell r="B251" t="str">
            <v>Dealer</v>
          </cell>
          <cell r="C251" t="str">
            <v>DealerKerala</v>
          </cell>
          <cell r="D251" t="str">
            <v>Dealer226</v>
          </cell>
          <cell r="E251" t="str">
            <v>DealerKerala8</v>
          </cell>
          <cell r="F251" t="str">
            <v>Cochin Motors-Cochin</v>
          </cell>
          <cell r="G251" t="str">
            <v>Cochin Motors-Cochin</v>
          </cell>
          <cell r="H251" t="str">
            <v>South</v>
          </cell>
        </row>
        <row r="252">
          <cell r="A252" t="str">
            <v>Gem Motors-Calicut</v>
          </cell>
          <cell r="B252" t="str">
            <v>Dealer</v>
          </cell>
          <cell r="C252" t="str">
            <v>DealerKerala</v>
          </cell>
          <cell r="D252" t="str">
            <v>Dealer227</v>
          </cell>
          <cell r="E252" t="str">
            <v>DealerKerala9</v>
          </cell>
          <cell r="F252" t="str">
            <v>Gem Motors-Calicut</v>
          </cell>
          <cell r="G252" t="str">
            <v>Gem Motors-Calicut</v>
          </cell>
          <cell r="H252" t="str">
            <v>South</v>
          </cell>
        </row>
        <row r="253">
          <cell r="A253" t="str">
            <v>Grace Motors-Kannur</v>
          </cell>
          <cell r="B253" t="str">
            <v>Dealer</v>
          </cell>
          <cell r="C253" t="str">
            <v>DealerKerala</v>
          </cell>
          <cell r="D253" t="str">
            <v>Dealer228</v>
          </cell>
          <cell r="E253" t="str">
            <v>DealerKerala10</v>
          </cell>
          <cell r="F253" t="str">
            <v>Grace Motors-Kannur</v>
          </cell>
          <cell r="G253" t="str">
            <v>Grace Motors-Kannur</v>
          </cell>
          <cell r="H253" t="str">
            <v>South</v>
          </cell>
        </row>
        <row r="254">
          <cell r="A254" t="str">
            <v>Kackanatt Motors-Pathanamthitta</v>
          </cell>
          <cell r="B254" t="str">
            <v>Dealer</v>
          </cell>
          <cell r="C254" t="str">
            <v>DealerKerala</v>
          </cell>
          <cell r="D254" t="str">
            <v>Dealer229</v>
          </cell>
          <cell r="E254" t="str">
            <v>DealerKerala11</v>
          </cell>
          <cell r="F254" t="str">
            <v>Kackanatt Motors-Pathanamthitta</v>
          </cell>
          <cell r="G254" t="str">
            <v>Kackanatt Motors-Pathanamthitta</v>
          </cell>
          <cell r="H254" t="str">
            <v>South</v>
          </cell>
        </row>
        <row r="255">
          <cell r="A255" t="str">
            <v>Kakkassery Autos-Tirur</v>
          </cell>
          <cell r="B255" t="str">
            <v>Dealer</v>
          </cell>
          <cell r="C255" t="str">
            <v>DealerKerala</v>
          </cell>
          <cell r="D255" t="str">
            <v>Dealer230</v>
          </cell>
          <cell r="E255" t="str">
            <v>DealerKerala12</v>
          </cell>
          <cell r="F255" t="str">
            <v>Kakkassery Autos-Tirur</v>
          </cell>
          <cell r="G255" t="str">
            <v>Kakkassery Autos-Tirur</v>
          </cell>
          <cell r="H255" t="str">
            <v>South</v>
          </cell>
        </row>
        <row r="256">
          <cell r="A256" t="str">
            <v>Namans Motors-Kasargod</v>
          </cell>
          <cell r="B256" t="str">
            <v>Dealer</v>
          </cell>
          <cell r="C256" t="str">
            <v>DealerKerala</v>
          </cell>
          <cell r="D256" t="str">
            <v>Dealer231</v>
          </cell>
          <cell r="E256" t="str">
            <v>DealerKerala13</v>
          </cell>
          <cell r="F256" t="str">
            <v>Namans Motors-Kasargod</v>
          </cell>
          <cell r="G256" t="str">
            <v>Namans Motors-Kasargod</v>
          </cell>
          <cell r="H256" t="str">
            <v>South</v>
          </cell>
        </row>
        <row r="257">
          <cell r="A257" t="str">
            <v>Omraj Auto Agencies-Kollam</v>
          </cell>
          <cell r="B257" t="str">
            <v>Dealer</v>
          </cell>
          <cell r="C257" t="str">
            <v>DealerKerala</v>
          </cell>
          <cell r="D257" t="str">
            <v>Dealer232</v>
          </cell>
          <cell r="E257" t="str">
            <v>DealerKerala14</v>
          </cell>
          <cell r="F257" t="str">
            <v>Omraj Auto Agencies-Kollam</v>
          </cell>
          <cell r="G257" t="str">
            <v>Omraj Auto Agencies-Kollam</v>
          </cell>
          <cell r="H257" t="str">
            <v>South</v>
          </cell>
        </row>
        <row r="258">
          <cell r="A258" t="str">
            <v>Royal Motors-Palakkad</v>
          </cell>
          <cell r="B258" t="str">
            <v>Dealer</v>
          </cell>
          <cell r="C258" t="str">
            <v>DealerKerala</v>
          </cell>
          <cell r="D258" t="str">
            <v>Dealer233</v>
          </cell>
          <cell r="E258" t="str">
            <v>DealerKerala15</v>
          </cell>
          <cell r="F258" t="str">
            <v>Royal Motors-Palakkad</v>
          </cell>
          <cell r="G258" t="str">
            <v>Royal Motors-Palakkad</v>
          </cell>
          <cell r="H258" t="str">
            <v>South</v>
          </cell>
        </row>
        <row r="259">
          <cell r="A259" t="str">
            <v>Alpha Agencies-Virudhunagar</v>
          </cell>
          <cell r="B259" t="str">
            <v>Dealer</v>
          </cell>
          <cell r="C259" t="str">
            <v>DealerTamil Nadu_Deleted</v>
          </cell>
          <cell r="D259" t="str">
            <v>Dealer234</v>
          </cell>
          <cell r="E259" t="str">
            <v>DealerTamil Nadu_Deleted1</v>
          </cell>
          <cell r="F259" t="str">
            <v>Alpha Agencies-Virudhunagar</v>
          </cell>
          <cell r="G259" t="str">
            <v>Alpha Agencies-Virudhunagar</v>
          </cell>
          <cell r="H259" t="str">
            <v>South</v>
          </cell>
        </row>
        <row r="260">
          <cell r="A260" t="str">
            <v>Andavar &amp; Co Agencies-Namakkal</v>
          </cell>
          <cell r="B260" t="str">
            <v>Dealer</v>
          </cell>
          <cell r="C260" t="str">
            <v>DealerTamil Nadu</v>
          </cell>
          <cell r="D260" t="str">
            <v>Dealer235</v>
          </cell>
          <cell r="E260" t="str">
            <v>DealerTamil Nadu1</v>
          </cell>
          <cell r="F260" t="str">
            <v>Andavar &amp; Co Agencies-Namakkal</v>
          </cell>
          <cell r="G260" t="str">
            <v>Andavar &amp; Co Agencies-Namakkal</v>
          </cell>
          <cell r="H260" t="str">
            <v>South</v>
          </cell>
        </row>
        <row r="261">
          <cell r="A261" t="str">
            <v>Andavar &amp; Co.Mop Division-Velur</v>
          </cell>
          <cell r="B261" t="str">
            <v>Dealer</v>
          </cell>
          <cell r="C261" t="str">
            <v>DealerTamil Nadu</v>
          </cell>
          <cell r="D261" t="str">
            <v>Dealer236</v>
          </cell>
          <cell r="E261" t="str">
            <v>DealerTamil Nadu2</v>
          </cell>
          <cell r="F261" t="str">
            <v>Andavar &amp; Co.Mop Division-Velur</v>
          </cell>
          <cell r="G261" t="str">
            <v>Andavar &amp; Co.Mop Division-Velur</v>
          </cell>
          <cell r="H261" t="str">
            <v>South</v>
          </cell>
        </row>
        <row r="262">
          <cell r="A262" t="str">
            <v>B.B.Automobiles Pvt.Ltd-Chengleput</v>
          </cell>
          <cell r="B262" t="str">
            <v>Dealer</v>
          </cell>
          <cell r="C262" t="str">
            <v>DealerTamil Nadu</v>
          </cell>
          <cell r="D262" t="str">
            <v>Dealer237</v>
          </cell>
          <cell r="E262" t="str">
            <v>DealerTamil Nadu3</v>
          </cell>
          <cell r="F262" t="str">
            <v>B.B.Automobiles Pvt.Ltd-Chengleput</v>
          </cell>
          <cell r="G262" t="str">
            <v>B.B.Automobiles Pvt.Ltd-Chengleput</v>
          </cell>
          <cell r="H262" t="str">
            <v>South</v>
          </cell>
        </row>
        <row r="263">
          <cell r="A263" t="str">
            <v>Bharath Auto Agencies-Tiruvarur</v>
          </cell>
          <cell r="B263" t="str">
            <v>Dealer</v>
          </cell>
          <cell r="C263" t="str">
            <v>DealerTamil Nadu</v>
          </cell>
          <cell r="D263" t="str">
            <v>Dealer238</v>
          </cell>
          <cell r="E263" t="str">
            <v>DealerTamil Nadu4</v>
          </cell>
          <cell r="F263" t="str">
            <v>Bharath Auto Agencies-Tiruvarur</v>
          </cell>
          <cell r="G263" t="str">
            <v>Bharath Auto Agencies-Tiruvarur</v>
          </cell>
          <cell r="H263" t="str">
            <v>South</v>
          </cell>
        </row>
        <row r="264">
          <cell r="A264" t="str">
            <v>Centigo Motors-Pondicherry</v>
          </cell>
          <cell r="B264" t="str">
            <v>Dealer</v>
          </cell>
          <cell r="C264" t="str">
            <v>DealerTamil Nadu</v>
          </cell>
          <cell r="D264" t="str">
            <v>Dealer239</v>
          </cell>
          <cell r="E264" t="str">
            <v>DealerTamil Nadu5</v>
          </cell>
          <cell r="F264" t="str">
            <v>Centigo Motors-Pondicherry</v>
          </cell>
          <cell r="G264" t="str">
            <v>Centigo Motors-Pondicherry</v>
          </cell>
          <cell r="H264" t="str">
            <v>South</v>
          </cell>
        </row>
        <row r="265">
          <cell r="A265" t="str">
            <v>Centigo Scooters Ltd-Chennai</v>
          </cell>
          <cell r="B265" t="str">
            <v>Dealer</v>
          </cell>
          <cell r="C265" t="str">
            <v>DealerTamil Nadu</v>
          </cell>
          <cell r="D265" t="str">
            <v>Dealer240</v>
          </cell>
          <cell r="E265" t="str">
            <v>DealerTamil Nadu6</v>
          </cell>
          <cell r="F265" t="str">
            <v>Centigo Scooters Ltd-Chennai</v>
          </cell>
          <cell r="G265" t="str">
            <v>Centigo Scooters Ltd-Chennai</v>
          </cell>
          <cell r="H265" t="str">
            <v>South</v>
          </cell>
        </row>
        <row r="266">
          <cell r="A266" t="str">
            <v>Chinnasamy Agencies-Krishnagiri</v>
          </cell>
          <cell r="B266" t="str">
            <v>Dealer</v>
          </cell>
          <cell r="C266" t="str">
            <v>DealerTamil Nadu</v>
          </cell>
          <cell r="D266" t="str">
            <v>Dealer241</v>
          </cell>
          <cell r="E266" t="str">
            <v>DealerTamil Nadu7</v>
          </cell>
          <cell r="F266" t="str">
            <v>Chinnasamy Agencies-Krishnagiri</v>
          </cell>
          <cell r="G266" t="str">
            <v>Chinnasamy Agencies-Krishnagiri</v>
          </cell>
          <cell r="H266" t="str">
            <v>South</v>
          </cell>
        </row>
        <row r="267">
          <cell r="A267" t="str">
            <v>D N C Agencies-Dharmapuri</v>
          </cell>
          <cell r="B267" t="str">
            <v>Dealer</v>
          </cell>
          <cell r="C267" t="str">
            <v>DealerTamil Nadu</v>
          </cell>
          <cell r="D267" t="str">
            <v>Dealer242</v>
          </cell>
          <cell r="E267" t="str">
            <v>DealerTamil Nadu8</v>
          </cell>
          <cell r="F267" t="str">
            <v>D N C Agencies-Dharmapuri</v>
          </cell>
          <cell r="G267" t="str">
            <v>D N C Agencies-Dharmapuri</v>
          </cell>
          <cell r="H267" t="str">
            <v>South</v>
          </cell>
        </row>
        <row r="268">
          <cell r="A268" t="str">
            <v>Dasarathy Auto Enterprises-Kumbakonam</v>
          </cell>
          <cell r="B268" t="str">
            <v>Dealer</v>
          </cell>
          <cell r="C268" t="str">
            <v>DealerTamil Nadu</v>
          </cell>
          <cell r="D268" t="str">
            <v>Dealer243</v>
          </cell>
          <cell r="E268" t="str">
            <v>DealerTamil Nadu9</v>
          </cell>
          <cell r="F268" t="str">
            <v>Dasarathy Auto Enterprises-Kumbakonam</v>
          </cell>
          <cell r="G268" t="str">
            <v>Dasarathy Auto Enterprises-Kumbakonam</v>
          </cell>
          <cell r="H268" t="str">
            <v>South</v>
          </cell>
        </row>
        <row r="269">
          <cell r="A269" t="str">
            <v>Derik Auto Agency-Nagercoil</v>
          </cell>
          <cell r="B269" t="str">
            <v>Dealer</v>
          </cell>
          <cell r="C269" t="str">
            <v>DealerTamil Nadu</v>
          </cell>
          <cell r="D269" t="str">
            <v>Dealer244</v>
          </cell>
          <cell r="E269" t="str">
            <v>DealerTamil Nadu10</v>
          </cell>
          <cell r="F269" t="str">
            <v>Derik Auto Agency-Nagercoil</v>
          </cell>
          <cell r="G269" t="str">
            <v>Derik Auto Agency-Nagercoil</v>
          </cell>
          <cell r="H269" t="str">
            <v>South</v>
          </cell>
        </row>
        <row r="270">
          <cell r="A270" t="str">
            <v>Electra Auto Services-Coimbatore</v>
          </cell>
          <cell r="B270" t="str">
            <v>Dealer</v>
          </cell>
          <cell r="C270" t="str">
            <v>DealerTamil Nadu</v>
          </cell>
          <cell r="D270" t="str">
            <v>Dealer245</v>
          </cell>
          <cell r="E270" t="str">
            <v>DealerTamil Nadu11</v>
          </cell>
          <cell r="F270" t="str">
            <v>Electra Auto Services-Coimbatore</v>
          </cell>
          <cell r="G270" t="str">
            <v>Electra Auto Services-Coimbatore</v>
          </cell>
          <cell r="H270" t="str">
            <v>South</v>
          </cell>
        </row>
        <row r="271">
          <cell r="A271" t="str">
            <v>Goodwill Automotive-Chennai</v>
          </cell>
          <cell r="B271" t="str">
            <v>Dealer</v>
          </cell>
          <cell r="C271" t="str">
            <v>DealerTamil Nadu</v>
          </cell>
          <cell r="D271" t="str">
            <v>Dealer246</v>
          </cell>
          <cell r="E271" t="str">
            <v>DealerTamil Nadu12</v>
          </cell>
          <cell r="F271" t="str">
            <v>Goodwill Automotive-Chennai</v>
          </cell>
          <cell r="G271" t="str">
            <v>Goodwill Automotive-Chennai</v>
          </cell>
          <cell r="H271" t="str">
            <v>South</v>
          </cell>
        </row>
        <row r="272">
          <cell r="A272" t="str">
            <v>Harivignesh Motors Pvt.Ltd-Salem</v>
          </cell>
          <cell r="B272" t="str">
            <v>Dealer</v>
          </cell>
          <cell r="C272" t="str">
            <v>DealerTamil Nadu</v>
          </cell>
          <cell r="D272" t="str">
            <v>Dealer247</v>
          </cell>
          <cell r="E272" t="str">
            <v>DealerTamil Nadu13</v>
          </cell>
          <cell r="F272" t="str">
            <v>Harivignesh Motors Pvt.Ltd-Salem</v>
          </cell>
          <cell r="G272" t="str">
            <v>Harivignesh Motors Pvt.Ltd-Salem</v>
          </cell>
          <cell r="H272" t="str">
            <v>South</v>
          </cell>
        </row>
        <row r="273">
          <cell r="A273" t="str">
            <v>Indoshell Auto Agencyy (P) Ltd-Coimbatore</v>
          </cell>
          <cell r="B273" t="str">
            <v>Dealer</v>
          </cell>
          <cell r="C273" t="str">
            <v>DealerTamil Nadu</v>
          </cell>
          <cell r="D273" t="str">
            <v>Dealer248</v>
          </cell>
          <cell r="E273" t="str">
            <v>DealerTamil Nadu14</v>
          </cell>
          <cell r="F273" t="str">
            <v>Indoshell Auto Agencyy (P) Ltd-Coimbatore</v>
          </cell>
          <cell r="G273" t="str">
            <v>Indoshell Auto Agencyy (P) Ltd-Coimbatore</v>
          </cell>
          <cell r="H273" t="str">
            <v>South</v>
          </cell>
        </row>
        <row r="274">
          <cell r="A274" t="str">
            <v>Ishwarya Motors-Rajapalayam</v>
          </cell>
          <cell r="B274" t="str">
            <v>Dealer</v>
          </cell>
          <cell r="C274" t="str">
            <v>DealerTamil Nadu</v>
          </cell>
          <cell r="D274" t="str">
            <v>Dealer249</v>
          </cell>
          <cell r="E274" t="str">
            <v>DealerTamil Nadu15</v>
          </cell>
          <cell r="F274" t="str">
            <v>Ishwarya Motors-Rajapalayam</v>
          </cell>
          <cell r="G274" t="str">
            <v>Ishwarya Motors-Rajapalayam</v>
          </cell>
          <cell r="H274" t="str">
            <v>South</v>
          </cell>
        </row>
        <row r="275">
          <cell r="A275" t="str">
            <v>K K C Agencies-Perambalur</v>
          </cell>
          <cell r="B275" t="str">
            <v>Dealer</v>
          </cell>
          <cell r="C275" t="str">
            <v>DealerTamil Nadu</v>
          </cell>
          <cell r="D275" t="str">
            <v>Dealer250</v>
          </cell>
          <cell r="E275" t="str">
            <v>DealerTamil Nadu16</v>
          </cell>
          <cell r="F275" t="str">
            <v>K K C Agencies-Perambalur</v>
          </cell>
          <cell r="G275" t="str">
            <v>K K C Agencies-Perambalur</v>
          </cell>
          <cell r="H275" t="str">
            <v>South</v>
          </cell>
        </row>
        <row r="276">
          <cell r="A276" t="str">
            <v>K.G.&amp; Sons-Tiruppur</v>
          </cell>
          <cell r="B276" t="str">
            <v>Dealer</v>
          </cell>
          <cell r="C276" t="str">
            <v>DealerTamil Nadu</v>
          </cell>
          <cell r="D276" t="str">
            <v>Dealer251</v>
          </cell>
          <cell r="E276" t="str">
            <v>DealerTamil Nadu17</v>
          </cell>
          <cell r="F276" t="str">
            <v>K.G.&amp; Sons-Tiruppur</v>
          </cell>
          <cell r="G276" t="str">
            <v>K.G.&amp; Sons-Tiruppur</v>
          </cell>
          <cell r="H276" t="str">
            <v>South</v>
          </cell>
        </row>
        <row r="277">
          <cell r="A277" t="str">
            <v>Kohinoor Motors-Chennai</v>
          </cell>
          <cell r="B277" t="str">
            <v>Dealer</v>
          </cell>
          <cell r="C277" t="str">
            <v>DealerTamil Nadu</v>
          </cell>
          <cell r="D277" t="str">
            <v>Dealer252</v>
          </cell>
          <cell r="E277" t="str">
            <v>DealerTamil Nadu18</v>
          </cell>
          <cell r="F277" t="str">
            <v>Kohinoor Motors-Chennai</v>
          </cell>
          <cell r="G277" t="str">
            <v>Kohinoor Motors-Chennai</v>
          </cell>
          <cell r="H277" t="str">
            <v>South</v>
          </cell>
        </row>
        <row r="278">
          <cell r="A278" t="str">
            <v>Lotus Agency-Coimbatore</v>
          </cell>
          <cell r="B278" t="str">
            <v>Dealer</v>
          </cell>
          <cell r="C278" t="str">
            <v>DealerTamil Nadu</v>
          </cell>
          <cell r="D278" t="str">
            <v>Dealer253</v>
          </cell>
          <cell r="E278" t="str">
            <v>DealerTamil Nadu19</v>
          </cell>
          <cell r="F278" t="str">
            <v>Lotus Agency-Coimbatore</v>
          </cell>
          <cell r="G278" t="str">
            <v>Lotus Agency-Coimbatore</v>
          </cell>
          <cell r="H278" t="str">
            <v>South</v>
          </cell>
        </row>
        <row r="279">
          <cell r="A279" t="str">
            <v>Lotus Agency-Erode</v>
          </cell>
          <cell r="B279" t="str">
            <v>Dealer</v>
          </cell>
          <cell r="C279" t="str">
            <v>DealerTamil Nadu</v>
          </cell>
          <cell r="D279" t="str">
            <v>Dealer254</v>
          </cell>
          <cell r="E279" t="str">
            <v>DealerTamil Nadu20</v>
          </cell>
          <cell r="F279" t="str">
            <v>Lotus Agency-Erode</v>
          </cell>
          <cell r="G279" t="str">
            <v>Lotus Agency-Erode</v>
          </cell>
          <cell r="H279" t="str">
            <v>South</v>
          </cell>
        </row>
        <row r="280">
          <cell r="A280" t="str">
            <v>M K V Agencies-Salem</v>
          </cell>
          <cell r="B280" t="str">
            <v>Dealer</v>
          </cell>
          <cell r="C280" t="str">
            <v>DealerTamil Nadu</v>
          </cell>
          <cell r="D280" t="str">
            <v>Dealer255</v>
          </cell>
          <cell r="E280" t="str">
            <v>DealerTamil Nadu21</v>
          </cell>
          <cell r="F280" t="str">
            <v>M K V Agencies-Salem</v>
          </cell>
          <cell r="G280" t="str">
            <v>M K V Agencies-Salem</v>
          </cell>
          <cell r="H280" t="str">
            <v>South</v>
          </cell>
        </row>
        <row r="281">
          <cell r="A281" t="str">
            <v>M R S Auto Centre-Villupuram</v>
          </cell>
          <cell r="B281" t="str">
            <v>Dealer</v>
          </cell>
          <cell r="C281" t="str">
            <v>DealerTamil Nadu</v>
          </cell>
          <cell r="D281" t="str">
            <v>Dealer256</v>
          </cell>
          <cell r="E281" t="str">
            <v>DealerTamil Nadu22</v>
          </cell>
          <cell r="F281" t="str">
            <v>M R S Auto Centre-Villupuram</v>
          </cell>
          <cell r="G281" t="str">
            <v>M R S Auto Centre-Villupuram</v>
          </cell>
          <cell r="H281" t="str">
            <v>South</v>
          </cell>
        </row>
        <row r="282">
          <cell r="A282" t="str">
            <v>Monasakthi Automobiles-Melmaruvathur</v>
          </cell>
          <cell r="B282" t="str">
            <v>Dealer</v>
          </cell>
          <cell r="C282" t="str">
            <v>DealerTamil Nadu</v>
          </cell>
          <cell r="D282" t="str">
            <v>Dealer257</v>
          </cell>
          <cell r="E282" t="str">
            <v>DealerTamil Nadu23</v>
          </cell>
          <cell r="F282" t="str">
            <v>Monasakthi Automobiles-Melmaruvathur</v>
          </cell>
          <cell r="G282" t="str">
            <v>Monasakthi Automobiles-Melmaruvathur</v>
          </cell>
          <cell r="H282" t="str">
            <v>South</v>
          </cell>
        </row>
        <row r="283">
          <cell r="A283" t="str">
            <v>Nellai Motor Vehicle Agency-Tirunelveli</v>
          </cell>
          <cell r="B283" t="str">
            <v>Dealer</v>
          </cell>
          <cell r="C283" t="str">
            <v>DealerTamil Nadu</v>
          </cell>
          <cell r="D283" t="str">
            <v>Dealer258</v>
          </cell>
          <cell r="E283" t="str">
            <v>DealerTamil Nadu24</v>
          </cell>
          <cell r="F283" t="str">
            <v>Nellai Motor Vehicle Agency-Tirunelveli</v>
          </cell>
          <cell r="G283" t="str">
            <v>Nellai Motor Vehicle Agency-Tirunelveli</v>
          </cell>
          <cell r="H283" t="str">
            <v>South</v>
          </cell>
        </row>
        <row r="284">
          <cell r="A284" t="str">
            <v>Nellai Trading Automobile Agency-Tuticorin</v>
          </cell>
          <cell r="B284" t="str">
            <v>Dealer</v>
          </cell>
          <cell r="C284" t="str">
            <v>DealerTamil Nadu</v>
          </cell>
          <cell r="D284" t="str">
            <v>Dealer259</v>
          </cell>
          <cell r="E284" t="str">
            <v>DealerTamil Nadu25</v>
          </cell>
          <cell r="F284" t="str">
            <v>Nellai Trading Automobile Agency-Tuticorin</v>
          </cell>
          <cell r="G284" t="str">
            <v>Nellai Trading Automobile Agency-Tuticorin</v>
          </cell>
          <cell r="H284" t="str">
            <v>South</v>
          </cell>
        </row>
        <row r="285">
          <cell r="A285" t="str">
            <v>Om Enterprises-Chennai</v>
          </cell>
          <cell r="B285" t="str">
            <v>Dealer</v>
          </cell>
          <cell r="C285" t="str">
            <v>DealerTamil Nadu</v>
          </cell>
          <cell r="D285" t="str">
            <v>Dealer260</v>
          </cell>
          <cell r="E285" t="str">
            <v>DealerTamil Nadu26</v>
          </cell>
          <cell r="F285" t="str">
            <v>Om Enterprises-Chennai</v>
          </cell>
          <cell r="G285" t="str">
            <v>Om Enterprises-Chennai</v>
          </cell>
          <cell r="H285" t="str">
            <v>South</v>
          </cell>
        </row>
        <row r="286">
          <cell r="A286" t="str">
            <v>P L.A. Agencies-Trichy</v>
          </cell>
          <cell r="B286" t="str">
            <v>Dealer</v>
          </cell>
          <cell r="C286" t="str">
            <v>DealerTamil Nadu</v>
          </cell>
          <cell r="D286" t="str">
            <v>Dealer261</v>
          </cell>
          <cell r="E286" t="str">
            <v>DealerTamil Nadu27</v>
          </cell>
          <cell r="F286" t="str">
            <v>P L.A. Agencies-Trichy</v>
          </cell>
          <cell r="G286" t="str">
            <v>P L.A. Agencies-Trichy</v>
          </cell>
          <cell r="H286" t="str">
            <v>South</v>
          </cell>
        </row>
        <row r="287">
          <cell r="A287" t="str">
            <v>P L.A.Sales Corporation-Karur</v>
          </cell>
          <cell r="B287" t="str">
            <v>Dealer</v>
          </cell>
          <cell r="C287" t="str">
            <v>DealerTamil Nadu</v>
          </cell>
          <cell r="D287" t="str">
            <v>Dealer262</v>
          </cell>
          <cell r="E287" t="str">
            <v>DealerTamil Nadu28</v>
          </cell>
          <cell r="F287" t="str">
            <v>P L.A.Sales Corporation-Karur</v>
          </cell>
          <cell r="G287" t="str">
            <v>P L.A.Sales Corporation-Karur</v>
          </cell>
          <cell r="H287" t="str">
            <v>South</v>
          </cell>
        </row>
        <row r="288">
          <cell r="A288" t="str">
            <v>Premier Motors-Dindigul</v>
          </cell>
          <cell r="B288" t="str">
            <v>Dealer</v>
          </cell>
          <cell r="C288" t="str">
            <v>DealerTamil Nadu</v>
          </cell>
          <cell r="D288" t="str">
            <v>Dealer263</v>
          </cell>
          <cell r="E288" t="str">
            <v>DealerTamil Nadu29</v>
          </cell>
          <cell r="F288" t="str">
            <v>Premier Motors-Dindigul</v>
          </cell>
          <cell r="G288" t="str">
            <v>Premier Motors-Dindigul</v>
          </cell>
          <cell r="H288" t="str">
            <v>South</v>
          </cell>
        </row>
        <row r="289">
          <cell r="A289" t="str">
            <v>R K S Autos-Dharapuram</v>
          </cell>
          <cell r="B289" t="str">
            <v>Dealer</v>
          </cell>
          <cell r="C289" t="str">
            <v>DealerTamil Nadu</v>
          </cell>
          <cell r="D289" t="str">
            <v>Dealer264</v>
          </cell>
          <cell r="E289" t="str">
            <v>DealerTamil Nadu30</v>
          </cell>
          <cell r="F289" t="str">
            <v>R K S Autos-Dharapuram</v>
          </cell>
          <cell r="G289" t="str">
            <v>R K S Autos-Dharapuram</v>
          </cell>
          <cell r="H289" t="str">
            <v>South</v>
          </cell>
        </row>
        <row r="290">
          <cell r="A290" t="str">
            <v>R.A.Agency-Tiruppur</v>
          </cell>
          <cell r="B290" t="str">
            <v>Dealer</v>
          </cell>
          <cell r="C290" t="str">
            <v>DealerTamil Nadu</v>
          </cell>
          <cell r="D290" t="str">
            <v>Dealer265</v>
          </cell>
          <cell r="E290" t="str">
            <v>DealerTamil Nadu31</v>
          </cell>
          <cell r="F290" t="str">
            <v>R.A.Agency-Tiruppur</v>
          </cell>
          <cell r="G290" t="str">
            <v>R.A.Agency-Tiruppur</v>
          </cell>
          <cell r="H290" t="str">
            <v>South</v>
          </cell>
        </row>
        <row r="291">
          <cell r="A291" t="str">
            <v>Rajvijay Agencies-Cuddalore</v>
          </cell>
          <cell r="B291" t="str">
            <v>Dealer</v>
          </cell>
          <cell r="C291" t="str">
            <v>DealerTamil Nadu</v>
          </cell>
          <cell r="D291" t="str">
            <v>Dealer266</v>
          </cell>
          <cell r="E291" t="str">
            <v>DealerTamil Nadu32</v>
          </cell>
          <cell r="F291" t="str">
            <v>Rajvijay Agencies-Cuddalore</v>
          </cell>
          <cell r="G291" t="str">
            <v>Rajvijay Agencies-Cuddalore</v>
          </cell>
          <cell r="H291" t="str">
            <v>South</v>
          </cell>
        </row>
        <row r="292">
          <cell r="A292" t="str">
            <v>Ramkay Agencies-Chennai</v>
          </cell>
          <cell r="B292" t="str">
            <v>Dealer</v>
          </cell>
          <cell r="C292" t="str">
            <v>DealerTamil Nadu</v>
          </cell>
          <cell r="D292" t="str">
            <v>Dealer267</v>
          </cell>
          <cell r="E292" t="str">
            <v>DealerTamil Nadu33</v>
          </cell>
          <cell r="F292" t="str">
            <v>Ramkay Agencies-Chennai</v>
          </cell>
          <cell r="G292" t="str">
            <v>Ramkay Agencies-Chennai</v>
          </cell>
          <cell r="H292" t="str">
            <v>South</v>
          </cell>
        </row>
        <row r="293">
          <cell r="A293" t="str">
            <v>S.J.Balakrishnan &amp; Co-Coimbatore</v>
          </cell>
          <cell r="B293" t="str">
            <v>Dealer</v>
          </cell>
          <cell r="C293" t="str">
            <v>DealerTamil Nadu</v>
          </cell>
          <cell r="D293" t="str">
            <v>Dealer268</v>
          </cell>
          <cell r="E293" t="str">
            <v>DealerTamil Nadu34</v>
          </cell>
          <cell r="F293" t="str">
            <v>S.J.Balakrishnan &amp; Co-Coimbatore</v>
          </cell>
          <cell r="G293" t="str">
            <v>S.J.Balakrishnan &amp; Co-Coimbatore</v>
          </cell>
          <cell r="H293" t="str">
            <v>South</v>
          </cell>
        </row>
        <row r="294">
          <cell r="A294" t="str">
            <v>Sakthi Auto Agencies-Karaikal</v>
          </cell>
          <cell r="B294" t="str">
            <v>Dealer</v>
          </cell>
          <cell r="C294" t="str">
            <v>DealerTamil Nadu</v>
          </cell>
          <cell r="D294" t="str">
            <v>Dealer269</v>
          </cell>
          <cell r="E294" t="str">
            <v>DealerTamil Nadu35</v>
          </cell>
          <cell r="F294" t="str">
            <v>Sakthi Auto Agencies-Karaikal</v>
          </cell>
          <cell r="G294" t="str">
            <v>Sakthi Auto Agencies-Karaikal</v>
          </cell>
          <cell r="H294" t="str">
            <v>South</v>
          </cell>
        </row>
        <row r="295">
          <cell r="A295" t="str">
            <v>Sarathy Agencies-Pollachi</v>
          </cell>
          <cell r="B295" t="str">
            <v>Dealer</v>
          </cell>
          <cell r="C295" t="str">
            <v>DealerTamil Nadu</v>
          </cell>
          <cell r="D295" t="str">
            <v>Dealer270</v>
          </cell>
          <cell r="E295" t="str">
            <v>DealerTamil Nadu36</v>
          </cell>
          <cell r="F295" t="str">
            <v>Sarathy Agencies-Pollachi</v>
          </cell>
          <cell r="G295" t="str">
            <v>Sarathy Agencies-Pollachi</v>
          </cell>
          <cell r="H295" t="str">
            <v>South</v>
          </cell>
        </row>
        <row r="296">
          <cell r="A296" t="str">
            <v>Sarrada Motors-Pudukkottai</v>
          </cell>
          <cell r="B296" t="str">
            <v>Dealer</v>
          </cell>
          <cell r="C296" t="str">
            <v>DealerTamil Nadu</v>
          </cell>
          <cell r="D296" t="str">
            <v>Dealer271</v>
          </cell>
          <cell r="E296" t="str">
            <v>DealerTamil Nadu37</v>
          </cell>
          <cell r="F296" t="str">
            <v>Sarrada Motors-Pudukkottai</v>
          </cell>
          <cell r="G296" t="str">
            <v>Sarrada Motors-Pudukkottai</v>
          </cell>
          <cell r="H296" t="str">
            <v>South</v>
          </cell>
        </row>
        <row r="297">
          <cell r="A297" t="str">
            <v>Sathya Jyothis Motors Pvt.Ltd-Madurai</v>
          </cell>
          <cell r="B297" t="str">
            <v>Dealer</v>
          </cell>
          <cell r="C297" t="str">
            <v>DealerTamil Nadu</v>
          </cell>
          <cell r="D297" t="str">
            <v>Dealer272</v>
          </cell>
          <cell r="E297" t="str">
            <v>DealerTamil Nadu38</v>
          </cell>
          <cell r="F297" t="str">
            <v>Sathya Jyothis Motors Pvt.Ltd-Madurai</v>
          </cell>
          <cell r="G297" t="str">
            <v>Sathya Jyothis Motors Pvt.Ltd-Madurai</v>
          </cell>
          <cell r="H297" t="str">
            <v>South</v>
          </cell>
        </row>
        <row r="298">
          <cell r="A298" t="str">
            <v>Sathyaa Motors-Chennai</v>
          </cell>
          <cell r="B298" t="str">
            <v>Dealer</v>
          </cell>
          <cell r="C298" t="str">
            <v>DealerTamil Nadu</v>
          </cell>
          <cell r="D298" t="str">
            <v>Dealer273</v>
          </cell>
          <cell r="E298" t="str">
            <v>DealerTamil Nadu39</v>
          </cell>
          <cell r="F298" t="str">
            <v>Sathyaa Motors-Chennai</v>
          </cell>
          <cell r="G298" t="str">
            <v>Sathyaa Motors-Chennai</v>
          </cell>
          <cell r="H298" t="str">
            <v>South</v>
          </cell>
        </row>
        <row r="299">
          <cell r="A299" t="str">
            <v>Shanthi Agencies-Kallakurichi</v>
          </cell>
          <cell r="B299" t="str">
            <v>Dealer</v>
          </cell>
          <cell r="C299" t="str">
            <v>DealerTamil Nadu</v>
          </cell>
          <cell r="D299" t="str">
            <v>Dealer274</v>
          </cell>
          <cell r="E299" t="str">
            <v>DealerTamil Nadu40</v>
          </cell>
          <cell r="F299" t="str">
            <v>Shanthi Agencies-Kallakurichi</v>
          </cell>
          <cell r="G299" t="str">
            <v>Shanthi Agencies-Kallakurichi</v>
          </cell>
          <cell r="H299" t="str">
            <v>South</v>
          </cell>
        </row>
        <row r="300">
          <cell r="A300" t="str">
            <v>Shriraj Agencies-Trichy</v>
          </cell>
          <cell r="B300" t="str">
            <v>Dealer</v>
          </cell>
          <cell r="C300" t="str">
            <v>DealerTamil Nadu</v>
          </cell>
          <cell r="D300" t="str">
            <v>Dealer275</v>
          </cell>
          <cell r="E300" t="str">
            <v>DealerTamil Nadu41</v>
          </cell>
          <cell r="F300" t="str">
            <v>Shriraj Agencies-Trichy</v>
          </cell>
          <cell r="G300" t="str">
            <v>Shriraj Agencies-Trichy</v>
          </cell>
          <cell r="H300" t="str">
            <v>South</v>
          </cell>
        </row>
        <row r="301">
          <cell r="A301" t="str">
            <v>Sree Karpagamoorthy Agencies-Ramanathapuram</v>
          </cell>
          <cell r="B301" t="str">
            <v>Dealer</v>
          </cell>
          <cell r="C301" t="str">
            <v>DealerTamil Nadu</v>
          </cell>
          <cell r="D301" t="str">
            <v>Dealer276</v>
          </cell>
          <cell r="E301" t="str">
            <v>DealerTamil Nadu42</v>
          </cell>
          <cell r="F301" t="str">
            <v>Sree Karpagamoorthy Agencies-Ramanathapuram</v>
          </cell>
          <cell r="G301" t="str">
            <v>Sree Karpagamoorthy Agencies-Ramanathapuram</v>
          </cell>
          <cell r="H301" t="str">
            <v>South</v>
          </cell>
        </row>
        <row r="302">
          <cell r="A302" t="str">
            <v>Sri Ayya Thunai Motors-Tiruvallur</v>
          </cell>
          <cell r="B302" t="str">
            <v>Dealer</v>
          </cell>
          <cell r="C302" t="str">
            <v>DealerTamil Nadu</v>
          </cell>
          <cell r="D302" t="str">
            <v>Dealer277</v>
          </cell>
          <cell r="E302" t="str">
            <v>DealerTamil Nadu43</v>
          </cell>
          <cell r="F302" t="str">
            <v>Sri Ayya Thunai Motors-Tiruvallur</v>
          </cell>
          <cell r="G302" t="str">
            <v>Sri Ayya Thunai Motors-Tiruvallur</v>
          </cell>
          <cell r="H302" t="str">
            <v>South</v>
          </cell>
        </row>
        <row r="303">
          <cell r="A303" t="str">
            <v>Sri Balaji Auto Agencies-Neyveli</v>
          </cell>
          <cell r="B303" t="str">
            <v>Dealer</v>
          </cell>
          <cell r="C303" t="str">
            <v>DealerTamil Nadu</v>
          </cell>
          <cell r="D303" t="str">
            <v>Dealer278</v>
          </cell>
          <cell r="E303" t="str">
            <v>DealerTamil Nadu44</v>
          </cell>
          <cell r="F303" t="str">
            <v>Sri Balaji Auto Agencies-Neyveli</v>
          </cell>
          <cell r="G303" t="str">
            <v>Sri Balaji Auto Agencies-Neyveli</v>
          </cell>
          <cell r="H303" t="str">
            <v>South</v>
          </cell>
        </row>
        <row r="304">
          <cell r="A304" t="str">
            <v>Sri Karpagamoorhty Agencies-Karaikudi</v>
          </cell>
          <cell r="B304" t="str">
            <v>Dealer</v>
          </cell>
          <cell r="C304" t="str">
            <v>DealerTamil Nadu</v>
          </cell>
          <cell r="D304" t="str">
            <v>Dealer279</v>
          </cell>
          <cell r="E304" t="str">
            <v>DealerTamil Nadu45</v>
          </cell>
          <cell r="F304" t="str">
            <v>Sri Karpagamoorhty Agencies-Karaikudi</v>
          </cell>
          <cell r="G304" t="str">
            <v>Sri Karpagamoorhty Agencies-Karaikudi</v>
          </cell>
          <cell r="H304" t="str">
            <v>South</v>
          </cell>
        </row>
        <row r="305">
          <cell r="A305" t="str">
            <v>Sri Mookambika Auto Agencies-Kancheepuram</v>
          </cell>
          <cell r="B305" t="str">
            <v>Dealer</v>
          </cell>
          <cell r="C305" t="str">
            <v>DealerTamil Nadu</v>
          </cell>
          <cell r="D305" t="str">
            <v>Dealer280</v>
          </cell>
          <cell r="E305" t="str">
            <v>DealerTamil Nadu46</v>
          </cell>
          <cell r="F305" t="str">
            <v>Sri Mookambika Auto Agencies-Kancheepuram</v>
          </cell>
          <cell r="G305" t="str">
            <v>Sri Mookambika Auto Agencies-Kancheepuram</v>
          </cell>
          <cell r="H305" t="str">
            <v>South</v>
          </cell>
        </row>
        <row r="306">
          <cell r="A306" t="str">
            <v>Sri Murugesan Motors-Theni</v>
          </cell>
          <cell r="B306" t="str">
            <v>Dealer</v>
          </cell>
          <cell r="C306" t="str">
            <v>DealerTamil Nadu</v>
          </cell>
          <cell r="D306" t="str">
            <v>Dealer281</v>
          </cell>
          <cell r="E306" t="str">
            <v>DealerTamil Nadu47</v>
          </cell>
          <cell r="F306" t="str">
            <v>Sri Murugesan Motors-Theni</v>
          </cell>
          <cell r="G306" t="str">
            <v>Sri Murugesan Motors-Theni</v>
          </cell>
          <cell r="H306" t="str">
            <v>South</v>
          </cell>
        </row>
        <row r="307">
          <cell r="A307" t="str">
            <v>Sri Pachaimman Auto Agencies-Tiruvannamalai</v>
          </cell>
          <cell r="B307" t="str">
            <v>Dealer</v>
          </cell>
          <cell r="C307" t="str">
            <v>DealerTamil Nadu</v>
          </cell>
          <cell r="D307" t="str">
            <v>Dealer282</v>
          </cell>
          <cell r="E307" t="str">
            <v>DealerTamil Nadu48</v>
          </cell>
          <cell r="F307" t="str">
            <v>Sri Pachaimman Auto Agencies-Tiruvannamalai</v>
          </cell>
          <cell r="G307" t="str">
            <v>Sri Pachaimman Auto Agencies-Tiruvannamalai</v>
          </cell>
          <cell r="H307" t="str">
            <v>South</v>
          </cell>
        </row>
        <row r="308">
          <cell r="A308" t="str">
            <v>Sri Pandian Motors-Madurai</v>
          </cell>
          <cell r="B308" t="str">
            <v>Dealer</v>
          </cell>
          <cell r="C308" t="str">
            <v>DealerTamil Nadu</v>
          </cell>
          <cell r="D308" t="str">
            <v>Dealer283</v>
          </cell>
          <cell r="E308" t="str">
            <v>DealerTamil Nadu49</v>
          </cell>
          <cell r="F308" t="str">
            <v>Sri Pandian Motors-Madurai</v>
          </cell>
          <cell r="G308" t="str">
            <v>Sri Pandian Motors-Madurai</v>
          </cell>
          <cell r="H308" t="str">
            <v>South</v>
          </cell>
        </row>
        <row r="309">
          <cell r="A309" t="str">
            <v>Sri Saravana Auto Works-Attur</v>
          </cell>
          <cell r="B309" t="str">
            <v>Dealer</v>
          </cell>
          <cell r="C309" t="str">
            <v>DealerTamil Nadu</v>
          </cell>
          <cell r="D309" t="str">
            <v>Dealer284</v>
          </cell>
          <cell r="E309" t="str">
            <v>DealerTamil Nadu50</v>
          </cell>
          <cell r="F309" t="str">
            <v>Sri Saravana Auto Works-Attur</v>
          </cell>
          <cell r="G309" t="str">
            <v>Sri Saravana Auto Works-Attur</v>
          </cell>
          <cell r="H309" t="str">
            <v>South</v>
          </cell>
        </row>
        <row r="310">
          <cell r="A310" t="str">
            <v>Sri Varsini Agencies-Udumalpet</v>
          </cell>
          <cell r="B310" t="str">
            <v>Dealer</v>
          </cell>
          <cell r="C310" t="str">
            <v>DealerTamil Nadu</v>
          </cell>
          <cell r="D310" t="str">
            <v>Dealer285</v>
          </cell>
          <cell r="E310" t="str">
            <v>DealerTamil Nadu51</v>
          </cell>
          <cell r="F310" t="str">
            <v>Sri Varsini Agencies-Udumalpet</v>
          </cell>
          <cell r="G310" t="str">
            <v>Sri Varsini Agencies-Udumalpet</v>
          </cell>
          <cell r="H310" t="str">
            <v>South</v>
          </cell>
        </row>
        <row r="311">
          <cell r="A311" t="str">
            <v>Standard Automobiles-Gobichettipalayam</v>
          </cell>
          <cell r="B311" t="str">
            <v>Dealer</v>
          </cell>
          <cell r="C311" t="str">
            <v>DealerTamil Nadu</v>
          </cell>
          <cell r="D311" t="str">
            <v>Dealer286</v>
          </cell>
          <cell r="E311" t="str">
            <v>DealerTamil Nadu52</v>
          </cell>
          <cell r="F311" t="str">
            <v>Standard Automobiles-Gobichettipalayam</v>
          </cell>
          <cell r="G311" t="str">
            <v>Standard Automobiles-Gobichettipalayam</v>
          </cell>
          <cell r="H311" t="str">
            <v>South</v>
          </cell>
        </row>
        <row r="312">
          <cell r="A312" t="str">
            <v>Swetha Enterprises Pvt.Ltd-Vellore</v>
          </cell>
          <cell r="B312" t="str">
            <v>Dealer</v>
          </cell>
          <cell r="C312" t="str">
            <v>DealerTamil Nadu</v>
          </cell>
          <cell r="D312" t="str">
            <v>Dealer287</v>
          </cell>
          <cell r="E312" t="str">
            <v>DealerTamil Nadu53</v>
          </cell>
          <cell r="F312" t="str">
            <v>Swetha Enterprises Pvt.Ltd-Vellore</v>
          </cell>
          <cell r="G312" t="str">
            <v>Swetha Enterprises Pvt.Ltd-Vellore</v>
          </cell>
          <cell r="H312" t="str">
            <v>South</v>
          </cell>
        </row>
        <row r="313">
          <cell r="A313" t="str">
            <v>Tamilnadu Motors-Chennai</v>
          </cell>
          <cell r="B313" t="str">
            <v>Dealer</v>
          </cell>
          <cell r="C313" t="str">
            <v>DealerTamil Nadu</v>
          </cell>
          <cell r="D313" t="str">
            <v>Dealer288</v>
          </cell>
          <cell r="E313" t="str">
            <v>DealerTamil Nadu54</v>
          </cell>
          <cell r="F313" t="str">
            <v>Tamilnadu Motors-Chennai</v>
          </cell>
          <cell r="G313" t="str">
            <v>Tamilnadu Motors-Chennai</v>
          </cell>
          <cell r="H313" t="str">
            <v>South</v>
          </cell>
        </row>
        <row r="314">
          <cell r="A314" t="str">
            <v>Tanjore Auto Service-Thanjavur</v>
          </cell>
          <cell r="B314" t="str">
            <v>Dealer</v>
          </cell>
          <cell r="C314" t="str">
            <v>DealerTamil Nadu</v>
          </cell>
          <cell r="D314" t="str">
            <v>Dealer289</v>
          </cell>
          <cell r="E314" t="str">
            <v>DealerTamil Nadu55</v>
          </cell>
          <cell r="F314" t="str">
            <v>Tanjore Auto Service-Thanjavur</v>
          </cell>
          <cell r="G314" t="str">
            <v>Tanjore Auto Service-Thanjavur</v>
          </cell>
          <cell r="H314" t="str">
            <v>South</v>
          </cell>
        </row>
        <row r="315">
          <cell r="A315" t="str">
            <v>Thambikottai Motors-Thanjavur</v>
          </cell>
          <cell r="B315" t="str">
            <v>Dealer</v>
          </cell>
          <cell r="C315" t="str">
            <v>DealerTamil Nadu</v>
          </cell>
          <cell r="D315" t="str">
            <v>Dealer290</v>
          </cell>
          <cell r="E315" t="str">
            <v>DealerTamil Nadu56</v>
          </cell>
          <cell r="F315" t="str">
            <v>Thambikottai Motors-Thanjavur</v>
          </cell>
          <cell r="G315" t="str">
            <v>Thambikottai Motors-Thanjavur</v>
          </cell>
          <cell r="H315" t="str">
            <v>South</v>
          </cell>
        </row>
        <row r="316">
          <cell r="A316" t="str">
            <v>The Bangalore Automobile Agency-Salem</v>
          </cell>
          <cell r="B316" t="str">
            <v>Dealer</v>
          </cell>
          <cell r="C316" t="str">
            <v>DealerTamil Nadu</v>
          </cell>
          <cell r="D316" t="str">
            <v>Dealer291</v>
          </cell>
          <cell r="E316" t="str">
            <v>DealerTamil Nadu57</v>
          </cell>
          <cell r="F316" t="str">
            <v>The Bangalore Automobile Agency-Salem</v>
          </cell>
          <cell r="G316" t="str">
            <v>The Bangalore Automobile Agency-Salem</v>
          </cell>
          <cell r="H316" t="str">
            <v>South</v>
          </cell>
        </row>
        <row r="317">
          <cell r="A317" t="str">
            <v>V S Agency-Hosur</v>
          </cell>
          <cell r="B317" t="str">
            <v>Dealer</v>
          </cell>
          <cell r="C317" t="str">
            <v>DealerTamil Nadu</v>
          </cell>
          <cell r="D317" t="str">
            <v>Dealer292</v>
          </cell>
          <cell r="E317" t="str">
            <v>DealerTamil Nadu58</v>
          </cell>
          <cell r="F317" t="str">
            <v>V S Agency-Hosur</v>
          </cell>
          <cell r="G317" t="str">
            <v>V S Agency-Hosur</v>
          </cell>
          <cell r="H317" t="str">
            <v>South</v>
          </cell>
        </row>
        <row r="318">
          <cell r="A318" t="str">
            <v>Viswam Automobiles Agency-Tiruchengodu</v>
          </cell>
          <cell r="B318" t="str">
            <v>Dealer</v>
          </cell>
          <cell r="C318" t="str">
            <v>DealerTamil Nadu</v>
          </cell>
          <cell r="D318" t="str">
            <v>Dealer293</v>
          </cell>
          <cell r="E318" t="str">
            <v>DealerTamil Nadu59</v>
          </cell>
          <cell r="F318" t="str">
            <v>Viswam Automobiles Agency-Tiruchengodu</v>
          </cell>
          <cell r="G318" t="str">
            <v>Viswam Automobiles Agency-Tiruchengodu</v>
          </cell>
          <cell r="H318" t="str">
            <v>South</v>
          </cell>
        </row>
        <row r="319">
          <cell r="A319" t="str">
            <v>Adishwar Motors Ltd-Ahmedabad</v>
          </cell>
          <cell r="B319" t="str">
            <v>Dealer</v>
          </cell>
          <cell r="C319" t="str">
            <v>DealerGujarat</v>
          </cell>
          <cell r="D319" t="str">
            <v>Dealer294</v>
          </cell>
          <cell r="E319" t="str">
            <v>DealerGujarat1</v>
          </cell>
          <cell r="F319" t="str">
            <v>Adishwar Motors Ltd-Ahmedabad</v>
          </cell>
          <cell r="G319" t="str">
            <v>Adishwar Motors Ltd-Ahmedabad</v>
          </cell>
          <cell r="H319" t="str">
            <v>West</v>
          </cell>
        </row>
        <row r="320">
          <cell r="A320" t="str">
            <v>Auto Point-Surat</v>
          </cell>
          <cell r="B320" t="str">
            <v>Dealer</v>
          </cell>
          <cell r="C320" t="str">
            <v>DealerGujarat</v>
          </cell>
          <cell r="D320" t="str">
            <v>Dealer295</v>
          </cell>
          <cell r="E320" t="str">
            <v>DealerGujarat2</v>
          </cell>
          <cell r="F320" t="str">
            <v>Auto Point-Surat</v>
          </cell>
          <cell r="G320" t="str">
            <v>Auto Point-Surat</v>
          </cell>
          <cell r="H320" t="str">
            <v>West</v>
          </cell>
        </row>
        <row r="321">
          <cell r="A321" t="str">
            <v>Central Sales &amp; Service-Baroda</v>
          </cell>
          <cell r="B321" t="str">
            <v>Dealer</v>
          </cell>
          <cell r="C321" t="str">
            <v>DealerGujarat</v>
          </cell>
          <cell r="D321" t="str">
            <v>Dealer296</v>
          </cell>
          <cell r="E321" t="str">
            <v>DealerGujarat3</v>
          </cell>
          <cell r="F321" t="str">
            <v>Central Sales &amp; Service-Baroda</v>
          </cell>
          <cell r="G321" t="str">
            <v>Central Sales &amp; Service-Baroda</v>
          </cell>
          <cell r="H321" t="str">
            <v>West</v>
          </cell>
        </row>
        <row r="322">
          <cell r="A322" t="str">
            <v>Coronation Motors-Rajkot</v>
          </cell>
          <cell r="B322" t="str">
            <v>Dealer</v>
          </cell>
          <cell r="C322" t="str">
            <v>DealerGujarat</v>
          </cell>
          <cell r="D322" t="str">
            <v>Dealer297</v>
          </cell>
          <cell r="E322" t="str">
            <v>DealerGujarat4</v>
          </cell>
          <cell r="F322" t="str">
            <v>Coronation Motors-Rajkot</v>
          </cell>
          <cell r="G322" t="str">
            <v>Coronation Motors-Rajkot</v>
          </cell>
          <cell r="H322" t="str">
            <v>West</v>
          </cell>
        </row>
        <row r="323">
          <cell r="A323" t="str">
            <v>Down Town Motors-Anand</v>
          </cell>
          <cell r="B323" t="str">
            <v>Dealer</v>
          </cell>
          <cell r="C323" t="str">
            <v>DealerGujarat</v>
          </cell>
          <cell r="D323" t="str">
            <v>Dealer298</v>
          </cell>
          <cell r="E323" t="str">
            <v>DealerGujarat5</v>
          </cell>
          <cell r="F323" t="str">
            <v>Down Town Motors-Anand</v>
          </cell>
          <cell r="G323" t="str">
            <v>Down Town Motors-Anand</v>
          </cell>
          <cell r="H323" t="str">
            <v>West</v>
          </cell>
        </row>
        <row r="324">
          <cell r="A324" t="str">
            <v>East Africa Motors Ltd-Baroda</v>
          </cell>
          <cell r="B324" t="str">
            <v>Dealer</v>
          </cell>
          <cell r="C324" t="str">
            <v>DealerGujarat</v>
          </cell>
          <cell r="D324" t="str">
            <v>Dealer299</v>
          </cell>
          <cell r="E324" t="str">
            <v>DealerGujarat6</v>
          </cell>
          <cell r="F324" t="str">
            <v>East Africa Motors Ltd-Baroda</v>
          </cell>
          <cell r="G324" t="str">
            <v>East Africa Motors Ltd-Baroda</v>
          </cell>
          <cell r="H324" t="str">
            <v>West</v>
          </cell>
        </row>
        <row r="325">
          <cell r="A325" t="str">
            <v>Gurukripa Auto Linkers-Bardoli</v>
          </cell>
          <cell r="B325" t="str">
            <v>Dealer</v>
          </cell>
          <cell r="C325" t="str">
            <v>DealerGujarat</v>
          </cell>
          <cell r="D325" t="str">
            <v>Dealer300</v>
          </cell>
          <cell r="E325" t="str">
            <v>DealerGujarat7</v>
          </cell>
          <cell r="F325" t="str">
            <v>Gurukripa Auto Linkers-Bardoli</v>
          </cell>
          <cell r="G325" t="str">
            <v>Gurukripa Auto Linkers-Bardoli</v>
          </cell>
          <cell r="H325" t="str">
            <v>West</v>
          </cell>
        </row>
        <row r="326">
          <cell r="A326" t="str">
            <v>Kataria Motors Private Limited-Ahmedabad</v>
          </cell>
          <cell r="B326" t="str">
            <v>Dealer</v>
          </cell>
          <cell r="C326" t="str">
            <v>DealerGujarat</v>
          </cell>
          <cell r="D326" t="str">
            <v>Dealer301</v>
          </cell>
          <cell r="E326" t="str">
            <v>DealerGujarat8</v>
          </cell>
          <cell r="F326" t="str">
            <v>Kataria Motors Private Limited-Ahmedabad</v>
          </cell>
          <cell r="G326" t="str">
            <v>Kataria Motors Private Limited-Ahmedabad</v>
          </cell>
          <cell r="H326" t="str">
            <v>West</v>
          </cell>
        </row>
        <row r="327">
          <cell r="A327" t="str">
            <v>Krina Sales-Kamrej</v>
          </cell>
          <cell r="B327" t="str">
            <v>Dealer</v>
          </cell>
          <cell r="C327" t="str">
            <v>DealerGujarat</v>
          </cell>
          <cell r="D327" t="str">
            <v>Dealer302</v>
          </cell>
          <cell r="E327" t="str">
            <v>DealerGujarat9</v>
          </cell>
          <cell r="F327" t="str">
            <v>Krina Sales-Kamrej</v>
          </cell>
          <cell r="G327" t="str">
            <v>Krina Sales-Kamrej</v>
          </cell>
          <cell r="H327" t="str">
            <v>West</v>
          </cell>
        </row>
        <row r="328">
          <cell r="A328" t="str">
            <v>Labh Motors-Mehsana</v>
          </cell>
          <cell r="B328" t="str">
            <v>Dealer</v>
          </cell>
          <cell r="C328" t="str">
            <v>DealerGujarat</v>
          </cell>
          <cell r="D328" t="str">
            <v>Dealer303</v>
          </cell>
          <cell r="E328" t="str">
            <v>DealerGujarat10</v>
          </cell>
          <cell r="F328" t="str">
            <v>Labh Motors-Mehsana</v>
          </cell>
          <cell r="G328" t="str">
            <v>Labh Motors-Mehsana</v>
          </cell>
          <cell r="H328" t="str">
            <v>West</v>
          </cell>
        </row>
        <row r="329">
          <cell r="A329" t="str">
            <v>Meera Associates-Wadhwan City</v>
          </cell>
          <cell r="B329" t="str">
            <v>Dealer</v>
          </cell>
          <cell r="C329" t="str">
            <v>DealerGujarat</v>
          </cell>
          <cell r="D329" t="str">
            <v>Dealer304</v>
          </cell>
          <cell r="E329" t="str">
            <v>DealerGujarat11</v>
          </cell>
          <cell r="F329" t="str">
            <v>Meera Associates-Wadhwan City</v>
          </cell>
          <cell r="G329" t="str">
            <v>Meera Associates-Wadhwan City</v>
          </cell>
          <cell r="H329" t="str">
            <v>West</v>
          </cell>
        </row>
        <row r="330">
          <cell r="A330" t="str">
            <v>Modern Agencies-Gandhidham</v>
          </cell>
          <cell r="B330" t="str">
            <v>Dealer</v>
          </cell>
          <cell r="C330" t="str">
            <v>DealerGujarat</v>
          </cell>
          <cell r="D330" t="str">
            <v>Dealer305</v>
          </cell>
          <cell r="E330" t="str">
            <v>DealerGujarat12</v>
          </cell>
          <cell r="F330" t="str">
            <v>Modern Agencies-Gandhidham</v>
          </cell>
          <cell r="G330" t="str">
            <v>Modern Agencies-Gandhidham</v>
          </cell>
          <cell r="H330" t="str">
            <v>West</v>
          </cell>
        </row>
        <row r="331">
          <cell r="A331" t="str">
            <v>Modern Automobiles-Bhavnagar</v>
          </cell>
          <cell r="B331" t="str">
            <v>Dealer</v>
          </cell>
          <cell r="C331" t="str">
            <v>DealerGujarat</v>
          </cell>
          <cell r="D331" t="str">
            <v>Dealer306</v>
          </cell>
          <cell r="E331" t="str">
            <v>DealerGujarat13</v>
          </cell>
          <cell r="F331" t="str">
            <v>Modern Automobiles-Bhavnagar</v>
          </cell>
          <cell r="G331" t="str">
            <v>Modern Automobiles-Bhavnagar</v>
          </cell>
          <cell r="H331" t="str">
            <v>West</v>
          </cell>
        </row>
        <row r="332">
          <cell r="A332" t="str">
            <v>Oceanic Motors Pvt.Ltd-Ahmedabad</v>
          </cell>
          <cell r="B332" t="str">
            <v>Dealer</v>
          </cell>
          <cell r="C332" t="str">
            <v>DealerGujarat</v>
          </cell>
          <cell r="D332" t="str">
            <v>Dealer307</v>
          </cell>
          <cell r="E332" t="str">
            <v>DealerGujarat14</v>
          </cell>
          <cell r="F332" t="str">
            <v>Oceanic Motors Pvt.Ltd-Ahmedabad</v>
          </cell>
          <cell r="G332" t="str">
            <v>Oceanic Motors Pvt.Ltd-Ahmedabad</v>
          </cell>
          <cell r="H332" t="str">
            <v>West</v>
          </cell>
        </row>
        <row r="333">
          <cell r="A333" t="str">
            <v>Rajdeep Motors-Palanpur</v>
          </cell>
          <cell r="B333" t="str">
            <v>Dealer</v>
          </cell>
          <cell r="C333" t="str">
            <v>DealerGujarat</v>
          </cell>
          <cell r="D333" t="str">
            <v>Dealer308</v>
          </cell>
          <cell r="E333" t="str">
            <v>DealerGujarat15</v>
          </cell>
          <cell r="F333" t="str">
            <v>Rajdeep Motors-Palanpur</v>
          </cell>
          <cell r="G333" t="str">
            <v>Rajdeep Motors-Palanpur</v>
          </cell>
          <cell r="H333" t="str">
            <v>West</v>
          </cell>
        </row>
        <row r="334">
          <cell r="A334" t="str">
            <v>Rajendra Auto Sales-Ankaleshwar</v>
          </cell>
          <cell r="B334" t="str">
            <v>Dealer</v>
          </cell>
          <cell r="C334" t="str">
            <v>DealerGujarat</v>
          </cell>
          <cell r="D334" t="str">
            <v>Dealer309</v>
          </cell>
          <cell r="E334" t="str">
            <v>DealerGujarat16</v>
          </cell>
          <cell r="F334" t="str">
            <v>Rajendra Auto Sales-Ankaleshwar</v>
          </cell>
          <cell r="G334" t="str">
            <v>Rajendra Auto Sales-Ankaleshwar</v>
          </cell>
          <cell r="H334" t="str">
            <v>West</v>
          </cell>
        </row>
        <row r="335">
          <cell r="A335" t="str">
            <v>Ram Auto Centre-Amreli</v>
          </cell>
          <cell r="B335" t="str">
            <v>Dealer</v>
          </cell>
          <cell r="C335" t="str">
            <v>DealerGujarat</v>
          </cell>
          <cell r="D335" t="str">
            <v>Dealer310</v>
          </cell>
          <cell r="E335" t="str">
            <v>DealerGujarat17</v>
          </cell>
          <cell r="F335" t="str">
            <v>Ram Auto Centre-Amreli</v>
          </cell>
          <cell r="G335" t="str">
            <v>Ram Auto Centre-Amreli</v>
          </cell>
          <cell r="H335" t="str">
            <v>West</v>
          </cell>
        </row>
        <row r="336">
          <cell r="A336" t="str">
            <v>Rama Motors-Surat</v>
          </cell>
          <cell r="B336" t="str">
            <v>Dealer</v>
          </cell>
          <cell r="C336" t="str">
            <v>DealerGujarat</v>
          </cell>
          <cell r="D336" t="str">
            <v>Dealer311</v>
          </cell>
          <cell r="E336" t="str">
            <v>DealerGujarat18</v>
          </cell>
          <cell r="F336" t="str">
            <v>Rama Motors-Surat</v>
          </cell>
          <cell r="G336" t="str">
            <v>Rama Motors-Surat</v>
          </cell>
          <cell r="H336" t="str">
            <v>West</v>
          </cell>
        </row>
        <row r="337">
          <cell r="A337" t="str">
            <v>Raviraj Automobiles-Bharuch</v>
          </cell>
          <cell r="B337" t="str">
            <v>Dealer</v>
          </cell>
          <cell r="C337" t="str">
            <v>DealerGujarat</v>
          </cell>
          <cell r="D337" t="str">
            <v>Dealer312</v>
          </cell>
          <cell r="E337" t="str">
            <v>DealerGujarat19</v>
          </cell>
          <cell r="F337" t="str">
            <v>Raviraj Automobiles-Bharuch</v>
          </cell>
          <cell r="G337" t="str">
            <v>Raviraj Automobiles-Bharuch</v>
          </cell>
          <cell r="H337" t="str">
            <v>West</v>
          </cell>
        </row>
        <row r="338">
          <cell r="A338" t="str">
            <v>Ruhi Motors-Vapi</v>
          </cell>
          <cell r="B338" t="str">
            <v>Dealer</v>
          </cell>
          <cell r="C338" t="str">
            <v>DealerGujarat</v>
          </cell>
          <cell r="D338" t="str">
            <v>Dealer313</v>
          </cell>
          <cell r="E338" t="str">
            <v>DealerGujarat20</v>
          </cell>
          <cell r="F338" t="str">
            <v>Ruhi Motors-Vapi</v>
          </cell>
          <cell r="G338" t="str">
            <v>Ruhi Motors-Vapi</v>
          </cell>
          <cell r="H338" t="str">
            <v>West</v>
          </cell>
        </row>
        <row r="339">
          <cell r="A339" t="str">
            <v>Sagar Automobiles-Daman</v>
          </cell>
          <cell r="B339" t="str">
            <v>Dealer</v>
          </cell>
          <cell r="C339" t="str">
            <v>DealerGujarat</v>
          </cell>
          <cell r="D339" t="str">
            <v>Dealer314</v>
          </cell>
          <cell r="E339" t="str">
            <v>DealerGujarat21</v>
          </cell>
          <cell r="F339" t="str">
            <v>Sagar Automobiles-Daman</v>
          </cell>
          <cell r="G339" t="str">
            <v>Sagar Automobiles-Daman</v>
          </cell>
          <cell r="H339" t="str">
            <v>West</v>
          </cell>
        </row>
        <row r="340">
          <cell r="A340" t="str">
            <v>Sahyog Motors-Junagadh</v>
          </cell>
          <cell r="B340" t="str">
            <v>Dealer</v>
          </cell>
          <cell r="C340" t="str">
            <v>DealerGujarat</v>
          </cell>
          <cell r="D340" t="str">
            <v>Dealer315</v>
          </cell>
          <cell r="E340" t="str">
            <v>DealerGujarat22</v>
          </cell>
          <cell r="F340" t="str">
            <v>Sahyog Motors-Junagadh</v>
          </cell>
          <cell r="G340" t="str">
            <v>Sahyog Motors-Junagadh</v>
          </cell>
          <cell r="H340" t="str">
            <v>West</v>
          </cell>
        </row>
        <row r="341">
          <cell r="A341" t="str">
            <v>Shreeji Motors-Jamnagar</v>
          </cell>
          <cell r="B341" t="str">
            <v>Dealer</v>
          </cell>
          <cell r="C341" t="str">
            <v>DealerGujarat</v>
          </cell>
          <cell r="D341" t="str">
            <v>Dealer316</v>
          </cell>
          <cell r="E341" t="str">
            <v>DealerGujarat23</v>
          </cell>
          <cell r="F341" t="str">
            <v>Shreeji Motors-Jamnagar</v>
          </cell>
          <cell r="G341" t="str">
            <v>Shreeji Motors-Jamnagar</v>
          </cell>
          <cell r="H341" t="str">
            <v>West</v>
          </cell>
        </row>
        <row r="342">
          <cell r="A342" t="str">
            <v>Shrenik Motors Pvt.Ltd-Navsari</v>
          </cell>
          <cell r="B342" t="str">
            <v>Dealer</v>
          </cell>
          <cell r="C342" t="str">
            <v>DealerGujarat</v>
          </cell>
          <cell r="D342" t="str">
            <v>Dealer317</v>
          </cell>
          <cell r="E342" t="str">
            <v>DealerGujarat24</v>
          </cell>
          <cell r="F342" t="str">
            <v>Shrenik Motors Pvt.Ltd-Navsari</v>
          </cell>
          <cell r="G342" t="str">
            <v>Shrenik Motors Pvt.Ltd-Navsari</v>
          </cell>
          <cell r="H342" t="str">
            <v>West</v>
          </cell>
        </row>
        <row r="343">
          <cell r="A343" t="str">
            <v>Shrenik Motors Pvt.Ltd-Valsad</v>
          </cell>
          <cell r="B343" t="str">
            <v>Dealer</v>
          </cell>
          <cell r="C343" t="str">
            <v>DealerGujarat</v>
          </cell>
          <cell r="D343" t="str">
            <v>Dealer318</v>
          </cell>
          <cell r="E343" t="str">
            <v>DealerGujarat25</v>
          </cell>
          <cell r="F343" t="str">
            <v>Shrenik Motors Pvt.Ltd-Valsad</v>
          </cell>
          <cell r="G343" t="str">
            <v>Shrenik Motors Pvt.Ltd-Valsad</v>
          </cell>
          <cell r="H343" t="str">
            <v>West</v>
          </cell>
        </row>
        <row r="344">
          <cell r="A344" t="str">
            <v>Shri Ambica Agencies-Nadiad</v>
          </cell>
          <cell r="B344" t="str">
            <v>Dealer</v>
          </cell>
          <cell r="C344" t="str">
            <v>DealerGujarat</v>
          </cell>
          <cell r="D344" t="str">
            <v>Dealer319</v>
          </cell>
          <cell r="E344" t="str">
            <v>DealerGujarat26</v>
          </cell>
          <cell r="F344" t="str">
            <v>Shri Ambica Agencies-Nadiad</v>
          </cell>
          <cell r="G344" t="str">
            <v>Shri Ambica Agencies-Nadiad</v>
          </cell>
          <cell r="H344" t="str">
            <v>West</v>
          </cell>
        </row>
        <row r="345">
          <cell r="A345" t="str">
            <v>Shriraj Auto Centre-Himmatnagar</v>
          </cell>
          <cell r="B345" t="str">
            <v>Dealer</v>
          </cell>
          <cell r="C345" t="str">
            <v>DealerGujarat</v>
          </cell>
          <cell r="D345" t="str">
            <v>Dealer320</v>
          </cell>
          <cell r="E345" t="str">
            <v>DealerGujarat27</v>
          </cell>
          <cell r="F345" t="str">
            <v>Shriraj Auto Centre-Himmatnagar</v>
          </cell>
          <cell r="G345" t="str">
            <v>Shriraj Auto Centre-Himmatnagar</v>
          </cell>
          <cell r="H345" t="str">
            <v>West</v>
          </cell>
        </row>
        <row r="346">
          <cell r="A346" t="str">
            <v>Shriraj Motors-Godhra</v>
          </cell>
          <cell r="B346" t="str">
            <v>Dealer</v>
          </cell>
          <cell r="C346" t="str">
            <v>DealerGujarat</v>
          </cell>
          <cell r="D346" t="str">
            <v>Dealer321</v>
          </cell>
          <cell r="E346" t="str">
            <v>DealerGujarat28</v>
          </cell>
          <cell r="F346" t="str">
            <v>Shriraj Motors-Godhra</v>
          </cell>
          <cell r="G346" t="str">
            <v>Shriraj Motors-Godhra</v>
          </cell>
          <cell r="H346" t="str">
            <v>West</v>
          </cell>
        </row>
        <row r="347">
          <cell r="A347" t="str">
            <v>Super Sales Agency-Rajula City</v>
          </cell>
          <cell r="B347" t="str">
            <v>Dealer</v>
          </cell>
          <cell r="C347" t="str">
            <v>DealerGujarat</v>
          </cell>
          <cell r="D347" t="str">
            <v>Dealer322</v>
          </cell>
          <cell r="E347" t="str">
            <v>DealerGujarat29</v>
          </cell>
          <cell r="F347" t="str">
            <v>Super Sales Agency-Rajula City</v>
          </cell>
          <cell r="G347" t="str">
            <v>Super Sales Agency-Rajula City</v>
          </cell>
          <cell r="H347" t="str">
            <v>West</v>
          </cell>
        </row>
        <row r="348">
          <cell r="A348" t="str">
            <v>Techno Motors Pvt.Ltd-Ahmedabad</v>
          </cell>
          <cell r="B348" t="str">
            <v>Dealer</v>
          </cell>
          <cell r="C348" t="str">
            <v>DealerGujarat</v>
          </cell>
          <cell r="D348" t="str">
            <v>Dealer323</v>
          </cell>
          <cell r="E348" t="str">
            <v>DealerGujarat30</v>
          </cell>
          <cell r="F348" t="str">
            <v>Techno Motors Pvt.Ltd-Ahmedabad</v>
          </cell>
          <cell r="G348" t="str">
            <v>Techno Motors Pvt.Ltd-Ahmedabad</v>
          </cell>
          <cell r="H348" t="str">
            <v>West</v>
          </cell>
        </row>
        <row r="349">
          <cell r="A349" t="str">
            <v>Vaibhav Enterprise-Bhuj-Kutch</v>
          </cell>
          <cell r="B349" t="str">
            <v>Dealer</v>
          </cell>
          <cell r="C349" t="str">
            <v>DealerGujarat</v>
          </cell>
          <cell r="D349" t="str">
            <v>Dealer324</v>
          </cell>
          <cell r="E349" t="str">
            <v>DealerGujarat31</v>
          </cell>
          <cell r="F349" t="str">
            <v>Vaibhav Enterprise-Bhuj-Kutch</v>
          </cell>
          <cell r="G349" t="str">
            <v>Vaibhav Enterprise-Bhuj-Kutch</v>
          </cell>
          <cell r="H349" t="str">
            <v>West</v>
          </cell>
        </row>
        <row r="350">
          <cell r="A350" t="str">
            <v>Vikas Auto Service-Rajkot</v>
          </cell>
          <cell r="B350" t="str">
            <v>Dealer</v>
          </cell>
          <cell r="C350" t="str">
            <v>DealerGujarat</v>
          </cell>
          <cell r="D350" t="str">
            <v>Dealer325</v>
          </cell>
          <cell r="E350" t="str">
            <v>DealerGujarat32</v>
          </cell>
          <cell r="F350" t="str">
            <v>Vikas Auto Service-Rajkot</v>
          </cell>
          <cell r="G350" t="str">
            <v>Vikas Auto Service-Rajkot</v>
          </cell>
          <cell r="H350" t="str">
            <v>West</v>
          </cell>
        </row>
        <row r="351">
          <cell r="A351" t="str">
            <v>Zummerwala Enterprises-Dahod</v>
          </cell>
          <cell r="B351" t="str">
            <v>Dealer</v>
          </cell>
          <cell r="C351" t="str">
            <v>DealerGujarat</v>
          </cell>
          <cell r="D351" t="str">
            <v>Dealer326</v>
          </cell>
          <cell r="E351" t="str">
            <v>DealerGujarat33</v>
          </cell>
          <cell r="F351" t="str">
            <v>Zummerwala Enterprises-Dahod</v>
          </cell>
          <cell r="G351" t="str">
            <v>Zummerwala Enterprises-Dahod</v>
          </cell>
          <cell r="H351" t="str">
            <v>West</v>
          </cell>
        </row>
        <row r="352">
          <cell r="A352" t="str">
            <v>Balaji Automobiles-Bilaspur</v>
          </cell>
          <cell r="B352" t="str">
            <v>Dealer</v>
          </cell>
          <cell r="C352" t="str">
            <v>DealerChattisgarh</v>
          </cell>
          <cell r="D352" t="str">
            <v>Dealer327</v>
          </cell>
          <cell r="E352" t="str">
            <v>DealerChattisgarh1</v>
          </cell>
          <cell r="F352" t="str">
            <v>Balaji Automobiles-Bilaspur</v>
          </cell>
          <cell r="G352" t="str">
            <v>Balaji Automobiles-Bilaspur</v>
          </cell>
          <cell r="H352" t="str">
            <v>West</v>
          </cell>
        </row>
        <row r="353">
          <cell r="A353" t="str">
            <v>Jain Auto &amp; Cycle-Jagdalpur</v>
          </cell>
          <cell r="B353" t="str">
            <v>Dealer</v>
          </cell>
          <cell r="C353" t="str">
            <v>DealerChattisgarh</v>
          </cell>
          <cell r="D353" t="str">
            <v>Dealer328</v>
          </cell>
          <cell r="E353" t="str">
            <v>DealerChattisgarh2</v>
          </cell>
          <cell r="F353" t="str">
            <v>Jain Auto &amp; Cycle-Jagdalpur</v>
          </cell>
          <cell r="G353" t="str">
            <v>Jain Auto &amp; Cycle-Jagdalpur</v>
          </cell>
          <cell r="H353" t="str">
            <v>West</v>
          </cell>
        </row>
        <row r="354">
          <cell r="A354" t="str">
            <v>Jain Automotive-Raigarh</v>
          </cell>
          <cell r="B354" t="str">
            <v>Dealer</v>
          </cell>
          <cell r="C354" t="str">
            <v>DealerChattisgarh</v>
          </cell>
          <cell r="D354" t="str">
            <v>Dealer329</v>
          </cell>
          <cell r="E354" t="str">
            <v>DealerChattisgarh3</v>
          </cell>
          <cell r="F354" t="str">
            <v>Jain Automotive-Raigarh</v>
          </cell>
          <cell r="G354" t="str">
            <v>Jain Automotive-Raigarh</v>
          </cell>
          <cell r="H354" t="str">
            <v>West</v>
          </cell>
        </row>
        <row r="355">
          <cell r="A355" t="str">
            <v>Kailash Motors-Bhilai</v>
          </cell>
          <cell r="B355" t="str">
            <v>Dealer</v>
          </cell>
          <cell r="C355" t="str">
            <v>DealerChattisgarh</v>
          </cell>
          <cell r="D355" t="str">
            <v>Dealer330</v>
          </cell>
          <cell r="E355" t="str">
            <v>DealerChattisgarh4</v>
          </cell>
          <cell r="F355" t="str">
            <v>Kailash Motors-Bhilai</v>
          </cell>
          <cell r="G355" t="str">
            <v>Kailash Motors-Bhilai</v>
          </cell>
          <cell r="H355" t="str">
            <v>West</v>
          </cell>
        </row>
        <row r="356">
          <cell r="A356" t="str">
            <v>Rainbow Automotive Pvt.Ltd-Raipur</v>
          </cell>
          <cell r="B356" t="str">
            <v>Dealer</v>
          </cell>
          <cell r="C356" t="str">
            <v>DealerChattisgarh</v>
          </cell>
          <cell r="D356" t="str">
            <v>Dealer331</v>
          </cell>
          <cell r="E356" t="str">
            <v>DealerChattisgarh5</v>
          </cell>
          <cell r="F356" t="str">
            <v>Rainbow Automotive Pvt.Ltd-Raipur</v>
          </cell>
          <cell r="G356" t="str">
            <v>Rainbow Automotive Pvt.Ltd-Raipur</v>
          </cell>
          <cell r="H356" t="str">
            <v>West</v>
          </cell>
        </row>
        <row r="357">
          <cell r="A357" t="str">
            <v>Sangam Motors-Rajnandgaon</v>
          </cell>
          <cell r="B357" t="str">
            <v>Dealer</v>
          </cell>
          <cell r="C357" t="str">
            <v>DealerChattisgarh</v>
          </cell>
          <cell r="D357" t="str">
            <v>Dealer332</v>
          </cell>
          <cell r="E357" t="str">
            <v>DealerChattisgarh6</v>
          </cell>
          <cell r="F357" t="str">
            <v>Sangam Motors-Rajnandgaon</v>
          </cell>
          <cell r="G357" t="str">
            <v>Sangam Motors-Rajnandgaon</v>
          </cell>
          <cell r="H357" t="str">
            <v>West</v>
          </cell>
        </row>
        <row r="358">
          <cell r="A358" t="str">
            <v>Shri Mahamaya Auto Agency-Ambikapur</v>
          </cell>
          <cell r="B358" t="str">
            <v>Dealer</v>
          </cell>
          <cell r="C358" t="str">
            <v>DealerChattisgarh</v>
          </cell>
          <cell r="D358" t="str">
            <v>Dealer333</v>
          </cell>
          <cell r="E358" t="str">
            <v>DealerChattisgarh7</v>
          </cell>
          <cell r="F358" t="str">
            <v>Shri Mahamaya Auto Agency-Ambikapur</v>
          </cell>
          <cell r="G358" t="str">
            <v>Shri Mahamaya Auto Agency-Ambikapur</v>
          </cell>
          <cell r="H358" t="str">
            <v>West</v>
          </cell>
        </row>
        <row r="359">
          <cell r="A359" t="str">
            <v>Tulsi Agency-Korba</v>
          </cell>
          <cell r="B359" t="str">
            <v>Dealer</v>
          </cell>
          <cell r="C359" t="str">
            <v>DealerChattisgarh</v>
          </cell>
          <cell r="D359" t="str">
            <v>Dealer334</v>
          </cell>
          <cell r="E359" t="str">
            <v>DealerChattisgarh8</v>
          </cell>
          <cell r="F359" t="str">
            <v>Tulsi Agency-Korba</v>
          </cell>
          <cell r="G359" t="str">
            <v>Tulsi Agency-Korba</v>
          </cell>
          <cell r="H359" t="str">
            <v>West</v>
          </cell>
        </row>
        <row r="360">
          <cell r="A360" t="str">
            <v>Abhishek Agencies-Chindwara</v>
          </cell>
          <cell r="B360" t="str">
            <v>Dealer</v>
          </cell>
          <cell r="C360" t="str">
            <v>DealerMadhya Pradesh</v>
          </cell>
          <cell r="D360" t="str">
            <v>Dealer335</v>
          </cell>
          <cell r="E360" t="str">
            <v>DealerMadhya Pradesh1</v>
          </cell>
          <cell r="F360" t="str">
            <v>Abhishek Agencies-Chindwara</v>
          </cell>
          <cell r="G360" t="str">
            <v>Abhishek Agencies-Chindwara</v>
          </cell>
          <cell r="H360" t="str">
            <v>West</v>
          </cell>
        </row>
        <row r="361">
          <cell r="A361" t="str">
            <v>Badkul Motors-Sagar</v>
          </cell>
          <cell r="B361" t="str">
            <v>Dealer</v>
          </cell>
          <cell r="C361" t="str">
            <v>DealerMadhya Pradesh</v>
          </cell>
          <cell r="D361" t="str">
            <v>Dealer336</v>
          </cell>
          <cell r="E361" t="str">
            <v>DealerMadhya Pradesh2</v>
          </cell>
          <cell r="F361" t="str">
            <v>Badkul Motors-Sagar</v>
          </cell>
          <cell r="G361" t="str">
            <v>Badkul Motors-Sagar</v>
          </cell>
          <cell r="H361" t="str">
            <v>West</v>
          </cell>
        </row>
        <row r="362">
          <cell r="A362" t="str">
            <v>Bansal Auto Agency-Rewa</v>
          </cell>
          <cell r="B362" t="str">
            <v>Dealer</v>
          </cell>
          <cell r="C362" t="str">
            <v>DealerMadhya Pradesh</v>
          </cell>
          <cell r="D362" t="str">
            <v>Dealer337</v>
          </cell>
          <cell r="E362" t="str">
            <v>DealerMadhya Pradesh3</v>
          </cell>
          <cell r="F362" t="str">
            <v>Bansal Auto Agency-Rewa</v>
          </cell>
          <cell r="G362" t="str">
            <v>Bansal Auto Agency-Rewa</v>
          </cell>
          <cell r="H362" t="str">
            <v>West</v>
          </cell>
        </row>
        <row r="363">
          <cell r="A363" t="str">
            <v>Bhaiji &amp; Sons-Guna</v>
          </cell>
          <cell r="B363" t="str">
            <v>Dealer</v>
          </cell>
          <cell r="C363" t="str">
            <v>DealerMadhya Pradesh</v>
          </cell>
          <cell r="D363" t="str">
            <v>Dealer338</v>
          </cell>
          <cell r="E363" t="str">
            <v>DealerMadhya Pradesh4</v>
          </cell>
          <cell r="F363" t="str">
            <v>Bhaiji &amp; Sons-Guna</v>
          </cell>
          <cell r="G363" t="str">
            <v>Bhaiji &amp; Sons-Guna</v>
          </cell>
          <cell r="H363" t="str">
            <v>West</v>
          </cell>
        </row>
        <row r="364">
          <cell r="A364" t="str">
            <v>Bhatia Traders-Narsinghpur</v>
          </cell>
          <cell r="B364" t="str">
            <v>Dealer</v>
          </cell>
          <cell r="C364" t="str">
            <v>DealerMadhya Pradesh</v>
          </cell>
          <cell r="D364" t="str">
            <v>Dealer339</v>
          </cell>
          <cell r="E364" t="str">
            <v>DealerMadhya Pradesh5</v>
          </cell>
          <cell r="F364" t="str">
            <v>Bhatia Traders-Narsinghpur</v>
          </cell>
          <cell r="G364" t="str">
            <v>Bhatia Traders-Narsinghpur</v>
          </cell>
          <cell r="H364" t="str">
            <v>West</v>
          </cell>
        </row>
        <row r="365">
          <cell r="A365" t="str">
            <v>C.I.Automotors Pvt.Ltd-Bhopal</v>
          </cell>
          <cell r="B365" t="str">
            <v>Dealer</v>
          </cell>
          <cell r="C365" t="str">
            <v>DealerMadhya Pradesh</v>
          </cell>
          <cell r="D365" t="str">
            <v>Dealer340</v>
          </cell>
          <cell r="E365" t="str">
            <v>DealerMadhya Pradesh6</v>
          </cell>
          <cell r="F365" t="str">
            <v>C.I.Automotors Pvt.Ltd-Bhopal</v>
          </cell>
          <cell r="G365" t="str">
            <v>C.I.Automotors Pvt.Ltd-Bhopal</v>
          </cell>
          <cell r="H365" t="str">
            <v>West</v>
          </cell>
        </row>
        <row r="366">
          <cell r="A366" t="str">
            <v>Dugar Distributors Ltd-Indore</v>
          </cell>
          <cell r="B366" t="str">
            <v>Dealer</v>
          </cell>
          <cell r="C366" t="str">
            <v>DealerMadhya Pradesh</v>
          </cell>
          <cell r="D366" t="str">
            <v>Dealer341</v>
          </cell>
          <cell r="E366" t="str">
            <v>DealerMadhya Pradesh7</v>
          </cell>
          <cell r="F366" t="str">
            <v>Dugar Distributors Ltd-Indore</v>
          </cell>
          <cell r="G366" t="str">
            <v>Dugar Distributors Ltd-Indore</v>
          </cell>
          <cell r="H366" t="str">
            <v>West</v>
          </cell>
        </row>
        <row r="367">
          <cell r="A367" t="str">
            <v>Garima Automobiles Pvt Ltd-Gwalior</v>
          </cell>
          <cell r="B367" t="str">
            <v>Dealer</v>
          </cell>
          <cell r="C367" t="str">
            <v>DealerMadhya Pradesh</v>
          </cell>
          <cell r="D367" t="str">
            <v>Dealer342</v>
          </cell>
          <cell r="E367" t="str">
            <v>DealerMadhya Pradesh8</v>
          </cell>
          <cell r="F367" t="str">
            <v>Garima Automobiles Pvt Ltd-Gwalior</v>
          </cell>
          <cell r="G367" t="str">
            <v>Garima Automobiles Pvt Ltd-Gwalior</v>
          </cell>
          <cell r="H367" t="str">
            <v>West</v>
          </cell>
        </row>
        <row r="368">
          <cell r="A368" t="str">
            <v>Jatashanker Auto Sales-Chattarpur</v>
          </cell>
          <cell r="B368" t="str">
            <v>Dealer</v>
          </cell>
          <cell r="C368" t="str">
            <v>DealerMadhya Pradesh</v>
          </cell>
          <cell r="D368" t="str">
            <v>Dealer343</v>
          </cell>
          <cell r="E368" t="str">
            <v>DealerMadhya Pradesh9</v>
          </cell>
          <cell r="F368" t="str">
            <v>Jatashanker Auto Sales-Chattarpur</v>
          </cell>
          <cell r="G368" t="str">
            <v>Jatashanker Auto Sales-Chattarpur</v>
          </cell>
          <cell r="H368" t="str">
            <v>West</v>
          </cell>
        </row>
        <row r="369">
          <cell r="A369" t="str">
            <v>K.B. Auto Sales-Satna</v>
          </cell>
          <cell r="B369" t="str">
            <v>Dealer</v>
          </cell>
          <cell r="C369" t="str">
            <v>DealerMadhya Pradesh</v>
          </cell>
          <cell r="D369" t="str">
            <v>Dealer344</v>
          </cell>
          <cell r="E369" t="str">
            <v>DealerMadhya Pradesh10</v>
          </cell>
          <cell r="F369" t="str">
            <v>K.B. Auto Sales-Satna</v>
          </cell>
          <cell r="G369" t="str">
            <v>K.B. Auto Sales-Satna</v>
          </cell>
          <cell r="H369" t="str">
            <v>West</v>
          </cell>
        </row>
        <row r="370">
          <cell r="A370" t="str">
            <v>Khurkhuria Automobiles-Tikamgarh</v>
          </cell>
          <cell r="B370" t="str">
            <v>Dealer</v>
          </cell>
          <cell r="C370" t="str">
            <v>DealerMadhya Pradesh</v>
          </cell>
          <cell r="D370" t="str">
            <v>Dealer345</v>
          </cell>
          <cell r="E370" t="str">
            <v>DealerMadhya Pradesh11</v>
          </cell>
          <cell r="F370" t="str">
            <v>Khurkhuria Automobiles-Tikamgarh</v>
          </cell>
          <cell r="G370" t="str">
            <v>Khurkhuria Automobiles-Tikamgarh</v>
          </cell>
          <cell r="H370" t="str">
            <v>West</v>
          </cell>
        </row>
        <row r="371">
          <cell r="A371" t="str">
            <v>Kshipra Automobiles-Ujjain</v>
          </cell>
          <cell r="B371" t="str">
            <v>Dealer</v>
          </cell>
          <cell r="C371" t="str">
            <v>DealerMadhya Pradesh</v>
          </cell>
          <cell r="D371" t="str">
            <v>Dealer346</v>
          </cell>
          <cell r="E371" t="str">
            <v>DealerMadhya Pradesh12</v>
          </cell>
          <cell r="F371" t="str">
            <v>Kshipra Automobiles-Ujjain</v>
          </cell>
          <cell r="G371" t="str">
            <v>Kshipra Automobiles-Ujjain</v>
          </cell>
          <cell r="H371" t="str">
            <v>West</v>
          </cell>
        </row>
        <row r="372">
          <cell r="A372" t="str">
            <v>Milan Auto-Indore</v>
          </cell>
          <cell r="B372" t="str">
            <v>Dealer</v>
          </cell>
          <cell r="C372" t="str">
            <v>DealerMadhya Pradesh</v>
          </cell>
          <cell r="D372" t="str">
            <v>Dealer347</v>
          </cell>
          <cell r="E372" t="str">
            <v>DealerMadhya Pradesh13</v>
          </cell>
          <cell r="F372" t="str">
            <v>Milan Auto-Indore</v>
          </cell>
          <cell r="G372" t="str">
            <v>Milan Auto-Indore</v>
          </cell>
          <cell r="H372" t="str">
            <v>West</v>
          </cell>
        </row>
        <row r="373">
          <cell r="A373" t="str">
            <v>More Agencies-Burhanpur</v>
          </cell>
          <cell r="B373" t="str">
            <v>Dealer</v>
          </cell>
          <cell r="C373" t="str">
            <v>DealerMadhya Pradesh</v>
          </cell>
          <cell r="D373" t="str">
            <v>Dealer348</v>
          </cell>
          <cell r="E373" t="str">
            <v>DealerMadhya Pradesh14</v>
          </cell>
          <cell r="F373" t="str">
            <v>More Agencies-Burhanpur</v>
          </cell>
          <cell r="G373" t="str">
            <v>More Agencies-Burhanpur</v>
          </cell>
          <cell r="H373" t="str">
            <v>West</v>
          </cell>
        </row>
        <row r="374">
          <cell r="A374" t="str">
            <v>National Garage-Jabalpur</v>
          </cell>
          <cell r="B374" t="str">
            <v>Dealer</v>
          </cell>
          <cell r="C374" t="str">
            <v>DealerMadhya Pradesh</v>
          </cell>
          <cell r="D374" t="str">
            <v>Dealer349</v>
          </cell>
          <cell r="E374" t="str">
            <v>DealerMadhya Pradesh15</v>
          </cell>
          <cell r="F374" t="str">
            <v>National Garage-Jabalpur</v>
          </cell>
          <cell r="G374" t="str">
            <v>National Garage-Jabalpur</v>
          </cell>
          <cell r="H374" t="str">
            <v>West</v>
          </cell>
        </row>
        <row r="375">
          <cell r="A375" t="str">
            <v>New Satpura Agencies-Balaghat</v>
          </cell>
          <cell r="B375" t="str">
            <v>Dealer</v>
          </cell>
          <cell r="C375" t="str">
            <v>DealerMadhya Pradesh</v>
          </cell>
          <cell r="D375" t="str">
            <v>Dealer350</v>
          </cell>
          <cell r="E375" t="str">
            <v>DealerMadhya Pradesh16</v>
          </cell>
          <cell r="F375" t="str">
            <v>New Satpura Agencies-Balaghat</v>
          </cell>
          <cell r="G375" t="str">
            <v>New Satpura Agencies-Balaghat</v>
          </cell>
          <cell r="H375" t="str">
            <v>West</v>
          </cell>
        </row>
        <row r="376">
          <cell r="A376" t="str">
            <v>Om Auto &amp; Sons-Bhopal</v>
          </cell>
          <cell r="B376" t="str">
            <v>Dealer</v>
          </cell>
          <cell r="C376" t="str">
            <v>DealerMadhya Pradesh</v>
          </cell>
          <cell r="D376" t="str">
            <v>Dealer351</v>
          </cell>
          <cell r="E376" t="str">
            <v>DealerMadhya Pradesh17</v>
          </cell>
          <cell r="F376" t="str">
            <v>Om Auto &amp; Sons-Bhopal</v>
          </cell>
          <cell r="G376" t="str">
            <v>Om Auto &amp; Sons-Bhopal</v>
          </cell>
          <cell r="H376" t="str">
            <v>West</v>
          </cell>
        </row>
        <row r="377">
          <cell r="A377" t="str">
            <v>Om Shakti Motors-Betul</v>
          </cell>
          <cell r="B377" t="str">
            <v>Dealer</v>
          </cell>
          <cell r="C377" t="str">
            <v>DealerMadhya Pradesh</v>
          </cell>
          <cell r="D377" t="str">
            <v>Dealer352</v>
          </cell>
          <cell r="E377" t="str">
            <v>DealerMadhya Pradesh18</v>
          </cell>
          <cell r="F377" t="str">
            <v>Om Shakti Motors-Betul</v>
          </cell>
          <cell r="G377" t="str">
            <v>Om Shakti Motors-Betul</v>
          </cell>
          <cell r="H377" t="str">
            <v>West</v>
          </cell>
        </row>
        <row r="378">
          <cell r="A378" t="str">
            <v>Prahlad Abhikaran-Khargone</v>
          </cell>
          <cell r="B378" t="str">
            <v>Dealer</v>
          </cell>
          <cell r="C378" t="str">
            <v>DealerMadhya Pradesh</v>
          </cell>
          <cell r="D378" t="str">
            <v>Dealer353</v>
          </cell>
          <cell r="E378" t="str">
            <v>DealerMadhya Pradesh19</v>
          </cell>
          <cell r="F378" t="str">
            <v>Prahlad Abhikaran-Khargone</v>
          </cell>
          <cell r="G378" t="str">
            <v>Prahlad Abhikaran-Khargone</v>
          </cell>
          <cell r="H378" t="str">
            <v>West</v>
          </cell>
        </row>
        <row r="379">
          <cell r="A379" t="str">
            <v>Raghuwanshi Enterprises-Vidisha</v>
          </cell>
          <cell r="B379" t="str">
            <v>Dealer</v>
          </cell>
          <cell r="C379" t="str">
            <v>DealerMadhya Pradesh</v>
          </cell>
          <cell r="D379" t="str">
            <v>Dealer354</v>
          </cell>
          <cell r="E379" t="str">
            <v>DealerMadhya Pradesh20</v>
          </cell>
          <cell r="F379" t="str">
            <v>Raghuwanshi Enterprises-Vidisha</v>
          </cell>
          <cell r="G379" t="str">
            <v>Raghuwanshi Enterprises-Vidisha</v>
          </cell>
          <cell r="H379" t="str">
            <v>West</v>
          </cell>
        </row>
        <row r="380">
          <cell r="A380" t="str">
            <v>Ranka Automobiles-Jhabua</v>
          </cell>
          <cell r="B380" t="str">
            <v>Dealer</v>
          </cell>
          <cell r="C380" t="str">
            <v>DealerMadhya Pradesh</v>
          </cell>
          <cell r="D380" t="str">
            <v>Dealer355</v>
          </cell>
          <cell r="E380" t="str">
            <v>DealerMadhya Pradesh21</v>
          </cell>
          <cell r="F380" t="str">
            <v>Ranka Automobiles-Jhabua</v>
          </cell>
          <cell r="G380" t="str">
            <v>Ranka Automobiles-Jhabua</v>
          </cell>
          <cell r="H380" t="str">
            <v>West</v>
          </cell>
        </row>
        <row r="381">
          <cell r="A381" t="str">
            <v>Sahil Motors-Katni</v>
          </cell>
          <cell r="B381" t="str">
            <v>Dealer</v>
          </cell>
          <cell r="C381" t="str">
            <v>DealerMadhya Pradesh</v>
          </cell>
          <cell r="D381" t="str">
            <v>Dealer356</v>
          </cell>
          <cell r="E381" t="str">
            <v>DealerMadhya Pradesh22</v>
          </cell>
          <cell r="F381" t="str">
            <v>Sahil Motors-Katni</v>
          </cell>
          <cell r="G381" t="str">
            <v>Sahil Motors-Katni</v>
          </cell>
          <cell r="H381" t="str">
            <v>West</v>
          </cell>
        </row>
        <row r="382">
          <cell r="A382" t="str">
            <v>Shree Shakti Automobiels-Neemuch</v>
          </cell>
          <cell r="B382" t="str">
            <v>Dealer</v>
          </cell>
          <cell r="C382" t="str">
            <v>DealerMadhya Pradesh</v>
          </cell>
          <cell r="D382" t="str">
            <v>Dealer357</v>
          </cell>
          <cell r="E382" t="str">
            <v>DealerMadhya Pradesh23</v>
          </cell>
          <cell r="F382" t="str">
            <v>Shree Shakti Automobiels-Neemuch</v>
          </cell>
          <cell r="G382" t="str">
            <v>Shree Shakti Automobiels-Neemuch</v>
          </cell>
          <cell r="H382" t="str">
            <v>West</v>
          </cell>
        </row>
        <row r="383">
          <cell r="A383" t="str">
            <v>Shree Shakti Automobiles-Ratlam</v>
          </cell>
          <cell r="B383" t="str">
            <v>Dealer</v>
          </cell>
          <cell r="C383" t="str">
            <v>DealerMadhya Pradesh</v>
          </cell>
          <cell r="D383" t="str">
            <v>Dealer358</v>
          </cell>
          <cell r="E383" t="str">
            <v>DealerMadhya Pradesh24</v>
          </cell>
          <cell r="F383" t="str">
            <v>Shree Shakti Automobiles-Ratlam</v>
          </cell>
          <cell r="G383" t="str">
            <v>Shree Shakti Automobiles-Ratlam</v>
          </cell>
          <cell r="H383" t="str">
            <v>West</v>
          </cell>
        </row>
        <row r="384">
          <cell r="A384" t="str">
            <v>Sudha Automobiles-Shahdol</v>
          </cell>
          <cell r="B384" t="str">
            <v>Dealer</v>
          </cell>
          <cell r="C384" t="str">
            <v>DealerMadhya Pradesh</v>
          </cell>
          <cell r="D384" t="str">
            <v>Dealer359</v>
          </cell>
          <cell r="E384" t="str">
            <v>DealerMadhya Pradesh25</v>
          </cell>
          <cell r="F384" t="str">
            <v>Sudha Automobiles-Shahdol</v>
          </cell>
          <cell r="G384" t="str">
            <v>Sudha Automobiles-Shahdol</v>
          </cell>
          <cell r="H384" t="str">
            <v>West</v>
          </cell>
        </row>
        <row r="385">
          <cell r="A385" t="str">
            <v>T.R.Motors-Morena</v>
          </cell>
          <cell r="B385" t="str">
            <v>Dealer</v>
          </cell>
          <cell r="C385" t="str">
            <v>DealerMadhya Pradesh</v>
          </cell>
          <cell r="D385" t="str">
            <v>Dealer360</v>
          </cell>
          <cell r="E385" t="str">
            <v>DealerMadhya Pradesh26</v>
          </cell>
          <cell r="F385" t="str">
            <v>T.R.Motors-Morena</v>
          </cell>
          <cell r="G385" t="str">
            <v>T.R.Motors-Morena</v>
          </cell>
          <cell r="H385" t="str">
            <v>West</v>
          </cell>
        </row>
        <row r="386">
          <cell r="A386" t="str">
            <v>Taj Auto Repairing Centre-Itarsi</v>
          </cell>
          <cell r="B386" t="str">
            <v>Dealer</v>
          </cell>
          <cell r="C386" t="str">
            <v>DealerMadhya Pradesh</v>
          </cell>
          <cell r="D386" t="str">
            <v>Dealer361</v>
          </cell>
          <cell r="E386" t="str">
            <v>DealerMadhya Pradesh27</v>
          </cell>
          <cell r="F386" t="str">
            <v>Taj Auto Repairing Centre-Itarsi</v>
          </cell>
          <cell r="G386" t="str">
            <v>Taj Auto Repairing Centre-Itarsi</v>
          </cell>
          <cell r="H386" t="str">
            <v>West</v>
          </cell>
        </row>
        <row r="387">
          <cell r="A387" t="str">
            <v>Velocity Automoibles Pvt.Ltd-Gwalior</v>
          </cell>
          <cell r="B387" t="str">
            <v>Dealer</v>
          </cell>
          <cell r="C387" t="str">
            <v>DealerMadhya Pradesh</v>
          </cell>
          <cell r="D387" t="str">
            <v>Dealer362</v>
          </cell>
          <cell r="E387" t="str">
            <v>DealerMadhya Pradesh28</v>
          </cell>
          <cell r="F387" t="str">
            <v>Velocity Automoibles Pvt.Ltd-Gwalior</v>
          </cell>
          <cell r="G387" t="str">
            <v>Velocity Automoibles Pvt.Ltd-Gwalior</v>
          </cell>
          <cell r="H387" t="str">
            <v>West</v>
          </cell>
        </row>
        <row r="388">
          <cell r="A388" t="str">
            <v>Wonder Bike Auto Sales-Shivpuri</v>
          </cell>
          <cell r="B388" t="str">
            <v>Dealer</v>
          </cell>
          <cell r="C388" t="str">
            <v>DealerMadhya Pradesh</v>
          </cell>
          <cell r="D388" t="str">
            <v>Dealer363</v>
          </cell>
          <cell r="E388" t="str">
            <v>DealerMadhya Pradesh29</v>
          </cell>
          <cell r="F388" t="str">
            <v>Wonder Bike Auto Sales-Shivpuri</v>
          </cell>
          <cell r="G388" t="str">
            <v>Wonder Bike Auto Sales-Shivpuri</v>
          </cell>
          <cell r="H388" t="str">
            <v>West</v>
          </cell>
        </row>
        <row r="389">
          <cell r="A389" t="str">
            <v>A.K.Gandhi-Nagpur</v>
          </cell>
          <cell r="B389" t="str">
            <v>Dealer</v>
          </cell>
          <cell r="C389" t="str">
            <v>DealerMaharashtra</v>
          </cell>
          <cell r="D389" t="str">
            <v>Dealer364</v>
          </cell>
          <cell r="E389" t="str">
            <v>DealerMaharashtra1</v>
          </cell>
          <cell r="F389" t="str">
            <v>A.K.Gandhi-Nagpur</v>
          </cell>
          <cell r="G389" t="str">
            <v>A.K.Gandhi-Nagpur</v>
          </cell>
          <cell r="H389" t="str">
            <v>West</v>
          </cell>
        </row>
        <row r="390">
          <cell r="A390" t="str">
            <v>Ajay Engg &amp; Agricultural Equipment-Jalna</v>
          </cell>
          <cell r="B390" t="str">
            <v>Dealer</v>
          </cell>
          <cell r="C390" t="str">
            <v>DealerMaharashtra</v>
          </cell>
          <cell r="D390" t="str">
            <v>Dealer365</v>
          </cell>
          <cell r="E390" t="str">
            <v>DealerMaharashtra2</v>
          </cell>
          <cell r="F390" t="str">
            <v>Ajay Engg &amp; Agricultural Equipment-Jalna</v>
          </cell>
          <cell r="G390" t="str">
            <v>Ajay Engg &amp; Agricultural Equipment-Jalna</v>
          </cell>
          <cell r="H390" t="str">
            <v>West</v>
          </cell>
        </row>
        <row r="391">
          <cell r="A391" t="str">
            <v>Ajay Farm Mechanisation-Latur</v>
          </cell>
          <cell r="B391" t="str">
            <v>Dealer</v>
          </cell>
          <cell r="C391" t="str">
            <v>DealerMaharashtra</v>
          </cell>
          <cell r="D391" t="str">
            <v>Dealer366</v>
          </cell>
          <cell r="E391" t="str">
            <v>DealerMaharashtra3</v>
          </cell>
          <cell r="F391" t="str">
            <v>Ajay Farm Mechanisation-Latur</v>
          </cell>
          <cell r="G391" t="str">
            <v>Ajay Farm Mechanisation-Latur</v>
          </cell>
          <cell r="H391" t="str">
            <v>West</v>
          </cell>
        </row>
        <row r="392">
          <cell r="A392" t="str">
            <v>Anjikar Automobiles-Chandrapur</v>
          </cell>
          <cell r="B392" t="str">
            <v>Dealer</v>
          </cell>
          <cell r="C392" t="str">
            <v>DealerMaharashtra</v>
          </cell>
          <cell r="D392" t="str">
            <v>Dealer367</v>
          </cell>
          <cell r="E392" t="str">
            <v>DealerMaharashtra4</v>
          </cell>
          <cell r="F392" t="str">
            <v>Anjikar Automobiles-Chandrapur</v>
          </cell>
          <cell r="G392" t="str">
            <v>Anjikar Automobiles-Chandrapur</v>
          </cell>
          <cell r="H392" t="str">
            <v>West</v>
          </cell>
        </row>
        <row r="393">
          <cell r="A393" t="str">
            <v>Arihant Automobiles-Phaltan</v>
          </cell>
          <cell r="B393" t="str">
            <v>Dealer</v>
          </cell>
          <cell r="C393" t="str">
            <v>DealerMaharashtra</v>
          </cell>
          <cell r="D393" t="str">
            <v>Dealer368</v>
          </cell>
          <cell r="E393" t="str">
            <v>DealerMaharashtra5</v>
          </cell>
          <cell r="F393" t="str">
            <v>Arihant Automobiles-Phaltan</v>
          </cell>
          <cell r="G393" t="str">
            <v>Arihant Automobiles-Phaltan</v>
          </cell>
          <cell r="H393" t="str">
            <v>West</v>
          </cell>
        </row>
        <row r="394">
          <cell r="A394" t="str">
            <v>Atharva Auto-Bhandara</v>
          </cell>
          <cell r="B394" t="str">
            <v>Dealer</v>
          </cell>
          <cell r="C394" t="str">
            <v>DealerMaharashtra</v>
          </cell>
          <cell r="D394" t="str">
            <v>Dealer369</v>
          </cell>
          <cell r="E394" t="str">
            <v>DealerMaharashtra6</v>
          </cell>
          <cell r="F394" t="str">
            <v>Atharva Auto-Bhandara</v>
          </cell>
          <cell r="G394" t="str">
            <v>Atharva Auto-Bhandara</v>
          </cell>
          <cell r="H394" t="str">
            <v>West</v>
          </cell>
        </row>
        <row r="395">
          <cell r="A395" t="str">
            <v>Auto Link-Beed</v>
          </cell>
          <cell r="B395" t="str">
            <v>Dealer</v>
          </cell>
          <cell r="C395" t="str">
            <v>DealerMaharashtra</v>
          </cell>
          <cell r="D395" t="str">
            <v>Dealer370</v>
          </cell>
          <cell r="E395" t="str">
            <v>DealerMaharashtra7</v>
          </cell>
          <cell r="F395" t="str">
            <v>Auto Link-Beed</v>
          </cell>
          <cell r="G395" t="str">
            <v>Auto Link-Beed</v>
          </cell>
          <cell r="H395" t="str">
            <v>West</v>
          </cell>
        </row>
        <row r="396">
          <cell r="A396" t="str">
            <v>Bharat Auto Corporation-Dhule</v>
          </cell>
          <cell r="B396" t="str">
            <v>Dealer</v>
          </cell>
          <cell r="C396" t="str">
            <v>DealerMaharashtra</v>
          </cell>
          <cell r="D396" t="str">
            <v>Dealer371</v>
          </cell>
          <cell r="E396" t="str">
            <v>DealerMaharashtra8</v>
          </cell>
          <cell r="F396" t="str">
            <v>Bharat Auto Corporation-Dhule</v>
          </cell>
          <cell r="G396" t="str">
            <v>Bharat Auto Corporation-Dhule</v>
          </cell>
          <cell r="H396" t="str">
            <v>West</v>
          </cell>
        </row>
        <row r="397">
          <cell r="A397" t="str">
            <v>Century Automobiles (Poona)-Pune</v>
          </cell>
          <cell r="B397" t="str">
            <v>Dealer</v>
          </cell>
          <cell r="C397" t="str">
            <v>DealerMaharashtra</v>
          </cell>
          <cell r="D397" t="str">
            <v>Dealer372</v>
          </cell>
          <cell r="E397" t="str">
            <v>DealerMaharashtra9</v>
          </cell>
          <cell r="F397" t="str">
            <v>Century Automobiles (Poona)-Pune</v>
          </cell>
          <cell r="G397" t="str">
            <v>Century Automobiles (Poona)-Pune</v>
          </cell>
          <cell r="H397" t="str">
            <v>West</v>
          </cell>
        </row>
        <row r="398">
          <cell r="A398" t="str">
            <v>Chhatrapati Sales Pvt.Ltd-Pune</v>
          </cell>
          <cell r="B398" t="str">
            <v>Dealer</v>
          </cell>
          <cell r="C398" t="str">
            <v>DealerMaharashtra</v>
          </cell>
          <cell r="D398" t="str">
            <v>Dealer373</v>
          </cell>
          <cell r="E398" t="str">
            <v>DealerMaharashtra10</v>
          </cell>
          <cell r="F398" t="str">
            <v>Chhatrapati Sales Pvt.Ltd-Pune</v>
          </cell>
          <cell r="G398" t="str">
            <v>Chhatrapati Sales Pvt.Ltd-Pune</v>
          </cell>
          <cell r="H398" t="str">
            <v>West</v>
          </cell>
        </row>
        <row r="399">
          <cell r="A399" t="str">
            <v>Daulat Agency-Sirur</v>
          </cell>
          <cell r="B399" t="str">
            <v>Dealer</v>
          </cell>
          <cell r="C399" t="str">
            <v>DealerMaharashtra</v>
          </cell>
          <cell r="D399" t="str">
            <v>Dealer374</v>
          </cell>
          <cell r="E399" t="str">
            <v>DealerMaharashtra11</v>
          </cell>
          <cell r="F399" t="str">
            <v>Daulat Agency-Sirur</v>
          </cell>
          <cell r="G399" t="str">
            <v>Daulat Agency-Sirur</v>
          </cell>
          <cell r="H399" t="str">
            <v>West</v>
          </cell>
        </row>
        <row r="400">
          <cell r="A400" t="str">
            <v>Durga Motors-Amravati</v>
          </cell>
          <cell r="B400" t="str">
            <v>Dealer</v>
          </cell>
          <cell r="C400" t="str">
            <v>DealerMaharashtra</v>
          </cell>
          <cell r="D400" t="str">
            <v>Dealer375</v>
          </cell>
          <cell r="E400" t="str">
            <v>DealerMaharashtra12</v>
          </cell>
          <cell r="F400" t="str">
            <v>Durga Motors-Amravati</v>
          </cell>
          <cell r="G400" t="str">
            <v>Durga Motors-Amravati</v>
          </cell>
          <cell r="H400" t="str">
            <v>West</v>
          </cell>
        </row>
        <row r="401">
          <cell r="A401" t="str">
            <v>Dusane Automobiles-Malegaon</v>
          </cell>
          <cell r="B401" t="str">
            <v>Dealer</v>
          </cell>
          <cell r="C401" t="str">
            <v>DealerMaharashtra</v>
          </cell>
          <cell r="D401" t="str">
            <v>Dealer376</v>
          </cell>
          <cell r="E401" t="str">
            <v>DealerMaharashtra13</v>
          </cell>
          <cell r="F401" t="str">
            <v>Dusane Automobiles-Malegaon</v>
          </cell>
          <cell r="G401" t="str">
            <v>Dusane Automobiles-Malegaon</v>
          </cell>
          <cell r="H401" t="str">
            <v>West</v>
          </cell>
        </row>
        <row r="402">
          <cell r="A402" t="str">
            <v>Excellent Motors-Mumbai</v>
          </cell>
          <cell r="B402" t="str">
            <v>Dealer</v>
          </cell>
          <cell r="C402" t="str">
            <v>DealerMaharashtra</v>
          </cell>
          <cell r="D402" t="str">
            <v>Dealer377</v>
          </cell>
          <cell r="E402" t="str">
            <v>DealerMaharashtra14</v>
          </cell>
          <cell r="F402" t="str">
            <v>Excellent Motors-Mumbai</v>
          </cell>
          <cell r="G402" t="str">
            <v>Excellent Motors-Mumbai</v>
          </cell>
          <cell r="H402" t="str">
            <v>West</v>
          </cell>
        </row>
        <row r="403">
          <cell r="A403" t="str">
            <v>Gandhi Autolines-Pandharpur</v>
          </cell>
          <cell r="B403" t="str">
            <v>Dealer</v>
          </cell>
          <cell r="C403" t="str">
            <v>DealerMaharashtra</v>
          </cell>
          <cell r="D403" t="str">
            <v>Dealer378</v>
          </cell>
          <cell r="E403" t="str">
            <v>DealerMaharashtra15</v>
          </cell>
          <cell r="F403" t="str">
            <v>Gandhi Autolines-Pandharpur</v>
          </cell>
          <cell r="G403" t="str">
            <v>Gandhi Autolines-Pandharpur</v>
          </cell>
          <cell r="H403" t="str">
            <v>West</v>
          </cell>
        </row>
        <row r="404">
          <cell r="A404" t="str">
            <v>Gandhi Automobiles-Solapur</v>
          </cell>
          <cell r="B404" t="str">
            <v>Dealer</v>
          </cell>
          <cell r="C404" t="str">
            <v>DealerMaharashtra</v>
          </cell>
          <cell r="D404" t="str">
            <v>Dealer379</v>
          </cell>
          <cell r="E404" t="str">
            <v>DealerMaharashtra16</v>
          </cell>
          <cell r="F404" t="str">
            <v>Gandhi Automobiles-Solapur</v>
          </cell>
          <cell r="G404" t="str">
            <v>Gandhi Automobiles-Solapur</v>
          </cell>
          <cell r="H404" t="str">
            <v>West</v>
          </cell>
        </row>
        <row r="405">
          <cell r="A405" t="str">
            <v>Hem Agencies-Satara</v>
          </cell>
          <cell r="B405" t="str">
            <v>Dealer</v>
          </cell>
          <cell r="C405" t="str">
            <v>DealerMaharashtra</v>
          </cell>
          <cell r="D405" t="str">
            <v>Dealer380</v>
          </cell>
          <cell r="E405" t="str">
            <v>DealerMaharashtra17</v>
          </cell>
          <cell r="F405" t="str">
            <v>Hem Agencies-Satara</v>
          </cell>
          <cell r="G405" t="str">
            <v>Hem Agencies-Satara</v>
          </cell>
          <cell r="H405" t="str">
            <v>West</v>
          </cell>
        </row>
        <row r="406">
          <cell r="A406" t="str">
            <v>Loyal Motors Pvt.Ltd-Bhiwandi</v>
          </cell>
          <cell r="B406" t="str">
            <v>Dealer</v>
          </cell>
          <cell r="C406" t="str">
            <v>DealerMaharashtra</v>
          </cell>
          <cell r="D406" t="str">
            <v>Dealer381</v>
          </cell>
          <cell r="E406" t="str">
            <v>DealerMaharashtra18</v>
          </cell>
          <cell r="F406" t="str">
            <v>Loyal Motors Pvt.Ltd-Bhiwandi</v>
          </cell>
          <cell r="G406" t="str">
            <v>Loyal Motors Pvt.Ltd-Bhiwandi</v>
          </cell>
          <cell r="H406" t="str">
            <v>West</v>
          </cell>
        </row>
        <row r="407">
          <cell r="A407" t="str">
            <v>Mahesh Auto-Aurangabad</v>
          </cell>
          <cell r="B407" t="str">
            <v>Dealer</v>
          </cell>
          <cell r="C407" t="str">
            <v>DealerMaharashtra</v>
          </cell>
          <cell r="D407" t="str">
            <v>Dealer382</v>
          </cell>
          <cell r="E407" t="str">
            <v>DealerMaharashtra19</v>
          </cell>
          <cell r="F407" t="str">
            <v>Mahesh Auto-Aurangabad</v>
          </cell>
          <cell r="G407" t="str">
            <v>Mahesh Auto-Aurangabad</v>
          </cell>
          <cell r="H407" t="str">
            <v>West</v>
          </cell>
        </row>
        <row r="408">
          <cell r="A408" t="str">
            <v>Mai Bike-Kolhapur</v>
          </cell>
          <cell r="B408" t="str">
            <v>Dealer</v>
          </cell>
          <cell r="C408" t="str">
            <v>DealerMaharashtra</v>
          </cell>
          <cell r="D408" t="str">
            <v>Dealer383</v>
          </cell>
          <cell r="E408" t="str">
            <v>DealerMaharashtra20</v>
          </cell>
          <cell r="F408" t="str">
            <v>Mai Bike-Kolhapur</v>
          </cell>
          <cell r="G408" t="str">
            <v>Mai Bike-Kolhapur</v>
          </cell>
          <cell r="H408" t="str">
            <v>West</v>
          </cell>
        </row>
        <row r="409">
          <cell r="A409" t="str">
            <v>Minakshi Motors-Osmanabad</v>
          </cell>
          <cell r="B409" t="str">
            <v>Dealer</v>
          </cell>
          <cell r="C409" t="str">
            <v>DealerMaharashtra</v>
          </cell>
          <cell r="D409" t="str">
            <v>Dealer384</v>
          </cell>
          <cell r="E409" t="str">
            <v>DealerMaharashtra21</v>
          </cell>
          <cell r="F409" t="str">
            <v>Minakshi Motors-Osmanabad</v>
          </cell>
          <cell r="G409" t="str">
            <v>Minakshi Motors-Osmanabad</v>
          </cell>
          <cell r="H409" t="str">
            <v>West</v>
          </cell>
        </row>
        <row r="410">
          <cell r="A410" t="str">
            <v>Model Agencies-Gondia</v>
          </cell>
          <cell r="B410" t="str">
            <v>Dealer</v>
          </cell>
          <cell r="C410" t="str">
            <v>DealerMaharashtra</v>
          </cell>
          <cell r="D410" t="str">
            <v>Dealer385</v>
          </cell>
          <cell r="E410" t="str">
            <v>DealerMaharashtra22</v>
          </cell>
          <cell r="F410" t="str">
            <v>Model Agencies-Gondia</v>
          </cell>
          <cell r="G410" t="str">
            <v>Model Agencies-Gondia</v>
          </cell>
          <cell r="H410" t="str">
            <v>West</v>
          </cell>
        </row>
        <row r="411">
          <cell r="A411" t="str">
            <v>Oberoi Auto Agencies-Shrirampur</v>
          </cell>
          <cell r="B411" t="str">
            <v>Dealer</v>
          </cell>
          <cell r="C411" t="str">
            <v>DealerMaharashtra</v>
          </cell>
          <cell r="D411" t="str">
            <v>Dealer386</v>
          </cell>
          <cell r="E411" t="str">
            <v>DealerMaharashtra23</v>
          </cell>
          <cell r="F411" t="str">
            <v>Oberoi Auto Agencies-Shrirampur</v>
          </cell>
          <cell r="G411" t="str">
            <v>Oberoi Auto Agencies-Shrirampur</v>
          </cell>
          <cell r="H411" t="str">
            <v>West</v>
          </cell>
        </row>
        <row r="412">
          <cell r="A412" t="str">
            <v>Pankaj Auto-Jalgaon</v>
          </cell>
          <cell r="B412" t="str">
            <v>Dealer</v>
          </cell>
          <cell r="C412" t="str">
            <v>DealerMaharashtra</v>
          </cell>
          <cell r="D412" t="str">
            <v>Dealer387</v>
          </cell>
          <cell r="E412" t="str">
            <v>DealerMaharashtra24</v>
          </cell>
          <cell r="F412" t="str">
            <v>Pankaj Auto-Jalgaon</v>
          </cell>
          <cell r="G412" t="str">
            <v>Pankaj Auto-Jalgaon</v>
          </cell>
          <cell r="H412" t="str">
            <v>West</v>
          </cell>
        </row>
        <row r="413">
          <cell r="A413" t="str">
            <v>Pava Automobiles Pvt.Ltd-Nasik</v>
          </cell>
          <cell r="B413" t="str">
            <v>Dealer</v>
          </cell>
          <cell r="C413" t="str">
            <v>DealerMaharashtra</v>
          </cell>
          <cell r="D413" t="str">
            <v>Dealer388</v>
          </cell>
          <cell r="E413" t="str">
            <v>DealerMaharashtra25</v>
          </cell>
          <cell r="F413" t="str">
            <v>Pava Automobiles Pvt.Ltd-Nasik</v>
          </cell>
          <cell r="G413" t="str">
            <v>Pava Automobiles Pvt.Ltd-Nasik</v>
          </cell>
          <cell r="H413" t="str">
            <v>West</v>
          </cell>
        </row>
        <row r="414">
          <cell r="A414" t="str">
            <v>Prakash Enterprises-Akola</v>
          </cell>
          <cell r="B414" t="str">
            <v>Dealer</v>
          </cell>
          <cell r="C414" t="str">
            <v>DealerMaharashtra</v>
          </cell>
          <cell r="D414" t="str">
            <v>Dealer389</v>
          </cell>
          <cell r="E414" t="str">
            <v>DealerMaharashtra26</v>
          </cell>
          <cell r="F414" t="str">
            <v>Prakash Enterprises-Akola</v>
          </cell>
          <cell r="G414" t="str">
            <v>Prakash Enterprises-Akola</v>
          </cell>
          <cell r="H414" t="str">
            <v>West</v>
          </cell>
        </row>
        <row r="415">
          <cell r="A415" t="str">
            <v>Raigad Auto Sales &amp; Services-Panvel</v>
          </cell>
          <cell r="B415" t="str">
            <v>Dealer</v>
          </cell>
          <cell r="C415" t="str">
            <v>DealerMaharashtra</v>
          </cell>
          <cell r="D415" t="str">
            <v>Dealer390</v>
          </cell>
          <cell r="E415" t="str">
            <v>DealerMaharashtra27</v>
          </cell>
          <cell r="F415" t="str">
            <v>Raigad Auto Sales &amp; Services-Panvel</v>
          </cell>
          <cell r="G415" t="str">
            <v>Raigad Auto Sales &amp; Services-Panvel</v>
          </cell>
          <cell r="H415" t="str">
            <v>West</v>
          </cell>
        </row>
        <row r="416">
          <cell r="A416" t="str">
            <v>Rainbow Associates-Pune</v>
          </cell>
          <cell r="B416" t="str">
            <v>Dealer</v>
          </cell>
          <cell r="C416" t="str">
            <v>DealerMaharashtra</v>
          </cell>
          <cell r="D416" t="str">
            <v>Dealer391</v>
          </cell>
          <cell r="E416" t="str">
            <v>DealerMaharashtra28</v>
          </cell>
          <cell r="F416" t="str">
            <v>Rainbow Associates-Pune</v>
          </cell>
          <cell r="G416" t="str">
            <v>Rainbow Associates-Pune</v>
          </cell>
          <cell r="H416" t="str">
            <v>West</v>
          </cell>
        </row>
        <row r="417">
          <cell r="A417" t="str">
            <v>Rajkamal Automobiles-Parbhani</v>
          </cell>
          <cell r="B417" t="str">
            <v>Dealer</v>
          </cell>
          <cell r="C417" t="str">
            <v>DealerMaharashtra</v>
          </cell>
          <cell r="D417" t="str">
            <v>Dealer392</v>
          </cell>
          <cell r="E417" t="str">
            <v>DealerMaharashtra29</v>
          </cell>
          <cell r="F417" t="str">
            <v>Rajkamal Automobiles-Parbhani</v>
          </cell>
          <cell r="G417" t="str">
            <v>Rajkamal Automobiles-Parbhani</v>
          </cell>
          <cell r="H417" t="str">
            <v>West</v>
          </cell>
        </row>
        <row r="418">
          <cell r="A418" t="str">
            <v>Sajawat Motors-Vasai</v>
          </cell>
          <cell r="B418" t="str">
            <v>Dealer</v>
          </cell>
          <cell r="C418" t="str">
            <v>DealerMaharashtra</v>
          </cell>
          <cell r="D418" t="str">
            <v>Dealer393</v>
          </cell>
          <cell r="E418" t="str">
            <v>DealerMaharashtra30</v>
          </cell>
          <cell r="F418" t="str">
            <v>Sajawat Motors-Vasai</v>
          </cell>
          <cell r="G418" t="str">
            <v>Sajawat Motors-Vasai</v>
          </cell>
          <cell r="H418" t="str">
            <v>West</v>
          </cell>
        </row>
        <row r="419">
          <cell r="A419" t="str">
            <v>Samant Diesels-Kudal</v>
          </cell>
          <cell r="B419" t="str">
            <v>Dealer</v>
          </cell>
          <cell r="C419" t="str">
            <v>DealerMaharashtra</v>
          </cell>
          <cell r="D419" t="str">
            <v>Dealer394</v>
          </cell>
          <cell r="E419" t="str">
            <v>DealerMaharashtra31</v>
          </cell>
          <cell r="F419" t="str">
            <v>Samant Diesels-Kudal</v>
          </cell>
          <cell r="G419" t="str">
            <v>Samant Diesels-Kudal</v>
          </cell>
          <cell r="H419" t="str">
            <v>West</v>
          </cell>
        </row>
        <row r="420">
          <cell r="A420" t="str">
            <v>Satya Automotives Pvt.Ltd-Nanded</v>
          </cell>
          <cell r="B420" t="str">
            <v>Dealer</v>
          </cell>
          <cell r="C420" t="str">
            <v>DealerMaharashtra</v>
          </cell>
          <cell r="D420" t="str">
            <v>Dealer395</v>
          </cell>
          <cell r="E420" t="str">
            <v>DealerMaharashtra32</v>
          </cell>
          <cell r="F420" t="str">
            <v>Satya Automotives Pvt.Ltd-Nanded</v>
          </cell>
          <cell r="G420" t="str">
            <v>Satya Automotives Pvt.Ltd-Nanded</v>
          </cell>
          <cell r="H420" t="str">
            <v>West</v>
          </cell>
        </row>
        <row r="421">
          <cell r="A421" t="str">
            <v>Shinde Agencies-Karad</v>
          </cell>
          <cell r="B421" t="str">
            <v>Dealer</v>
          </cell>
          <cell r="C421" t="str">
            <v>DealerMaharashtra</v>
          </cell>
          <cell r="D421" t="str">
            <v>Dealer396</v>
          </cell>
          <cell r="E421" t="str">
            <v>DealerMaharashtra33</v>
          </cell>
          <cell r="F421" t="str">
            <v>Shinde Agencies-Karad</v>
          </cell>
          <cell r="G421" t="str">
            <v>Shinde Agencies-Karad</v>
          </cell>
          <cell r="H421" t="str">
            <v>West</v>
          </cell>
        </row>
        <row r="422">
          <cell r="A422" t="str">
            <v>Shiv Service (P) Ltd-Pune</v>
          </cell>
          <cell r="B422" t="str">
            <v>Dealer</v>
          </cell>
          <cell r="C422" t="str">
            <v>DealerMaharashtra</v>
          </cell>
          <cell r="D422" t="str">
            <v>Dealer397</v>
          </cell>
          <cell r="E422" t="str">
            <v>DealerMaharashtra34</v>
          </cell>
          <cell r="F422" t="str">
            <v>Shiv Service (P) Ltd-Pune</v>
          </cell>
          <cell r="G422" t="str">
            <v>Shiv Service (P) Ltd-Pune</v>
          </cell>
          <cell r="H422" t="str">
            <v>West</v>
          </cell>
        </row>
        <row r="423">
          <cell r="A423" t="str">
            <v>Shivam Sales Corporation-Ahmednagar</v>
          </cell>
          <cell r="B423" t="str">
            <v>Dealer</v>
          </cell>
          <cell r="C423" t="str">
            <v>DealerMaharashtra</v>
          </cell>
          <cell r="D423" t="str">
            <v>Dealer398</v>
          </cell>
          <cell r="E423" t="str">
            <v>DealerMaharashtra35</v>
          </cell>
          <cell r="F423" t="str">
            <v>Shivam Sales Corporation-Ahmednagar</v>
          </cell>
          <cell r="G423" t="str">
            <v>Shivam Sales Corporation-Ahmednagar</v>
          </cell>
          <cell r="H423" t="str">
            <v>West</v>
          </cell>
        </row>
        <row r="424">
          <cell r="A424" t="str">
            <v>Shorff Autolines-Baramati</v>
          </cell>
          <cell r="B424" t="str">
            <v>Dealer</v>
          </cell>
          <cell r="C424" t="str">
            <v>DealerMaharashtra</v>
          </cell>
          <cell r="D424" t="str">
            <v>Dealer399</v>
          </cell>
          <cell r="E424" t="str">
            <v>DealerMaharashtra36</v>
          </cell>
          <cell r="F424" t="str">
            <v>Shorff Autolines-Baramati</v>
          </cell>
          <cell r="G424" t="str">
            <v>Shorff Autolines-Baramati</v>
          </cell>
          <cell r="H424" t="str">
            <v>West</v>
          </cell>
        </row>
        <row r="425">
          <cell r="A425" t="str">
            <v>Vinay Automobiles-Yavatmal</v>
          </cell>
          <cell r="B425" t="str">
            <v>Dealer</v>
          </cell>
          <cell r="C425" t="str">
            <v>DealerMaharashtra</v>
          </cell>
          <cell r="D425" t="str">
            <v>Dealer400</v>
          </cell>
          <cell r="E425" t="str">
            <v>DealerMaharashtra37</v>
          </cell>
          <cell r="F425" t="str">
            <v>Vinay Automobiles-Yavatmal</v>
          </cell>
          <cell r="G425" t="str">
            <v>Vinay Automobiles-Yavatmal</v>
          </cell>
          <cell r="H425" t="str">
            <v>West</v>
          </cell>
        </row>
        <row r="426">
          <cell r="A426" t="str">
            <v>Yash Automobiles-Pune</v>
          </cell>
          <cell r="B426" t="str">
            <v>Dealer</v>
          </cell>
          <cell r="C426" t="str">
            <v>DealerMaharashtra</v>
          </cell>
          <cell r="D426" t="str">
            <v>Dealer401</v>
          </cell>
          <cell r="E426" t="str">
            <v>DealerMaharashtra38</v>
          </cell>
          <cell r="F426" t="str">
            <v>Yash Automobiles-Pune</v>
          </cell>
          <cell r="G426" t="str">
            <v>Yash Automobiles-Pune</v>
          </cell>
          <cell r="H426" t="str">
            <v>West</v>
          </cell>
        </row>
        <row r="427">
          <cell r="A427" t="str">
            <v>Ajmer Auto Agencies-Ajmer</v>
          </cell>
          <cell r="B427" t="str">
            <v>Dealer</v>
          </cell>
          <cell r="C427" t="str">
            <v>DealerRajasthan</v>
          </cell>
          <cell r="D427" t="str">
            <v>Dealer402</v>
          </cell>
          <cell r="E427" t="str">
            <v>DealerRajasthan1</v>
          </cell>
          <cell r="F427" t="str">
            <v>Ajmer Auto Agencies-Ajmer</v>
          </cell>
          <cell r="G427" t="str">
            <v>Ajmer Auto Agencies-Ajmer</v>
          </cell>
          <cell r="H427" t="str">
            <v>West</v>
          </cell>
        </row>
        <row r="428">
          <cell r="A428" t="str">
            <v>Amar Auto Agencies-Sumerpur</v>
          </cell>
          <cell r="B428" t="str">
            <v>Dealer</v>
          </cell>
          <cell r="C428" t="str">
            <v>DealerRajasthan</v>
          </cell>
          <cell r="D428" t="str">
            <v>Dealer403</v>
          </cell>
          <cell r="E428" t="str">
            <v>DealerRajasthan2</v>
          </cell>
          <cell r="F428" t="str">
            <v>Amar Auto Agencies-Sumerpur</v>
          </cell>
          <cell r="G428" t="str">
            <v>Amar Auto Agencies-Sumerpur</v>
          </cell>
          <cell r="H428" t="str">
            <v>West</v>
          </cell>
        </row>
        <row r="429">
          <cell r="A429" t="str">
            <v>Bhoot Motors-Jodhpur</v>
          </cell>
          <cell r="B429" t="str">
            <v>Dealer</v>
          </cell>
          <cell r="C429" t="str">
            <v>DealerRajasthan</v>
          </cell>
          <cell r="D429" t="str">
            <v>Dealer404</v>
          </cell>
          <cell r="E429" t="str">
            <v>DealerRajasthan3</v>
          </cell>
          <cell r="F429" t="str">
            <v>Bhoot Motors-Jodhpur</v>
          </cell>
          <cell r="G429" t="str">
            <v>Bhoot Motors-Jodhpur</v>
          </cell>
          <cell r="H429" t="str">
            <v>West</v>
          </cell>
        </row>
        <row r="430">
          <cell r="A430" t="str">
            <v>Fatehpuria Motors Pvt.Ltd-Kota</v>
          </cell>
          <cell r="B430" t="str">
            <v>Dealer</v>
          </cell>
          <cell r="C430" t="str">
            <v>DealerRajasthan</v>
          </cell>
          <cell r="D430" t="str">
            <v>Dealer405</v>
          </cell>
          <cell r="E430" t="str">
            <v>DealerRajasthan4</v>
          </cell>
          <cell r="F430" t="str">
            <v>Fatehpuria Motors Pvt.Ltd-Kota</v>
          </cell>
          <cell r="G430" t="str">
            <v>Fatehpuria Motors Pvt.Ltd-Kota</v>
          </cell>
          <cell r="H430" t="str">
            <v>West</v>
          </cell>
        </row>
        <row r="431">
          <cell r="A431" t="str">
            <v>General Automobiles Pvt. Limited-Alwar</v>
          </cell>
          <cell r="B431" t="str">
            <v>Dealer</v>
          </cell>
          <cell r="C431" t="str">
            <v>DealerRajasthan</v>
          </cell>
          <cell r="D431" t="str">
            <v>Dealer406</v>
          </cell>
          <cell r="E431" t="str">
            <v>DealerRajasthan5</v>
          </cell>
          <cell r="F431" t="str">
            <v>General Automobiles Pvt. Limited-Alwar</v>
          </cell>
          <cell r="G431" t="str">
            <v>General Automobiles Pvt. Limited-Alwar</v>
          </cell>
          <cell r="H431" t="str">
            <v>West</v>
          </cell>
        </row>
        <row r="432">
          <cell r="A432" t="str">
            <v>Gupta Motors-Sawai Madhopur</v>
          </cell>
          <cell r="B432" t="str">
            <v>Dealer</v>
          </cell>
          <cell r="C432" t="str">
            <v>DealerRajasthan</v>
          </cell>
          <cell r="D432" t="str">
            <v>Dealer407</v>
          </cell>
          <cell r="E432" t="str">
            <v>DealerRajasthan6</v>
          </cell>
          <cell r="F432" t="str">
            <v>Gupta Motors-Sawai Madhopur</v>
          </cell>
          <cell r="G432" t="str">
            <v>Gupta Motors-Sawai Madhopur</v>
          </cell>
          <cell r="H432" t="str">
            <v>West</v>
          </cell>
        </row>
        <row r="433">
          <cell r="A433" t="str">
            <v>Jain Auto Agencies-Jhalrapatan</v>
          </cell>
          <cell r="B433" t="str">
            <v>Dealer</v>
          </cell>
          <cell r="C433" t="str">
            <v>DealerRajasthan</v>
          </cell>
          <cell r="D433" t="str">
            <v>Dealer408</v>
          </cell>
          <cell r="E433" t="str">
            <v>DealerRajasthan7</v>
          </cell>
          <cell r="F433" t="str">
            <v>Jain Auto Agencies-Jhalrapatan</v>
          </cell>
          <cell r="G433" t="str">
            <v>Jain Auto Agencies-Jhalrapatan</v>
          </cell>
          <cell r="H433" t="str">
            <v>West</v>
          </cell>
        </row>
        <row r="434">
          <cell r="A434" t="str">
            <v>K.S.Auto Agencies-Baran</v>
          </cell>
          <cell r="B434" t="str">
            <v>Dealer</v>
          </cell>
          <cell r="C434" t="str">
            <v>DealerRajasthan</v>
          </cell>
          <cell r="D434" t="str">
            <v>Dealer409</v>
          </cell>
          <cell r="E434" t="str">
            <v>DealerRajasthan8</v>
          </cell>
          <cell r="F434" t="str">
            <v>K.S.Auto Agencies-Baran</v>
          </cell>
          <cell r="G434" t="str">
            <v>K.S.Auto Agencies-Baran</v>
          </cell>
          <cell r="H434" t="str">
            <v>West</v>
          </cell>
        </row>
        <row r="435">
          <cell r="A435" t="str">
            <v>K.S.Motors Ltd-Jaipur</v>
          </cell>
          <cell r="B435" t="str">
            <v>Dealer</v>
          </cell>
          <cell r="C435" t="str">
            <v>DealerRajasthan</v>
          </cell>
          <cell r="D435" t="str">
            <v>Dealer410</v>
          </cell>
          <cell r="E435" t="str">
            <v>DealerRajasthan9</v>
          </cell>
          <cell r="F435" t="str">
            <v>K.S.Motors Ltd-Jaipur</v>
          </cell>
          <cell r="G435" t="str">
            <v>K.S.Motors Ltd-Jaipur</v>
          </cell>
          <cell r="H435" t="str">
            <v>West</v>
          </cell>
        </row>
        <row r="436">
          <cell r="A436" t="str">
            <v>Nahar Sales Corporation-Chittorgarh</v>
          </cell>
          <cell r="B436" t="str">
            <v>Dealer</v>
          </cell>
          <cell r="C436" t="str">
            <v>DealerRajasthan</v>
          </cell>
          <cell r="D436" t="str">
            <v>Dealer411</v>
          </cell>
          <cell r="E436" t="str">
            <v>DealerRajasthan10</v>
          </cell>
          <cell r="F436" t="str">
            <v>Nahar Sales Corporation-Chittorgarh</v>
          </cell>
          <cell r="G436" t="str">
            <v>Nahar Sales Corporation-Chittorgarh</v>
          </cell>
          <cell r="H436" t="str">
            <v>West</v>
          </cell>
        </row>
        <row r="437">
          <cell r="A437" t="str">
            <v>New Auto Union-Nagaur</v>
          </cell>
          <cell r="B437" t="str">
            <v>Dealer</v>
          </cell>
          <cell r="C437" t="str">
            <v>DealerRajasthan</v>
          </cell>
          <cell r="D437" t="str">
            <v>Dealer412</v>
          </cell>
          <cell r="E437" t="str">
            <v>DealerRajasthan11</v>
          </cell>
          <cell r="F437" t="str">
            <v>New Auto Union-Nagaur</v>
          </cell>
          <cell r="G437" t="str">
            <v>New Auto Union-Nagaur</v>
          </cell>
          <cell r="H437" t="str">
            <v>West</v>
          </cell>
        </row>
        <row r="438">
          <cell r="A438" t="str">
            <v>Prem Motors-Kota</v>
          </cell>
          <cell r="B438" t="str">
            <v>Dealer</v>
          </cell>
          <cell r="C438" t="str">
            <v>DealerRajasthan</v>
          </cell>
          <cell r="D438" t="str">
            <v>Dealer413</v>
          </cell>
          <cell r="E438" t="str">
            <v>DealerRajasthan12</v>
          </cell>
          <cell r="F438" t="str">
            <v>Prem Motors-Kota</v>
          </cell>
          <cell r="G438" t="str">
            <v>Prem Motors-Kota</v>
          </cell>
          <cell r="H438" t="str">
            <v>West</v>
          </cell>
        </row>
        <row r="439">
          <cell r="A439" t="str">
            <v>Roshan Lal Jain Motors Pvt.Ltd-Udaipur</v>
          </cell>
          <cell r="B439" t="str">
            <v>Dealer</v>
          </cell>
          <cell r="C439" t="str">
            <v>DealerRajasthan</v>
          </cell>
          <cell r="D439" t="str">
            <v>Dealer414</v>
          </cell>
          <cell r="E439" t="str">
            <v>DealerRajasthan13</v>
          </cell>
          <cell r="F439" t="str">
            <v>Roshan Lal Jain Motors Pvt.Ltd-Udaipur</v>
          </cell>
          <cell r="G439" t="str">
            <v>Roshan Lal Jain Motors Pvt.Ltd-Udaipur</v>
          </cell>
          <cell r="H439" t="str">
            <v>West</v>
          </cell>
        </row>
        <row r="440">
          <cell r="A440" t="str">
            <v>Sainiks Automobiles-Jodhpur</v>
          </cell>
          <cell r="B440" t="str">
            <v>Dealer</v>
          </cell>
          <cell r="C440" t="str">
            <v>DealerRajasthan</v>
          </cell>
          <cell r="D440" t="str">
            <v>Dealer415</v>
          </cell>
          <cell r="E440" t="str">
            <v>DealerRajasthan14</v>
          </cell>
          <cell r="F440" t="str">
            <v>Sainiks Automobiles-Jodhpur</v>
          </cell>
          <cell r="G440" t="str">
            <v>Sainiks Automobiles-Jodhpur</v>
          </cell>
          <cell r="H440" t="str">
            <v>West</v>
          </cell>
        </row>
        <row r="441">
          <cell r="A441" t="str">
            <v>Shakti Automobiles-Banswara</v>
          </cell>
          <cell r="B441" t="str">
            <v>Dealer</v>
          </cell>
          <cell r="C441" t="str">
            <v>DealerRajasthan</v>
          </cell>
          <cell r="D441" t="str">
            <v>Dealer416</v>
          </cell>
          <cell r="E441" t="str">
            <v>DealerRajasthan15</v>
          </cell>
          <cell r="F441" t="str">
            <v>Shakti Automobiles-Banswara</v>
          </cell>
          <cell r="G441" t="str">
            <v>Shakti Automobiles-Banswara</v>
          </cell>
          <cell r="H441" t="str">
            <v>West</v>
          </cell>
        </row>
        <row r="442">
          <cell r="A442" t="str">
            <v>Shanthi Motors-Bikaner</v>
          </cell>
          <cell r="B442" t="str">
            <v>Dealer</v>
          </cell>
          <cell r="C442" t="str">
            <v>DealerRajasthan</v>
          </cell>
          <cell r="D442" t="str">
            <v>Dealer417</v>
          </cell>
          <cell r="E442" t="str">
            <v>DealerRajasthan16</v>
          </cell>
          <cell r="F442" t="str">
            <v>Shanthi Motors-Bikaner</v>
          </cell>
          <cell r="G442" t="str">
            <v>Shanthi Motors-Bikaner</v>
          </cell>
          <cell r="H442" t="str">
            <v>West</v>
          </cell>
        </row>
        <row r="443">
          <cell r="A443" t="str">
            <v>Vinod Auto Agencies-Bhilwara</v>
          </cell>
          <cell r="B443" t="str">
            <v>Dealer</v>
          </cell>
          <cell r="C443" t="str">
            <v>DealerRajasthan</v>
          </cell>
          <cell r="D443" t="str">
            <v>Dealer418</v>
          </cell>
          <cell r="E443" t="str">
            <v>DealerRajasthan17</v>
          </cell>
          <cell r="F443" t="str">
            <v>Vinod Auto Agencies-Bhilwara</v>
          </cell>
          <cell r="G443" t="str">
            <v>Vinod Auto Agencies-Bhilwara</v>
          </cell>
          <cell r="H443" t="str">
            <v>West</v>
          </cell>
        </row>
        <row r="444">
          <cell r="A444" t="str">
            <v>Vivek Motors-Bharatpur</v>
          </cell>
          <cell r="B444" t="str">
            <v>Dealer</v>
          </cell>
          <cell r="C444" t="str">
            <v>DealerRajasthan</v>
          </cell>
          <cell r="D444" t="str">
            <v>Dealer419</v>
          </cell>
          <cell r="E444" t="str">
            <v>DealerRajasthan18</v>
          </cell>
          <cell r="F444" t="str">
            <v>Vivek Motors-Bharatpur</v>
          </cell>
          <cell r="G444" t="str">
            <v>Vivek Motors-Bharatpur</v>
          </cell>
          <cell r="H444" t="str">
            <v>West</v>
          </cell>
        </row>
        <row r="445">
          <cell r="A445" t="str">
            <v>Zamindara Autos Pvt.Ltd-Sriganganagar</v>
          </cell>
          <cell r="B445" t="str">
            <v>Dealer</v>
          </cell>
          <cell r="C445" t="str">
            <v>DealerRajasthan</v>
          </cell>
          <cell r="D445" t="str">
            <v>Dealer420</v>
          </cell>
          <cell r="E445" t="str">
            <v>DealerRajasthan19</v>
          </cell>
          <cell r="F445" t="str">
            <v>Zamindara Autos Pvt.Ltd-Sriganganagar</v>
          </cell>
          <cell r="G445" t="str">
            <v>Zamindara Autos Pvt.Ltd-Sriganganagar</v>
          </cell>
          <cell r="H445" t="str">
            <v>West</v>
          </cell>
        </row>
        <row r="446">
          <cell r="A446" t="str">
            <v>ASCBihar</v>
          </cell>
          <cell r="B446" t="str">
            <v>ASCZone</v>
          </cell>
          <cell r="C446" t="str">
            <v>ASCZone</v>
          </cell>
          <cell r="D446" t="str">
            <v>ASCZone1</v>
          </cell>
          <cell r="E446" t="str">
            <v>ASCZone1</v>
          </cell>
          <cell r="F446" t="str">
            <v>Bihar</v>
          </cell>
          <cell r="G446" t="str">
            <v>Bihar</v>
          </cell>
        </row>
        <row r="447">
          <cell r="A447" t="str">
            <v>ASCJharkhand</v>
          </cell>
          <cell r="B447" t="str">
            <v>ASCZone</v>
          </cell>
          <cell r="C447" t="str">
            <v>ASCZone</v>
          </cell>
          <cell r="D447" t="str">
            <v>ASCZone2</v>
          </cell>
          <cell r="E447" t="str">
            <v>ASCZone2</v>
          </cell>
          <cell r="F447" t="str">
            <v>Jharkhand</v>
          </cell>
          <cell r="G447" t="str">
            <v>Jharkhand</v>
          </cell>
        </row>
        <row r="448">
          <cell r="A448" t="str">
            <v>ASCOrissa</v>
          </cell>
          <cell r="B448" t="str">
            <v>ASCZone</v>
          </cell>
          <cell r="C448" t="str">
            <v>ASCZone</v>
          </cell>
          <cell r="D448" t="str">
            <v>ASCZone3</v>
          </cell>
          <cell r="E448" t="str">
            <v>ASCZone3</v>
          </cell>
          <cell r="F448" t="str">
            <v>Orissa</v>
          </cell>
          <cell r="G448" t="str">
            <v>Orissa</v>
          </cell>
        </row>
        <row r="449">
          <cell r="A449" t="str">
            <v>ASCPunjab</v>
          </cell>
          <cell r="B449" t="str">
            <v>ASCZone</v>
          </cell>
          <cell r="C449" t="str">
            <v>ASCZone</v>
          </cell>
          <cell r="D449" t="str">
            <v>ASCZone4</v>
          </cell>
          <cell r="E449" t="str">
            <v>ASCZone4</v>
          </cell>
          <cell r="F449" t="str">
            <v>Punjab</v>
          </cell>
          <cell r="G449" t="str">
            <v>Punjab</v>
          </cell>
        </row>
        <row r="450">
          <cell r="A450" t="str">
            <v>ASCUttar Pradesh</v>
          </cell>
          <cell r="B450" t="str">
            <v>ASCZone</v>
          </cell>
          <cell r="C450" t="str">
            <v>ASCZone</v>
          </cell>
          <cell r="D450" t="str">
            <v>ASCZone5</v>
          </cell>
          <cell r="E450" t="str">
            <v>ASCZone5</v>
          </cell>
          <cell r="F450" t="str">
            <v>Uttar Pradesh</v>
          </cell>
          <cell r="G450" t="str">
            <v>Uttar Pradesh</v>
          </cell>
        </row>
        <row r="451">
          <cell r="A451" t="str">
            <v>ASCAndhra Pradesh</v>
          </cell>
          <cell r="B451" t="str">
            <v>ASCZone</v>
          </cell>
          <cell r="C451" t="str">
            <v>ASCZone</v>
          </cell>
          <cell r="D451" t="str">
            <v>ASCZone6</v>
          </cell>
          <cell r="E451" t="str">
            <v>ASCZone6</v>
          </cell>
          <cell r="F451" t="str">
            <v>Andhra Pradesh</v>
          </cell>
          <cell r="G451" t="str">
            <v>Andhra Pradesh</v>
          </cell>
        </row>
        <row r="452">
          <cell r="A452" t="str">
            <v>ASCKarnataka</v>
          </cell>
          <cell r="B452" t="str">
            <v>ASCZone</v>
          </cell>
          <cell r="C452" t="str">
            <v>ASCZone</v>
          </cell>
          <cell r="D452" t="str">
            <v>ASCZone7</v>
          </cell>
          <cell r="E452" t="str">
            <v>ASCZone7</v>
          </cell>
          <cell r="F452" t="str">
            <v>Karnataka</v>
          </cell>
          <cell r="G452" t="str">
            <v>Karnataka</v>
          </cell>
        </row>
        <row r="453">
          <cell r="A453" t="str">
            <v>ASCKerala</v>
          </cell>
          <cell r="B453" t="str">
            <v>ASCZone</v>
          </cell>
          <cell r="C453" t="str">
            <v>ASCZone</v>
          </cell>
          <cell r="D453" t="str">
            <v>ASCZone8</v>
          </cell>
          <cell r="E453" t="str">
            <v>ASCZone8</v>
          </cell>
          <cell r="F453" t="str">
            <v>Kerala</v>
          </cell>
          <cell r="G453" t="str">
            <v>Kerala</v>
          </cell>
        </row>
        <row r="454">
          <cell r="A454" t="str">
            <v>ASCTamil Nadu</v>
          </cell>
          <cell r="B454" t="str">
            <v>ASCZone</v>
          </cell>
          <cell r="C454" t="str">
            <v>ASCZone</v>
          </cell>
          <cell r="D454" t="str">
            <v>ASCZone9</v>
          </cell>
          <cell r="E454" t="str">
            <v>ASCZone9</v>
          </cell>
          <cell r="F454" t="str">
            <v>Tamil Nadu</v>
          </cell>
          <cell r="G454" t="str">
            <v>Tamil Nadu</v>
          </cell>
        </row>
        <row r="455">
          <cell r="A455" t="str">
            <v>ASCGujarat</v>
          </cell>
          <cell r="B455" t="str">
            <v>ASCZone</v>
          </cell>
          <cell r="C455" t="str">
            <v>ASCZone</v>
          </cell>
          <cell r="D455" t="str">
            <v>ASCZone10</v>
          </cell>
          <cell r="E455" t="str">
            <v>ASCZone10</v>
          </cell>
          <cell r="F455" t="str">
            <v>Gujarat</v>
          </cell>
          <cell r="G455" t="str">
            <v>Gujarat</v>
          </cell>
        </row>
        <row r="456">
          <cell r="A456" t="str">
            <v>ASCMadhya Pradesh</v>
          </cell>
          <cell r="B456" t="str">
            <v>ASCZone</v>
          </cell>
          <cell r="C456" t="str">
            <v>ASCZone</v>
          </cell>
          <cell r="D456" t="str">
            <v>ASCZone11</v>
          </cell>
          <cell r="E456" t="str">
            <v>ASCZone11</v>
          </cell>
          <cell r="F456" t="str">
            <v>Madhya Pradesh</v>
          </cell>
          <cell r="G456" t="str">
            <v>Madhya Pradesh</v>
          </cell>
        </row>
        <row r="457">
          <cell r="A457" t="str">
            <v>ASCMaharashtra</v>
          </cell>
          <cell r="B457" t="str">
            <v>ASCZone</v>
          </cell>
          <cell r="C457" t="str">
            <v>ASCZone</v>
          </cell>
          <cell r="D457" t="str">
            <v>ASCZone12</v>
          </cell>
          <cell r="E457" t="str">
            <v>ASCZone12</v>
          </cell>
          <cell r="F457" t="str">
            <v>Maharashtra</v>
          </cell>
          <cell r="G457" t="str">
            <v>Maharashtra</v>
          </cell>
        </row>
        <row r="458">
          <cell r="A458" t="str">
            <v>ASCRajasthan</v>
          </cell>
          <cell r="B458" t="str">
            <v>ASCZone</v>
          </cell>
          <cell r="C458" t="str">
            <v>ASCZone</v>
          </cell>
          <cell r="D458" t="str">
            <v>ASCZone13</v>
          </cell>
          <cell r="E458" t="str">
            <v>ASCZone13</v>
          </cell>
          <cell r="F458" t="str">
            <v>Rajasthan</v>
          </cell>
          <cell r="G458" t="str">
            <v>Rajasthan</v>
          </cell>
        </row>
        <row r="459">
          <cell r="A459" t="str">
            <v>New Rajesh Agency-Hajipur</v>
          </cell>
          <cell r="B459" t="str">
            <v>ASC</v>
          </cell>
          <cell r="C459" t="str">
            <v>ASCBihar</v>
          </cell>
          <cell r="D459" t="str">
            <v>ASC1</v>
          </cell>
          <cell r="E459" t="str">
            <v>ASCBihar1</v>
          </cell>
          <cell r="F459" t="str">
            <v>New Rajesh Agency-Hajipur</v>
          </cell>
          <cell r="G459" t="str">
            <v>New Rajesh Agency-Hajipur</v>
          </cell>
          <cell r="H459" t="str">
            <v>North &amp; East</v>
          </cell>
        </row>
        <row r="460">
          <cell r="A460" t="str">
            <v>A.R.Traders-Giridi</v>
          </cell>
          <cell r="B460" t="str">
            <v>ASC</v>
          </cell>
          <cell r="C460" t="str">
            <v>ASCJharkhand</v>
          </cell>
          <cell r="D460" t="str">
            <v>ASC2</v>
          </cell>
          <cell r="E460" t="str">
            <v>ASCJharkhand1</v>
          </cell>
          <cell r="F460" t="str">
            <v>A.R.Traders-Giridi</v>
          </cell>
          <cell r="G460" t="str">
            <v>A.R.Traders-Giridi</v>
          </cell>
          <cell r="H460" t="str">
            <v>North &amp; East</v>
          </cell>
        </row>
        <row r="461">
          <cell r="A461" t="str">
            <v>Bina Sree Auto-Ramgarh</v>
          </cell>
          <cell r="B461" t="str">
            <v>ASC</v>
          </cell>
          <cell r="C461" t="str">
            <v>ASCJharkhand</v>
          </cell>
          <cell r="D461" t="str">
            <v>ASC3</v>
          </cell>
          <cell r="E461" t="str">
            <v>ASCJharkhand2</v>
          </cell>
          <cell r="F461" t="str">
            <v>Bina Sree Auto-Ramgarh</v>
          </cell>
          <cell r="G461" t="str">
            <v>Bina Sree Auto-Ramgarh</v>
          </cell>
          <cell r="H461" t="str">
            <v>North &amp; East</v>
          </cell>
        </row>
        <row r="462">
          <cell r="A462" t="str">
            <v>Sharda Automobiles-Daltanganj</v>
          </cell>
          <cell r="B462" t="str">
            <v>ASC</v>
          </cell>
          <cell r="C462" t="str">
            <v>ASCJharkhand</v>
          </cell>
          <cell r="D462" t="str">
            <v>ASC4</v>
          </cell>
          <cell r="E462" t="str">
            <v>ASCJharkhand3</v>
          </cell>
          <cell r="F462" t="str">
            <v>Sharda Automobiles-Daltanganj</v>
          </cell>
          <cell r="G462" t="str">
            <v>Sharda Automobiles-Daltanganj</v>
          </cell>
          <cell r="H462" t="str">
            <v>North &amp; East</v>
          </cell>
        </row>
        <row r="463">
          <cell r="A463" t="str">
            <v>Allied Traders-Baripada</v>
          </cell>
          <cell r="B463" t="str">
            <v>ASC</v>
          </cell>
          <cell r="C463" t="str">
            <v>ASCOrissa</v>
          </cell>
          <cell r="D463" t="str">
            <v>ASC5</v>
          </cell>
          <cell r="E463" t="str">
            <v>ASCOrissa1</v>
          </cell>
          <cell r="F463" t="str">
            <v>Allied Traders-Baripada</v>
          </cell>
          <cell r="G463" t="str">
            <v>Allied Traders-Baripada</v>
          </cell>
          <cell r="H463" t="str">
            <v>North &amp; East</v>
          </cell>
        </row>
        <row r="464">
          <cell r="A464" t="str">
            <v>Kumar Automobiles-</v>
          </cell>
          <cell r="B464" t="str">
            <v>ASC</v>
          </cell>
          <cell r="C464" t="str">
            <v>ASCOrissa</v>
          </cell>
          <cell r="D464" t="str">
            <v>ASC6</v>
          </cell>
          <cell r="E464" t="str">
            <v>ASCOrissa2</v>
          </cell>
          <cell r="F464" t="str">
            <v>Kumar Automobiles-</v>
          </cell>
          <cell r="G464" t="str">
            <v>Kumar Automobiles-</v>
          </cell>
          <cell r="H464" t="str">
            <v>North &amp; East</v>
          </cell>
        </row>
        <row r="465">
          <cell r="A465" t="str">
            <v>Palo Motors-Banjanagar</v>
          </cell>
          <cell r="B465" t="str">
            <v>ASC</v>
          </cell>
          <cell r="C465" t="str">
            <v>ASCOrissa</v>
          </cell>
          <cell r="D465" t="str">
            <v>ASC7</v>
          </cell>
          <cell r="E465" t="str">
            <v>ASCOrissa3</v>
          </cell>
          <cell r="F465" t="str">
            <v>Palo Motors-Banjanagar</v>
          </cell>
          <cell r="G465" t="str">
            <v>Palo Motors-Banjanagar</v>
          </cell>
          <cell r="H465" t="str">
            <v>North &amp; East</v>
          </cell>
        </row>
        <row r="466">
          <cell r="A466" t="str">
            <v>Prince Motors-Talcher</v>
          </cell>
          <cell r="B466" t="str">
            <v>ASC</v>
          </cell>
          <cell r="C466" t="str">
            <v>ASCOrissa</v>
          </cell>
          <cell r="D466" t="str">
            <v>ASC8</v>
          </cell>
          <cell r="E466" t="str">
            <v>ASCOrissa4</v>
          </cell>
          <cell r="F466" t="str">
            <v>Prince Motors-Talcher</v>
          </cell>
          <cell r="G466" t="str">
            <v>Prince Motors-Talcher</v>
          </cell>
          <cell r="H466" t="str">
            <v>North &amp; East</v>
          </cell>
        </row>
        <row r="467">
          <cell r="A467" t="str">
            <v>R K Auto Sales-Bhawanipatna</v>
          </cell>
          <cell r="B467" t="str">
            <v>ASC</v>
          </cell>
          <cell r="C467" t="str">
            <v>ASCOrissa</v>
          </cell>
          <cell r="D467" t="str">
            <v>ASC9</v>
          </cell>
          <cell r="E467" t="str">
            <v>ASCOrissa5</v>
          </cell>
          <cell r="F467" t="str">
            <v>R K Auto Sales-Bhawanipatna</v>
          </cell>
          <cell r="G467" t="str">
            <v>R K Auto Sales-Bhawanipatna</v>
          </cell>
          <cell r="H467" t="str">
            <v>North &amp; East</v>
          </cell>
        </row>
        <row r="468">
          <cell r="A468" t="str">
            <v>Royal Motors-Rairangpur</v>
          </cell>
          <cell r="B468" t="str">
            <v>ASC</v>
          </cell>
          <cell r="C468" t="str">
            <v>ASCOrissa</v>
          </cell>
          <cell r="D468" t="str">
            <v>ASC10</v>
          </cell>
          <cell r="E468" t="str">
            <v>ASCOrissa6</v>
          </cell>
          <cell r="F468" t="str">
            <v>Royal Motors-Rairangpur</v>
          </cell>
          <cell r="G468" t="str">
            <v>Royal Motors-Rairangpur</v>
          </cell>
          <cell r="H468" t="str">
            <v>North &amp; East</v>
          </cell>
        </row>
        <row r="469">
          <cell r="A469" t="str">
            <v>Samir Auto-Kendrapara</v>
          </cell>
          <cell r="B469" t="str">
            <v>ASC</v>
          </cell>
          <cell r="C469" t="str">
            <v>ASCOrissa</v>
          </cell>
          <cell r="D469" t="str">
            <v>ASC11</v>
          </cell>
          <cell r="E469" t="str">
            <v>ASCOrissa7</v>
          </cell>
          <cell r="F469" t="str">
            <v>Samir Auto-Kendrapara</v>
          </cell>
          <cell r="G469" t="str">
            <v>Samir Auto-Kendrapara</v>
          </cell>
          <cell r="H469" t="str">
            <v>North &amp; East</v>
          </cell>
        </row>
        <row r="470">
          <cell r="A470" t="str">
            <v>Sanjay Automobiles -Bhadrak</v>
          </cell>
          <cell r="B470" t="str">
            <v>ASC</v>
          </cell>
          <cell r="C470" t="str">
            <v>ASCOrissa</v>
          </cell>
          <cell r="D470" t="str">
            <v>ASC12</v>
          </cell>
          <cell r="E470" t="str">
            <v>ASCOrissa8</v>
          </cell>
          <cell r="F470" t="str">
            <v>Sanjay Automobiles -Bhadrak</v>
          </cell>
          <cell r="G470" t="str">
            <v>Sanjay Automobiles -Bhadrak</v>
          </cell>
          <cell r="H470" t="str">
            <v>North &amp; East</v>
          </cell>
        </row>
        <row r="471">
          <cell r="A471" t="str">
            <v>Sri Ganesh Motors-Dhenkanal</v>
          </cell>
          <cell r="B471" t="str">
            <v>ASC</v>
          </cell>
          <cell r="C471" t="str">
            <v>ASCOrissa</v>
          </cell>
          <cell r="D471" t="str">
            <v>ASC13</v>
          </cell>
          <cell r="E471" t="str">
            <v>ASCOrissa9</v>
          </cell>
          <cell r="F471" t="str">
            <v>Sri Ganesh Motors-Dhenkanal</v>
          </cell>
          <cell r="G471" t="str">
            <v>Sri Ganesh Motors-Dhenkanal</v>
          </cell>
          <cell r="H471" t="str">
            <v>North &amp; East</v>
          </cell>
        </row>
        <row r="472">
          <cell r="A472" t="str">
            <v>Sri Sai/Subash Motors-Jajpur Road</v>
          </cell>
          <cell r="B472" t="str">
            <v>ASC</v>
          </cell>
          <cell r="C472" t="str">
            <v>ASCOrissa</v>
          </cell>
          <cell r="D472" t="str">
            <v>ASC14</v>
          </cell>
          <cell r="E472" t="str">
            <v>ASCOrissa10</v>
          </cell>
          <cell r="F472" t="str">
            <v>Sri Sai/Subash Motors-Jajpur Road</v>
          </cell>
          <cell r="G472" t="str">
            <v>Sri Sai/Subash Motors-Jajpur Road</v>
          </cell>
          <cell r="H472" t="str">
            <v>North &amp; East</v>
          </cell>
        </row>
        <row r="473">
          <cell r="A473" t="str">
            <v>Jamber-Rupnagar</v>
          </cell>
          <cell r="B473" t="str">
            <v>ASC</v>
          </cell>
          <cell r="C473" t="str">
            <v>ASCPunjab</v>
          </cell>
          <cell r="D473" t="str">
            <v>ASC15</v>
          </cell>
          <cell r="E473" t="str">
            <v>ASCPunjab1</v>
          </cell>
          <cell r="F473" t="str">
            <v>Jamber-Rupnagar</v>
          </cell>
          <cell r="G473" t="str">
            <v>Jamber-Rupnagar</v>
          </cell>
          <cell r="H473" t="str">
            <v>North &amp; East</v>
          </cell>
        </row>
        <row r="474">
          <cell r="A474" t="str">
            <v>Namdhari-Mandi</v>
          </cell>
          <cell r="B474" t="str">
            <v>ASC</v>
          </cell>
          <cell r="C474" t="str">
            <v>ASCPunjab</v>
          </cell>
          <cell r="D474" t="str">
            <v>ASC16</v>
          </cell>
          <cell r="E474" t="str">
            <v>ASCPunjab2</v>
          </cell>
          <cell r="F474" t="str">
            <v>Namdhari-Mandi</v>
          </cell>
          <cell r="G474" t="str">
            <v>Namdhari-Mandi</v>
          </cell>
          <cell r="H474" t="str">
            <v>North &amp; East</v>
          </cell>
        </row>
        <row r="475">
          <cell r="A475" t="str">
            <v>Ranjit Motors-Batagh</v>
          </cell>
          <cell r="B475" t="str">
            <v>ASC</v>
          </cell>
          <cell r="C475" t="str">
            <v>ASCPunjab</v>
          </cell>
          <cell r="D475" t="str">
            <v>ASC17</v>
          </cell>
          <cell r="E475" t="str">
            <v>ASCPunjab3</v>
          </cell>
          <cell r="F475" t="str">
            <v>Ranjit Motors-Batagh</v>
          </cell>
          <cell r="G475" t="str">
            <v>Ranjit Motors-Batagh</v>
          </cell>
          <cell r="H475" t="str">
            <v>North &amp; East</v>
          </cell>
        </row>
        <row r="476">
          <cell r="A476" t="str">
            <v>A. K. Auto Engg.-Balrampur</v>
          </cell>
          <cell r="B476" t="str">
            <v>ASC</v>
          </cell>
          <cell r="C476" t="str">
            <v>ASCUttar Pradesh</v>
          </cell>
          <cell r="D476" t="str">
            <v>ASC18</v>
          </cell>
          <cell r="E476" t="str">
            <v>ASCUttar Pradesh1</v>
          </cell>
          <cell r="F476" t="str">
            <v>A. K. Auto Engg.-Balrampur</v>
          </cell>
          <cell r="G476" t="str">
            <v>A. K. Auto Engg.-Balrampur</v>
          </cell>
          <cell r="H476" t="str">
            <v>North &amp; East</v>
          </cell>
        </row>
        <row r="477">
          <cell r="A477" t="str">
            <v>Autowheelers-Lucknow</v>
          </cell>
          <cell r="B477" t="str">
            <v>ASC</v>
          </cell>
          <cell r="C477" t="str">
            <v>ASCUttar Pradesh</v>
          </cell>
          <cell r="D477" t="str">
            <v>ASC19</v>
          </cell>
          <cell r="E477" t="str">
            <v>ASCUttar Pradesh2</v>
          </cell>
          <cell r="F477" t="str">
            <v>Autowheelers-Lucknow</v>
          </cell>
          <cell r="G477" t="str">
            <v>Autowheelers-Lucknow</v>
          </cell>
          <cell r="H477" t="str">
            <v>North &amp; East</v>
          </cell>
        </row>
        <row r="478">
          <cell r="A478" t="str">
            <v>Famous Motors-Amroha</v>
          </cell>
          <cell r="B478" t="str">
            <v>ASC</v>
          </cell>
          <cell r="C478" t="str">
            <v>ASCUttar Pradesh</v>
          </cell>
          <cell r="D478" t="str">
            <v>ASC20</v>
          </cell>
          <cell r="E478" t="str">
            <v>ASCUttar Pradesh3</v>
          </cell>
          <cell r="F478" t="str">
            <v>Famous Motors-Amroha</v>
          </cell>
          <cell r="G478" t="str">
            <v>Famous Motors-Amroha</v>
          </cell>
          <cell r="H478" t="str">
            <v>North &amp; East</v>
          </cell>
        </row>
        <row r="479">
          <cell r="A479" t="str">
            <v>Kaushambi Auto-Kaushambi</v>
          </cell>
          <cell r="B479" t="str">
            <v>ASC</v>
          </cell>
          <cell r="C479" t="str">
            <v>ASCUttar Pradesh</v>
          </cell>
          <cell r="D479" t="str">
            <v>ASC21</v>
          </cell>
          <cell r="E479" t="str">
            <v>ASCUttar Pradesh4</v>
          </cell>
          <cell r="F479" t="str">
            <v>Kaushambi Auto-Kaushambi</v>
          </cell>
          <cell r="G479" t="str">
            <v>Kaushambi Auto-Kaushambi</v>
          </cell>
          <cell r="H479" t="str">
            <v>North &amp; East</v>
          </cell>
        </row>
        <row r="480">
          <cell r="A480" t="str">
            <v>Khinda Motors-Khatima</v>
          </cell>
          <cell r="B480" t="str">
            <v>ASC</v>
          </cell>
          <cell r="C480" t="str">
            <v>ASCUttar Pradesh</v>
          </cell>
          <cell r="D480" t="str">
            <v>ASC22</v>
          </cell>
          <cell r="E480" t="str">
            <v>ASCUttar Pradesh5</v>
          </cell>
          <cell r="F480" t="str">
            <v>Khinda Motors-Khatima</v>
          </cell>
          <cell r="G480" t="str">
            <v>Khinda Motors-Khatima</v>
          </cell>
          <cell r="H480" t="str">
            <v>North &amp; East</v>
          </cell>
        </row>
        <row r="481">
          <cell r="A481" t="str">
            <v>Lodhi Motors-Lucknow</v>
          </cell>
          <cell r="B481" t="str">
            <v>ASC</v>
          </cell>
          <cell r="C481" t="str">
            <v>ASCUttar Pradesh</v>
          </cell>
          <cell r="D481" t="str">
            <v>ASC23</v>
          </cell>
          <cell r="E481" t="str">
            <v>ASCUttar Pradesh6</v>
          </cell>
          <cell r="F481" t="str">
            <v>Lodhi Motors-Lucknow</v>
          </cell>
          <cell r="G481" t="str">
            <v>Lodhi Motors-Lucknow</v>
          </cell>
          <cell r="H481" t="str">
            <v>North &amp; East</v>
          </cell>
        </row>
        <row r="482">
          <cell r="A482" t="str">
            <v>Maa Durge Automobiles-Renukoot</v>
          </cell>
          <cell r="B482" t="str">
            <v>ASC</v>
          </cell>
          <cell r="C482" t="str">
            <v>ASCUttar Pradesh</v>
          </cell>
          <cell r="D482" t="str">
            <v>ASC24</v>
          </cell>
          <cell r="E482" t="str">
            <v>ASCUttar Pradesh7</v>
          </cell>
          <cell r="F482" t="str">
            <v>Maa Durge Automobiles-Renukoot</v>
          </cell>
          <cell r="G482" t="str">
            <v>Maa Durge Automobiles-Renukoot</v>
          </cell>
          <cell r="H482" t="str">
            <v>North &amp; East</v>
          </cell>
        </row>
        <row r="483">
          <cell r="A483" t="str">
            <v>Mahendra Motors-Kanpur</v>
          </cell>
          <cell r="B483" t="str">
            <v>ASC</v>
          </cell>
          <cell r="C483" t="str">
            <v>ASCUttar Pradesh</v>
          </cell>
          <cell r="D483" t="str">
            <v>ASC25</v>
          </cell>
          <cell r="E483" t="str">
            <v>ASCUttar Pradesh8</v>
          </cell>
          <cell r="F483" t="str">
            <v>Mahendra Motors-Kanpur</v>
          </cell>
          <cell r="G483" t="str">
            <v>Mahendra Motors-Kanpur</v>
          </cell>
          <cell r="H483" t="str">
            <v>North &amp; East</v>
          </cell>
        </row>
        <row r="484">
          <cell r="A484" t="str">
            <v>Mishra Traders-Varanasi</v>
          </cell>
          <cell r="B484" t="str">
            <v>ASC</v>
          </cell>
          <cell r="C484" t="str">
            <v>ASCUttar Pradesh</v>
          </cell>
          <cell r="D484" t="str">
            <v>ASC26</v>
          </cell>
          <cell r="E484" t="str">
            <v>ASCUttar Pradesh9</v>
          </cell>
          <cell r="F484" t="str">
            <v>Mishra Traders-Varanasi</v>
          </cell>
          <cell r="G484" t="str">
            <v>Mishra Traders-Varanasi</v>
          </cell>
          <cell r="H484" t="str">
            <v>North &amp; East</v>
          </cell>
        </row>
        <row r="485">
          <cell r="A485" t="str">
            <v>New Amber Auto Sales-Badaun</v>
          </cell>
          <cell r="B485" t="str">
            <v>ASC</v>
          </cell>
          <cell r="C485" t="str">
            <v>ASCUttar Pradesh</v>
          </cell>
          <cell r="D485" t="str">
            <v>ASC27</v>
          </cell>
          <cell r="E485" t="str">
            <v>ASCUttar Pradesh10</v>
          </cell>
          <cell r="F485" t="str">
            <v>New Amber Auto Sales-Badaun</v>
          </cell>
          <cell r="G485" t="str">
            <v>New Amber Auto Sales-Badaun</v>
          </cell>
          <cell r="H485" t="str">
            <v>North &amp; East</v>
          </cell>
        </row>
        <row r="486">
          <cell r="A486" t="str">
            <v>Parma Automobiles-Mughalsarai</v>
          </cell>
          <cell r="B486" t="str">
            <v>ASC</v>
          </cell>
          <cell r="C486" t="str">
            <v>ASCUttar Pradesh</v>
          </cell>
          <cell r="D486" t="str">
            <v>ASC28</v>
          </cell>
          <cell r="E486" t="str">
            <v>ASCUttar Pradesh11</v>
          </cell>
          <cell r="F486" t="str">
            <v>Parma Automobiles-Mughalsarai</v>
          </cell>
          <cell r="G486" t="str">
            <v>Parma Automobiles-Mughalsarai</v>
          </cell>
          <cell r="H486" t="str">
            <v>North &amp; East</v>
          </cell>
        </row>
        <row r="487">
          <cell r="A487" t="str">
            <v>Raj Auto Sales-Akbarpur</v>
          </cell>
          <cell r="B487" t="str">
            <v>ASC</v>
          </cell>
          <cell r="C487" t="str">
            <v>ASCUttar Pradesh</v>
          </cell>
          <cell r="D487" t="str">
            <v>ASC29</v>
          </cell>
          <cell r="E487" t="str">
            <v>ASCUttar Pradesh12</v>
          </cell>
          <cell r="F487" t="str">
            <v>Raj Auto Sales-Akbarpur</v>
          </cell>
          <cell r="G487" t="str">
            <v>Raj Auto Sales-Akbarpur</v>
          </cell>
          <cell r="H487" t="str">
            <v>North &amp; East</v>
          </cell>
        </row>
        <row r="488">
          <cell r="A488" t="str">
            <v>Renu Auto-Kanpur</v>
          </cell>
          <cell r="B488" t="str">
            <v>ASC</v>
          </cell>
          <cell r="C488" t="str">
            <v>ASCUttar Pradesh</v>
          </cell>
          <cell r="D488" t="str">
            <v>ASC30</v>
          </cell>
          <cell r="E488" t="str">
            <v>ASCUttar Pradesh13</v>
          </cell>
          <cell r="F488" t="str">
            <v>Renu Auto-Kanpur</v>
          </cell>
          <cell r="G488" t="str">
            <v>Renu Auto-Kanpur</v>
          </cell>
          <cell r="H488" t="str">
            <v>North &amp; East</v>
          </cell>
        </row>
        <row r="489">
          <cell r="A489" t="str">
            <v>Royal Automobiles-Lucknow</v>
          </cell>
          <cell r="B489" t="str">
            <v>ASC</v>
          </cell>
          <cell r="C489" t="str">
            <v>ASCUttar Pradesh</v>
          </cell>
          <cell r="D489" t="str">
            <v>ASC31</v>
          </cell>
          <cell r="E489" t="str">
            <v>ASCUttar Pradesh14</v>
          </cell>
          <cell r="F489" t="str">
            <v>Royal Automobiles-Lucknow</v>
          </cell>
          <cell r="G489" t="str">
            <v>Royal Automobiles-Lucknow</v>
          </cell>
          <cell r="H489" t="str">
            <v>North &amp; East</v>
          </cell>
        </row>
        <row r="490">
          <cell r="A490" t="str">
            <v>Sanjay Auto Sales-Lalitpur</v>
          </cell>
          <cell r="B490" t="str">
            <v>ASC</v>
          </cell>
          <cell r="C490" t="str">
            <v>ASCUttar Pradesh</v>
          </cell>
          <cell r="D490" t="str">
            <v>ASC32</v>
          </cell>
          <cell r="E490" t="str">
            <v>ASCUttar Pradesh15</v>
          </cell>
          <cell r="F490" t="str">
            <v>Sanjay Auto Sales-Lalitpur</v>
          </cell>
          <cell r="G490" t="str">
            <v>Sanjay Auto Sales-Lalitpur</v>
          </cell>
          <cell r="H490" t="str">
            <v>North &amp; East</v>
          </cell>
        </row>
        <row r="491">
          <cell r="A491" t="str">
            <v>Sravasti-Ikauna</v>
          </cell>
          <cell r="B491" t="str">
            <v>ASC</v>
          </cell>
          <cell r="C491" t="str">
            <v>ASCUttar Pradesh</v>
          </cell>
          <cell r="D491" t="str">
            <v>ASC33</v>
          </cell>
          <cell r="E491" t="str">
            <v>ASCUttar Pradesh16</v>
          </cell>
          <cell r="F491" t="str">
            <v>Sravasti-Ikauna</v>
          </cell>
          <cell r="G491" t="str">
            <v>Sravasti-Ikauna</v>
          </cell>
          <cell r="H491" t="str">
            <v>North &amp; East</v>
          </cell>
        </row>
        <row r="492">
          <cell r="A492" t="str">
            <v>Standard Automobiles-Sidhauli</v>
          </cell>
          <cell r="B492" t="str">
            <v>ASC</v>
          </cell>
          <cell r="C492" t="str">
            <v>ASCUttar Pradesh</v>
          </cell>
          <cell r="D492" t="str">
            <v>ASC34</v>
          </cell>
          <cell r="E492" t="str">
            <v>ASCUttar Pradesh17</v>
          </cell>
          <cell r="F492" t="str">
            <v>Standard Automobiles-Sidhauli</v>
          </cell>
          <cell r="G492" t="str">
            <v>Standard Automobiles-Sidhauli</v>
          </cell>
          <cell r="H492" t="str">
            <v>North &amp; East</v>
          </cell>
        </row>
        <row r="493">
          <cell r="A493" t="str">
            <v>Adarsha Motors-Nirmal</v>
          </cell>
          <cell r="B493" t="str">
            <v>ASC</v>
          </cell>
          <cell r="C493" t="str">
            <v>ASCAndhra Pradesh</v>
          </cell>
          <cell r="D493" t="str">
            <v>ASC35</v>
          </cell>
          <cell r="E493" t="str">
            <v>ASCAndhra Pradesh1</v>
          </cell>
          <cell r="F493" t="str">
            <v>Adarsha Motors-Nirmal</v>
          </cell>
          <cell r="G493" t="str">
            <v>Adarsha Motors-Nirmal</v>
          </cell>
          <cell r="H493" t="str">
            <v>South</v>
          </cell>
        </row>
        <row r="494">
          <cell r="A494" t="str">
            <v>Bhaskar Auto-Narsipatnam</v>
          </cell>
          <cell r="B494" t="str">
            <v>ASC</v>
          </cell>
          <cell r="C494" t="str">
            <v>ASCAndhra Pradesh</v>
          </cell>
          <cell r="D494" t="str">
            <v>ASC36</v>
          </cell>
          <cell r="E494" t="str">
            <v>ASCAndhra Pradesh2</v>
          </cell>
          <cell r="F494" t="str">
            <v>Bhaskar Auto-Narsipatnam</v>
          </cell>
          <cell r="G494" t="str">
            <v>Bhaskar Auto-Narsipatnam</v>
          </cell>
          <cell r="H494" t="str">
            <v>South</v>
          </cell>
        </row>
        <row r="495">
          <cell r="A495" t="str">
            <v>Dhanda-Tirumalgiri</v>
          </cell>
          <cell r="B495" t="str">
            <v>ASC</v>
          </cell>
          <cell r="C495" t="str">
            <v>ASCAndhra Pradesh</v>
          </cell>
          <cell r="D495" t="str">
            <v>ASC37</v>
          </cell>
          <cell r="E495" t="str">
            <v>ASCAndhra Pradesh3</v>
          </cell>
          <cell r="F495" t="str">
            <v>Dhanda-Tirumalgiri</v>
          </cell>
          <cell r="G495" t="str">
            <v>Dhanda-Tirumalgiri</v>
          </cell>
          <cell r="H495" t="str">
            <v>South</v>
          </cell>
        </row>
        <row r="496">
          <cell r="A496" t="str">
            <v>Gangaram-Gadwal</v>
          </cell>
          <cell r="B496" t="str">
            <v>ASC</v>
          </cell>
          <cell r="C496" t="str">
            <v>ASCAndhra Pradesh</v>
          </cell>
          <cell r="D496" t="str">
            <v>ASC38</v>
          </cell>
          <cell r="E496" t="str">
            <v>ASCAndhra Pradesh4</v>
          </cell>
          <cell r="F496" t="str">
            <v>Gangaram-Gadwal</v>
          </cell>
          <cell r="G496" t="str">
            <v>Gangaram-Gadwal</v>
          </cell>
          <cell r="H496" t="str">
            <v>South</v>
          </cell>
        </row>
        <row r="497">
          <cell r="A497" t="str">
            <v>Kanchan Enterprises-Kothagudam</v>
          </cell>
          <cell r="B497" t="str">
            <v>ASC</v>
          </cell>
          <cell r="C497" t="str">
            <v>ASCAndhra Pradesh</v>
          </cell>
          <cell r="D497" t="str">
            <v>ASC39</v>
          </cell>
          <cell r="E497" t="str">
            <v>ASCAndhra Pradesh5</v>
          </cell>
          <cell r="F497" t="str">
            <v>Kanchan Enterprises-Kothagudam</v>
          </cell>
          <cell r="G497" t="str">
            <v>Kanchan Enterprises-Kothagudam</v>
          </cell>
          <cell r="H497" t="str">
            <v>South</v>
          </cell>
        </row>
        <row r="498">
          <cell r="A498" t="str">
            <v>Laxmi Automotives-Godavarikhani</v>
          </cell>
          <cell r="B498" t="str">
            <v>ASC</v>
          </cell>
          <cell r="C498" t="str">
            <v>ASCAndhra Pradesh</v>
          </cell>
          <cell r="D498" t="str">
            <v>ASC40</v>
          </cell>
          <cell r="E498" t="str">
            <v>ASCAndhra Pradesh6</v>
          </cell>
          <cell r="F498" t="str">
            <v>Laxmi Automotives-Godavarikhani</v>
          </cell>
          <cell r="G498" t="str">
            <v>Laxmi Automotives-Godavarikhani</v>
          </cell>
          <cell r="H498" t="str">
            <v>South</v>
          </cell>
        </row>
        <row r="499">
          <cell r="A499" t="str">
            <v>Liberty-Kavadiguda</v>
          </cell>
          <cell r="B499" t="str">
            <v>ASC</v>
          </cell>
          <cell r="C499" t="str">
            <v>ASCAndhra Pradesh</v>
          </cell>
          <cell r="D499" t="str">
            <v>ASC41</v>
          </cell>
          <cell r="E499" t="str">
            <v>ASCAndhra Pradesh7</v>
          </cell>
          <cell r="F499" t="str">
            <v>Liberty-Kavadiguda</v>
          </cell>
          <cell r="G499" t="str">
            <v>Liberty-Kavadiguda</v>
          </cell>
          <cell r="H499" t="str">
            <v>South</v>
          </cell>
        </row>
        <row r="500">
          <cell r="A500" t="str">
            <v>Nagendra-Piduguralla</v>
          </cell>
          <cell r="B500" t="str">
            <v>ASC</v>
          </cell>
          <cell r="C500" t="str">
            <v>ASCAndhra Pradesh</v>
          </cell>
          <cell r="D500" t="str">
            <v>ASC42</v>
          </cell>
          <cell r="E500" t="str">
            <v>ASCAndhra Pradesh8</v>
          </cell>
          <cell r="F500" t="str">
            <v>Nagendra-Piduguralla</v>
          </cell>
          <cell r="G500" t="str">
            <v>Nagendra-Piduguralla</v>
          </cell>
          <cell r="H500" t="str">
            <v>South</v>
          </cell>
        </row>
        <row r="501">
          <cell r="A501" t="str">
            <v>Raja Auto-Gopalapatinam</v>
          </cell>
          <cell r="B501" t="str">
            <v>ASC</v>
          </cell>
          <cell r="C501" t="str">
            <v>ASCAndhra Pradesh</v>
          </cell>
          <cell r="D501" t="str">
            <v>ASC43</v>
          </cell>
          <cell r="E501" t="str">
            <v>ASCAndhra Pradesh9</v>
          </cell>
          <cell r="F501" t="str">
            <v>Raja Auto-Gopalapatinam</v>
          </cell>
          <cell r="G501" t="str">
            <v>Raja Auto-Gopalapatinam</v>
          </cell>
          <cell r="H501" t="str">
            <v>South</v>
          </cell>
        </row>
        <row r="502">
          <cell r="A502" t="str">
            <v>Rama Auto-Gajuwaka</v>
          </cell>
          <cell r="B502" t="str">
            <v>ASC</v>
          </cell>
          <cell r="C502" t="str">
            <v>ASCAndhra Pradesh</v>
          </cell>
          <cell r="D502" t="str">
            <v>ASC44</v>
          </cell>
          <cell r="E502" t="str">
            <v>ASCAndhra Pradesh10</v>
          </cell>
          <cell r="F502" t="str">
            <v>Rama Auto-Gajuwaka</v>
          </cell>
          <cell r="G502" t="str">
            <v>Rama Auto-Gajuwaka</v>
          </cell>
          <cell r="H502" t="str">
            <v>South</v>
          </cell>
        </row>
        <row r="503">
          <cell r="A503" t="str">
            <v>Royal-Kupam</v>
          </cell>
          <cell r="B503" t="str">
            <v>ASC</v>
          </cell>
          <cell r="C503" t="str">
            <v>ASCAndhra Pradesh</v>
          </cell>
          <cell r="D503" t="str">
            <v>ASC45</v>
          </cell>
          <cell r="E503" t="str">
            <v>ASCAndhra Pradesh11</v>
          </cell>
          <cell r="F503" t="str">
            <v>Royal-Kupam</v>
          </cell>
          <cell r="G503" t="str">
            <v>Royal-Kupam</v>
          </cell>
          <cell r="H503" t="str">
            <v>South</v>
          </cell>
        </row>
        <row r="504">
          <cell r="A504" t="str">
            <v>Shanthi-Vanasthalipuram</v>
          </cell>
          <cell r="B504" t="str">
            <v>ASC</v>
          </cell>
          <cell r="C504" t="str">
            <v>ASCAndhra Pradesh</v>
          </cell>
          <cell r="D504" t="str">
            <v>ASC46</v>
          </cell>
          <cell r="E504" t="str">
            <v>ASCAndhra Pradesh12</v>
          </cell>
          <cell r="F504" t="str">
            <v>Shanthi-Vanasthalipuram</v>
          </cell>
          <cell r="G504" t="str">
            <v>Shanthi-Vanasthalipuram</v>
          </cell>
          <cell r="H504" t="str">
            <v>South</v>
          </cell>
        </row>
        <row r="505">
          <cell r="A505" t="str">
            <v>Sri Sai-Chandanagar</v>
          </cell>
          <cell r="B505" t="str">
            <v>ASC</v>
          </cell>
          <cell r="C505" t="str">
            <v>ASCAndhra Pradesh</v>
          </cell>
          <cell r="D505" t="str">
            <v>ASC47</v>
          </cell>
          <cell r="E505" t="str">
            <v>ASCAndhra Pradesh13</v>
          </cell>
          <cell r="F505" t="str">
            <v>Sri Sai-Chandanagar</v>
          </cell>
          <cell r="G505" t="str">
            <v>Sri Sai-Chandanagar</v>
          </cell>
          <cell r="H505" t="str">
            <v>South</v>
          </cell>
        </row>
        <row r="506">
          <cell r="A506" t="str">
            <v>Srinivasa Automobiles-Kamareddy</v>
          </cell>
          <cell r="B506" t="str">
            <v>ASC</v>
          </cell>
          <cell r="C506" t="str">
            <v>ASCAndhra Pradesh</v>
          </cell>
          <cell r="D506" t="str">
            <v>ASC48</v>
          </cell>
          <cell r="E506" t="str">
            <v>ASCAndhra Pradesh14</v>
          </cell>
          <cell r="F506" t="str">
            <v>Srinivasa Automobiles-Kamareddy</v>
          </cell>
          <cell r="G506" t="str">
            <v>Srinivasa Automobiles-Kamareddy</v>
          </cell>
          <cell r="H506" t="str">
            <v>South</v>
          </cell>
        </row>
        <row r="507">
          <cell r="A507" t="str">
            <v>Srinivasa-A.S.Rao Ngr</v>
          </cell>
          <cell r="B507" t="str">
            <v>ASC</v>
          </cell>
          <cell r="C507" t="str">
            <v>ASCAndhra Pradesh</v>
          </cell>
          <cell r="D507" t="str">
            <v>ASC49</v>
          </cell>
          <cell r="E507" t="str">
            <v>ASCAndhra Pradesh15</v>
          </cell>
          <cell r="F507" t="str">
            <v>Srinivasa-A.S.Rao Ngr</v>
          </cell>
          <cell r="G507" t="str">
            <v>Srinivasa-A.S.Rao Ngr</v>
          </cell>
          <cell r="H507" t="str">
            <v>South</v>
          </cell>
        </row>
        <row r="508">
          <cell r="A508" t="str">
            <v>Suresh-Narasuraopet</v>
          </cell>
          <cell r="B508" t="str">
            <v>ASC</v>
          </cell>
          <cell r="C508" t="str">
            <v>ASCAndhra Pradesh</v>
          </cell>
          <cell r="D508" t="str">
            <v>ASC50</v>
          </cell>
          <cell r="E508" t="str">
            <v>ASCAndhra Pradesh16</v>
          </cell>
          <cell r="F508" t="str">
            <v>Suresh-Narasuraopet</v>
          </cell>
          <cell r="G508" t="str">
            <v>Suresh-Narasuraopet</v>
          </cell>
          <cell r="H508" t="str">
            <v>South</v>
          </cell>
        </row>
        <row r="509">
          <cell r="A509" t="str">
            <v>Vasavi Motors-Dharmavaram</v>
          </cell>
          <cell r="B509" t="str">
            <v>ASC</v>
          </cell>
          <cell r="C509" t="str">
            <v>ASCAndhra Pradesh</v>
          </cell>
          <cell r="D509" t="str">
            <v>ASC51</v>
          </cell>
          <cell r="E509" t="str">
            <v>ASCAndhra Pradesh17</v>
          </cell>
          <cell r="F509" t="str">
            <v>Vasavi Motors-Dharmavaram</v>
          </cell>
          <cell r="G509" t="str">
            <v>Vasavi Motors-Dharmavaram</v>
          </cell>
          <cell r="H509" t="str">
            <v>South</v>
          </cell>
        </row>
        <row r="510">
          <cell r="A510" t="str">
            <v>Vishal-Sanathnagar</v>
          </cell>
          <cell r="B510" t="str">
            <v>ASC</v>
          </cell>
          <cell r="C510" t="str">
            <v>ASCAndhra Pradesh</v>
          </cell>
          <cell r="D510" t="str">
            <v>ASC52</v>
          </cell>
          <cell r="E510" t="str">
            <v>ASCAndhra Pradesh18</v>
          </cell>
          <cell r="F510" t="str">
            <v>Vishal-Sanathnagar</v>
          </cell>
          <cell r="G510" t="str">
            <v>Vishal-Sanathnagar</v>
          </cell>
          <cell r="H510" t="str">
            <v>South</v>
          </cell>
        </row>
        <row r="511">
          <cell r="A511" t="str">
            <v>Arunagiri Motors-Bangalore</v>
          </cell>
          <cell r="B511" t="str">
            <v>ASC</v>
          </cell>
          <cell r="C511" t="str">
            <v>ASCKarnataka</v>
          </cell>
          <cell r="D511" t="str">
            <v>ASC53</v>
          </cell>
          <cell r="E511" t="str">
            <v>ASCKarnataka1</v>
          </cell>
          <cell r="F511" t="str">
            <v>Arunagiri Motors-Bangalore</v>
          </cell>
          <cell r="G511" t="str">
            <v>Arunagiri Motors-Bangalore</v>
          </cell>
          <cell r="H511" t="str">
            <v>South</v>
          </cell>
        </row>
        <row r="512">
          <cell r="A512" t="str">
            <v>Cutinho Auto-Mapusa</v>
          </cell>
          <cell r="B512" t="str">
            <v>ASC</v>
          </cell>
          <cell r="C512" t="str">
            <v>ASCKarnataka</v>
          </cell>
          <cell r="D512" t="str">
            <v>ASC54</v>
          </cell>
          <cell r="E512" t="str">
            <v>ASCKarnataka2</v>
          </cell>
          <cell r="F512" t="str">
            <v>Cutinho Auto-Mapusa</v>
          </cell>
          <cell r="G512" t="str">
            <v>Cutinho Auto-Mapusa</v>
          </cell>
          <cell r="H512" t="str">
            <v>South</v>
          </cell>
        </row>
        <row r="513">
          <cell r="A513" t="str">
            <v>Fast Bykes-Bangalore</v>
          </cell>
          <cell r="B513" t="str">
            <v>ASC</v>
          </cell>
          <cell r="C513" t="str">
            <v>ASCKarnataka</v>
          </cell>
          <cell r="D513" t="str">
            <v>ASC55</v>
          </cell>
          <cell r="E513" t="str">
            <v>ASCKarnataka3</v>
          </cell>
          <cell r="F513" t="str">
            <v>Fast Bykes-Bangalore</v>
          </cell>
          <cell r="G513" t="str">
            <v>Fast Bykes-Bangalore</v>
          </cell>
          <cell r="H513" t="str">
            <v>South</v>
          </cell>
        </row>
        <row r="514">
          <cell r="A514" t="str">
            <v>Galaxy Motors-Bangalore</v>
          </cell>
          <cell r="B514" t="str">
            <v>ASC</v>
          </cell>
          <cell r="C514" t="str">
            <v>ASCKarnataka</v>
          </cell>
          <cell r="D514" t="str">
            <v>ASC56</v>
          </cell>
          <cell r="E514" t="str">
            <v>ASCKarnataka4</v>
          </cell>
          <cell r="F514" t="str">
            <v>Galaxy Motors-Bangalore</v>
          </cell>
          <cell r="G514" t="str">
            <v>Galaxy Motors-Bangalore</v>
          </cell>
          <cell r="H514" t="str">
            <v>South</v>
          </cell>
        </row>
        <row r="515">
          <cell r="A515" t="str">
            <v>Hitech Motors-Bangalore</v>
          </cell>
          <cell r="B515" t="str">
            <v>ASC</v>
          </cell>
          <cell r="C515" t="str">
            <v>ASCKarnataka</v>
          </cell>
          <cell r="D515" t="str">
            <v>ASC57</v>
          </cell>
          <cell r="E515" t="str">
            <v>ASCKarnataka5</v>
          </cell>
          <cell r="F515" t="str">
            <v>Hitech Motors-Bangalore</v>
          </cell>
          <cell r="G515" t="str">
            <v>Hitech Motors-Bangalore</v>
          </cell>
          <cell r="H515" t="str">
            <v>South</v>
          </cell>
        </row>
        <row r="516">
          <cell r="A516" t="str">
            <v>Manjunath Motors-Bangalore</v>
          </cell>
          <cell r="B516" t="str">
            <v>ASC</v>
          </cell>
          <cell r="C516" t="str">
            <v>ASCKarnataka</v>
          </cell>
          <cell r="D516" t="str">
            <v>ASC58</v>
          </cell>
          <cell r="E516" t="str">
            <v>ASCKarnataka6</v>
          </cell>
          <cell r="F516" t="str">
            <v>Manjunath Motors-Bangalore</v>
          </cell>
          <cell r="G516" t="str">
            <v>Manjunath Motors-Bangalore</v>
          </cell>
          <cell r="H516" t="str">
            <v>South</v>
          </cell>
        </row>
        <row r="517">
          <cell r="A517" t="str">
            <v>Motrax-Mangalore</v>
          </cell>
          <cell r="B517" t="str">
            <v>ASC</v>
          </cell>
          <cell r="C517" t="str">
            <v>ASCKarnataka</v>
          </cell>
          <cell r="D517" t="str">
            <v>ASC59</v>
          </cell>
          <cell r="E517" t="str">
            <v>ASCKarnataka7</v>
          </cell>
          <cell r="F517" t="str">
            <v>Motrax-Mangalore</v>
          </cell>
          <cell r="G517" t="str">
            <v>Motrax-Mangalore</v>
          </cell>
          <cell r="H517" t="str">
            <v>South</v>
          </cell>
        </row>
        <row r="518">
          <cell r="A518" t="str">
            <v>Murali Automobiles-Chandapura</v>
          </cell>
          <cell r="B518" t="str">
            <v>ASC</v>
          </cell>
          <cell r="C518" t="str">
            <v>ASCKarnataka</v>
          </cell>
          <cell r="D518" t="str">
            <v>ASC60</v>
          </cell>
          <cell r="E518" t="str">
            <v>ASCKarnataka8</v>
          </cell>
          <cell r="F518" t="str">
            <v>Murali Automobiles-Chandapura</v>
          </cell>
          <cell r="G518" t="str">
            <v>Murali Automobiles-Chandapura</v>
          </cell>
          <cell r="H518" t="str">
            <v>South</v>
          </cell>
        </row>
        <row r="519">
          <cell r="A519" t="str">
            <v>S L V-Bangalore</v>
          </cell>
          <cell r="B519" t="str">
            <v>ASC</v>
          </cell>
          <cell r="C519" t="str">
            <v>ASCKarnataka</v>
          </cell>
          <cell r="D519" t="str">
            <v>ASC61</v>
          </cell>
          <cell r="E519" t="str">
            <v>ASCKarnataka9</v>
          </cell>
          <cell r="F519" t="str">
            <v>S L V-Bangalore</v>
          </cell>
          <cell r="G519" t="str">
            <v>S L V-Bangalore</v>
          </cell>
          <cell r="H519" t="str">
            <v>South</v>
          </cell>
        </row>
        <row r="520">
          <cell r="A520" t="str">
            <v>Solar Bykes-Bangalore</v>
          </cell>
          <cell r="B520" t="str">
            <v>ASC</v>
          </cell>
          <cell r="C520" t="str">
            <v>ASCKarnataka</v>
          </cell>
          <cell r="D520" t="str">
            <v>ASC62</v>
          </cell>
          <cell r="E520" t="str">
            <v>ASCKarnataka10</v>
          </cell>
          <cell r="F520" t="str">
            <v>Solar Bykes-Bangalore</v>
          </cell>
          <cell r="G520" t="str">
            <v>Solar Bykes-Bangalore</v>
          </cell>
          <cell r="H520" t="str">
            <v>South</v>
          </cell>
        </row>
        <row r="521">
          <cell r="A521" t="str">
            <v>Solar Motors-Bangalore</v>
          </cell>
          <cell r="B521" t="str">
            <v>ASC</v>
          </cell>
          <cell r="C521" t="str">
            <v>ASCKarnataka</v>
          </cell>
          <cell r="D521" t="str">
            <v>ASC63</v>
          </cell>
          <cell r="E521" t="str">
            <v>ASCKarnataka11</v>
          </cell>
          <cell r="F521" t="str">
            <v>Solar Motors-Bangalore</v>
          </cell>
          <cell r="G521" t="str">
            <v>Solar Motors-Bangalore</v>
          </cell>
          <cell r="H521" t="str">
            <v>South</v>
          </cell>
        </row>
        <row r="522">
          <cell r="A522" t="str">
            <v>Sree Shukra Automobiles-Bangalore</v>
          </cell>
          <cell r="B522" t="str">
            <v>ASC</v>
          </cell>
          <cell r="C522" t="str">
            <v>ASCKarnataka</v>
          </cell>
          <cell r="D522" t="str">
            <v>ASC64</v>
          </cell>
          <cell r="E522" t="str">
            <v>ASCKarnataka12</v>
          </cell>
          <cell r="F522" t="str">
            <v>Sree Shukra Automobiles-Bangalore</v>
          </cell>
          <cell r="G522" t="str">
            <v>Sree Shukra Automobiles-Bangalore</v>
          </cell>
          <cell r="H522" t="str">
            <v>South</v>
          </cell>
        </row>
        <row r="523">
          <cell r="A523" t="str">
            <v>Sunshine Motors-Bangalore</v>
          </cell>
          <cell r="B523" t="str">
            <v>ASC</v>
          </cell>
          <cell r="C523" t="str">
            <v>ASCKarnataka</v>
          </cell>
          <cell r="D523" t="str">
            <v>ASC65</v>
          </cell>
          <cell r="E523" t="str">
            <v>ASCKarnataka13</v>
          </cell>
          <cell r="F523" t="str">
            <v>Sunshine Motors-Bangalore</v>
          </cell>
          <cell r="G523" t="str">
            <v>Sunshine Motors-Bangalore</v>
          </cell>
          <cell r="H523" t="str">
            <v>South</v>
          </cell>
        </row>
        <row r="524">
          <cell r="A524" t="str">
            <v>Trinity Motors-Bangalore</v>
          </cell>
          <cell r="B524" t="str">
            <v>ASC</v>
          </cell>
          <cell r="C524" t="str">
            <v>ASCKarnataka</v>
          </cell>
          <cell r="D524" t="str">
            <v>ASC66</v>
          </cell>
          <cell r="E524" t="str">
            <v>ASCKarnataka14</v>
          </cell>
          <cell r="F524" t="str">
            <v>Trinity Motors-Bangalore</v>
          </cell>
          <cell r="G524" t="str">
            <v>Trinity Motors-Bangalore</v>
          </cell>
          <cell r="H524" t="str">
            <v>South</v>
          </cell>
        </row>
        <row r="525">
          <cell r="A525" t="str">
            <v>Chirackal Motors-Angamally</v>
          </cell>
          <cell r="B525" t="str">
            <v>ASC</v>
          </cell>
          <cell r="C525" t="str">
            <v>ASCKerala</v>
          </cell>
          <cell r="D525" t="str">
            <v>ASC67</v>
          </cell>
          <cell r="E525" t="str">
            <v>ASCKerala1</v>
          </cell>
          <cell r="F525" t="str">
            <v>Chirackal Motors-Angamally</v>
          </cell>
          <cell r="G525" t="str">
            <v>Chirackal Motors-Angamally</v>
          </cell>
          <cell r="H525" t="str">
            <v>South</v>
          </cell>
        </row>
        <row r="526">
          <cell r="A526" t="str">
            <v>City Bikes-Kothamangalam</v>
          </cell>
          <cell r="B526" t="str">
            <v>ASC</v>
          </cell>
          <cell r="C526" t="str">
            <v>ASCKerala</v>
          </cell>
          <cell r="D526" t="str">
            <v>ASC68</v>
          </cell>
          <cell r="E526" t="str">
            <v>ASCKerala2</v>
          </cell>
          <cell r="F526" t="str">
            <v>City Bikes-Kothamangalam</v>
          </cell>
          <cell r="G526" t="str">
            <v>City Bikes-Kothamangalam</v>
          </cell>
          <cell r="H526" t="str">
            <v>South</v>
          </cell>
        </row>
        <row r="527">
          <cell r="A527" t="str">
            <v>Jess Motors-Kanchirapally</v>
          </cell>
          <cell r="B527" t="str">
            <v>ASC</v>
          </cell>
          <cell r="C527" t="str">
            <v>ASCKerala</v>
          </cell>
          <cell r="D527" t="str">
            <v>ASC69</v>
          </cell>
          <cell r="E527" t="str">
            <v>ASCKerala3</v>
          </cell>
          <cell r="F527" t="str">
            <v>Jess Motors-Kanchirapally</v>
          </cell>
          <cell r="G527" t="str">
            <v>Jess Motors-Kanchirapally</v>
          </cell>
          <cell r="H527" t="str">
            <v>South</v>
          </cell>
        </row>
        <row r="528">
          <cell r="A528" t="str">
            <v>Kackanatt Motoprs-Thiruvalla</v>
          </cell>
          <cell r="B528" t="str">
            <v>ASC</v>
          </cell>
          <cell r="C528" t="str">
            <v>ASCKerala</v>
          </cell>
          <cell r="D528" t="str">
            <v>ASC70</v>
          </cell>
          <cell r="E528" t="str">
            <v>ASCKerala4</v>
          </cell>
          <cell r="F528" t="str">
            <v>Kackanatt Motoprs-Thiruvalla</v>
          </cell>
          <cell r="G528" t="str">
            <v>Kackanatt Motoprs-Thiruvalla</v>
          </cell>
          <cell r="H528" t="str">
            <v>South</v>
          </cell>
        </row>
        <row r="529">
          <cell r="A529" t="str">
            <v>Prime Motors-Ettumanoor</v>
          </cell>
          <cell r="B529" t="str">
            <v>ASC</v>
          </cell>
          <cell r="C529" t="str">
            <v>ASCKerala</v>
          </cell>
          <cell r="D529" t="str">
            <v>ASC71</v>
          </cell>
          <cell r="E529" t="str">
            <v>ASCKerala5</v>
          </cell>
          <cell r="F529" t="str">
            <v>Prime Motors-Ettumanoor</v>
          </cell>
          <cell r="G529" t="str">
            <v>Prime Motors-Ettumanoor</v>
          </cell>
          <cell r="H529" t="str">
            <v>South</v>
          </cell>
        </row>
        <row r="530">
          <cell r="A530" t="str">
            <v>Surya Motors-Kunnamkulam</v>
          </cell>
          <cell r="B530" t="str">
            <v>ASC</v>
          </cell>
          <cell r="C530" t="str">
            <v>ASCKerala</v>
          </cell>
          <cell r="D530" t="str">
            <v>ASC72</v>
          </cell>
          <cell r="E530" t="str">
            <v>ASCKerala6</v>
          </cell>
          <cell r="F530" t="str">
            <v>Surya Motors-Kunnamkulam</v>
          </cell>
          <cell r="G530" t="str">
            <v>Surya Motors-Kunnamkulam</v>
          </cell>
          <cell r="H530" t="str">
            <v>South</v>
          </cell>
        </row>
        <row r="531">
          <cell r="A531" t="str">
            <v>Toms Motors-Chavakkad</v>
          </cell>
          <cell r="B531" t="str">
            <v>ASC</v>
          </cell>
          <cell r="C531" t="str">
            <v>ASCKerala</v>
          </cell>
          <cell r="D531" t="str">
            <v>ASC73</v>
          </cell>
          <cell r="E531" t="str">
            <v>ASCKerala7</v>
          </cell>
          <cell r="F531" t="str">
            <v>Toms Motors-Chavakkad</v>
          </cell>
          <cell r="G531" t="str">
            <v>Toms Motors-Chavakkad</v>
          </cell>
          <cell r="H531" t="str">
            <v>South</v>
          </cell>
        </row>
        <row r="532">
          <cell r="A532" t="str">
            <v>A V E Enterprises-Gudiyattham</v>
          </cell>
          <cell r="B532" t="str">
            <v>ASC</v>
          </cell>
          <cell r="C532" t="str">
            <v>ASCTamil Nadu</v>
          </cell>
          <cell r="D532" t="str">
            <v>ASC74</v>
          </cell>
          <cell r="E532" t="str">
            <v>ASCTamil Nadu1</v>
          </cell>
          <cell r="F532" t="str">
            <v>A V E Enterprises-Gudiyattham</v>
          </cell>
          <cell r="G532" t="str">
            <v>A V E Enterprises-Gudiyattham</v>
          </cell>
          <cell r="H532" t="str">
            <v>South</v>
          </cell>
        </row>
        <row r="533">
          <cell r="A533" t="str">
            <v>Aarthi Motors-Pennadam</v>
          </cell>
          <cell r="B533" t="str">
            <v>ASC</v>
          </cell>
          <cell r="C533" t="str">
            <v>ASCTamil Nadu</v>
          </cell>
          <cell r="D533" t="str">
            <v>ASC75</v>
          </cell>
          <cell r="E533" t="str">
            <v>ASCTamil Nadu2</v>
          </cell>
          <cell r="F533" t="str">
            <v>Aarthi Motors-Pennadam</v>
          </cell>
          <cell r="G533" t="str">
            <v>Aarthi Motors-Pennadam</v>
          </cell>
          <cell r="H533" t="str">
            <v>South</v>
          </cell>
        </row>
        <row r="534">
          <cell r="A534" t="str">
            <v>Aathavan Motors-Ayyampet</v>
          </cell>
          <cell r="B534" t="str">
            <v>ASC</v>
          </cell>
          <cell r="C534" t="str">
            <v>ASCTamil Nadu</v>
          </cell>
          <cell r="D534" t="str">
            <v>ASC76</v>
          </cell>
          <cell r="E534" t="str">
            <v>ASCTamil Nadu3</v>
          </cell>
          <cell r="F534" t="str">
            <v>Aathavan Motors-Ayyampet</v>
          </cell>
          <cell r="G534" t="str">
            <v>Aathavan Motors-Ayyampet</v>
          </cell>
          <cell r="H534" t="str">
            <v>South</v>
          </cell>
        </row>
        <row r="535">
          <cell r="A535" t="str">
            <v>Abdulrahim-Chinamanur - Theni</v>
          </cell>
          <cell r="B535" t="str">
            <v>ASC</v>
          </cell>
          <cell r="C535" t="str">
            <v>ASCTamil Nadu</v>
          </cell>
          <cell r="D535" t="str">
            <v>ASC77</v>
          </cell>
          <cell r="E535" t="str">
            <v>ASCTamil Nadu4</v>
          </cell>
          <cell r="F535" t="str">
            <v>Abdulrahim-Chinamanur - Theni</v>
          </cell>
          <cell r="G535" t="str">
            <v>Abdulrahim-Chinamanur - Theni</v>
          </cell>
          <cell r="H535" t="str">
            <v>South</v>
          </cell>
        </row>
        <row r="536">
          <cell r="A536" t="str">
            <v>Akshay Motors-Nungambakkam</v>
          </cell>
          <cell r="B536" t="str">
            <v>ASC</v>
          </cell>
          <cell r="C536" t="str">
            <v>ASCTamil Nadu</v>
          </cell>
          <cell r="D536" t="str">
            <v>ASC78</v>
          </cell>
          <cell r="E536" t="str">
            <v>ASCTamil Nadu5</v>
          </cell>
          <cell r="F536" t="str">
            <v>Akshay Motors-Nungambakkam</v>
          </cell>
          <cell r="G536" t="str">
            <v>Akshay Motors-Nungambakkam</v>
          </cell>
          <cell r="H536" t="str">
            <v>South</v>
          </cell>
        </row>
        <row r="537">
          <cell r="A537" t="str">
            <v>Anamalai-Coimbatore</v>
          </cell>
          <cell r="B537" t="str">
            <v>ASC</v>
          </cell>
          <cell r="C537" t="str">
            <v>ASCTamil Nadu</v>
          </cell>
          <cell r="D537" t="str">
            <v>ASC79</v>
          </cell>
          <cell r="E537" t="str">
            <v>ASCTamil Nadu6</v>
          </cell>
          <cell r="F537" t="str">
            <v>Anamalai-Coimbatore</v>
          </cell>
          <cell r="G537" t="str">
            <v>Anamalai-Coimbatore</v>
          </cell>
          <cell r="H537" t="str">
            <v>South</v>
          </cell>
        </row>
        <row r="538">
          <cell r="A538" t="str">
            <v>Annamalai-Surandai</v>
          </cell>
          <cell r="B538" t="str">
            <v>ASC</v>
          </cell>
          <cell r="C538" t="str">
            <v>ASCTamil Nadu</v>
          </cell>
          <cell r="D538" t="str">
            <v>ASC80</v>
          </cell>
          <cell r="E538" t="str">
            <v>ASCTamil Nadu7</v>
          </cell>
          <cell r="F538" t="str">
            <v>Annamalai-Surandai</v>
          </cell>
          <cell r="G538" t="str">
            <v>Annamalai-Surandai</v>
          </cell>
          <cell r="H538" t="str">
            <v>South</v>
          </cell>
        </row>
        <row r="539">
          <cell r="A539" t="str">
            <v>Arunas Auto Centre-Panruti</v>
          </cell>
          <cell r="B539" t="str">
            <v>ASC</v>
          </cell>
          <cell r="C539" t="str">
            <v>ASCTamil Nadu</v>
          </cell>
          <cell r="D539" t="str">
            <v>ASC81</v>
          </cell>
          <cell r="E539" t="str">
            <v>ASCTamil Nadu8</v>
          </cell>
          <cell r="F539" t="str">
            <v>Arunas Auto Centre-Panruti</v>
          </cell>
          <cell r="G539" t="str">
            <v>Arunas Auto Centre-Panruti</v>
          </cell>
          <cell r="H539" t="str">
            <v>South</v>
          </cell>
        </row>
        <row r="540">
          <cell r="A540" t="str">
            <v>Ashok Auto Agency-Mettupalyam</v>
          </cell>
          <cell r="B540" t="str">
            <v>ASC</v>
          </cell>
          <cell r="C540" t="str">
            <v>ASCTamil Nadu</v>
          </cell>
          <cell r="D540" t="str">
            <v>ASC82</v>
          </cell>
          <cell r="E540" t="str">
            <v>ASCTamil Nadu9</v>
          </cell>
          <cell r="F540" t="str">
            <v>Ashok Auto Agency-Mettupalyam</v>
          </cell>
          <cell r="G540" t="str">
            <v>Ashok Auto Agency-Mettupalyam</v>
          </cell>
          <cell r="H540" t="str">
            <v>South</v>
          </cell>
        </row>
        <row r="541">
          <cell r="A541" t="str">
            <v>Ashok Auto Agency-Uthiramerur</v>
          </cell>
          <cell r="B541" t="str">
            <v>ASC</v>
          </cell>
          <cell r="C541" t="str">
            <v>ASCTamil Nadu</v>
          </cell>
          <cell r="D541" t="str">
            <v>ASC83</v>
          </cell>
          <cell r="E541" t="str">
            <v>ASCTamil Nadu10</v>
          </cell>
          <cell r="F541" t="str">
            <v>Ashok Auto Agency-Uthiramerur</v>
          </cell>
          <cell r="G541" t="str">
            <v>Ashok Auto Agency-Uthiramerur</v>
          </cell>
          <cell r="H541" t="str">
            <v>South</v>
          </cell>
        </row>
        <row r="542">
          <cell r="A542" t="str">
            <v>Ashok Auto-Thenkasi</v>
          </cell>
          <cell r="B542" t="str">
            <v>ASC</v>
          </cell>
          <cell r="C542" t="str">
            <v>ASCTamil Nadu</v>
          </cell>
          <cell r="D542" t="str">
            <v>ASC84</v>
          </cell>
          <cell r="E542" t="str">
            <v>ASCTamil Nadu11</v>
          </cell>
          <cell r="F542" t="str">
            <v>Ashok Auto-Thenkasi</v>
          </cell>
          <cell r="G542" t="str">
            <v>Ashok Auto-Thenkasi</v>
          </cell>
          <cell r="H542" t="str">
            <v>South</v>
          </cell>
        </row>
        <row r="543">
          <cell r="A543" t="str">
            <v>Bakkeyaa-Aravakurichi</v>
          </cell>
          <cell r="B543" t="str">
            <v>ASC</v>
          </cell>
          <cell r="C543" t="str">
            <v>ASCTamil Nadu</v>
          </cell>
          <cell r="D543" t="str">
            <v>ASC85</v>
          </cell>
          <cell r="E543" t="str">
            <v>ASCTamil Nadu12</v>
          </cell>
          <cell r="F543" t="str">
            <v>Bakkeyaa-Aravakurichi</v>
          </cell>
          <cell r="G543" t="str">
            <v>Bakkeyaa-Aravakurichi</v>
          </cell>
          <cell r="H543" t="str">
            <v>South</v>
          </cell>
        </row>
        <row r="544">
          <cell r="A544" t="str">
            <v>Balaji Bikes-Broadway</v>
          </cell>
          <cell r="B544" t="str">
            <v>ASC</v>
          </cell>
          <cell r="C544" t="str">
            <v>ASCTamil Nadu</v>
          </cell>
          <cell r="D544" t="str">
            <v>ASC86</v>
          </cell>
          <cell r="E544" t="str">
            <v>ASCTamil Nadu13</v>
          </cell>
          <cell r="F544" t="str">
            <v>Balaji Bikes-Broadway</v>
          </cell>
          <cell r="G544" t="str">
            <v>Balaji Bikes-Broadway</v>
          </cell>
          <cell r="H544" t="str">
            <v>South</v>
          </cell>
        </row>
        <row r="545">
          <cell r="A545" t="str">
            <v>Bharat Motors-Andipatti</v>
          </cell>
          <cell r="B545" t="str">
            <v>ASC</v>
          </cell>
          <cell r="C545" t="str">
            <v>ASCTamil Nadu</v>
          </cell>
          <cell r="D545" t="str">
            <v>ASC87</v>
          </cell>
          <cell r="E545" t="str">
            <v>ASCTamil Nadu14</v>
          </cell>
          <cell r="F545" t="str">
            <v>Bharat Motors-Andipatti</v>
          </cell>
          <cell r="G545" t="str">
            <v>Bharat Motors-Andipatti</v>
          </cell>
          <cell r="H545" t="str">
            <v>South</v>
          </cell>
        </row>
        <row r="546">
          <cell r="A546" t="str">
            <v>Bharath Auto-Nagapattinam</v>
          </cell>
          <cell r="B546" t="str">
            <v>ASC</v>
          </cell>
          <cell r="C546" t="str">
            <v>ASCTamil Nadu</v>
          </cell>
          <cell r="D546" t="str">
            <v>ASC88</v>
          </cell>
          <cell r="E546" t="str">
            <v>ASCTamil Nadu15</v>
          </cell>
          <cell r="F546" t="str">
            <v>Bharath Auto-Nagapattinam</v>
          </cell>
          <cell r="G546" t="str">
            <v>Bharath Auto-Nagapattinam</v>
          </cell>
          <cell r="H546" t="str">
            <v>South</v>
          </cell>
        </row>
        <row r="547">
          <cell r="A547" t="str">
            <v>Blue Bikes-Adambakkam</v>
          </cell>
          <cell r="B547" t="str">
            <v>ASC</v>
          </cell>
          <cell r="C547" t="str">
            <v>ASCTamil Nadu</v>
          </cell>
          <cell r="D547" t="str">
            <v>ASC89</v>
          </cell>
          <cell r="E547" t="str">
            <v>ASCTamil Nadu16</v>
          </cell>
          <cell r="F547" t="str">
            <v>Blue Bikes-Adambakkam</v>
          </cell>
          <cell r="G547" t="str">
            <v>Blue Bikes-Adambakkam</v>
          </cell>
          <cell r="H547" t="str">
            <v>South</v>
          </cell>
        </row>
        <row r="548">
          <cell r="A548" t="str">
            <v>Brilliant Agencies-Mandaveli</v>
          </cell>
          <cell r="B548" t="str">
            <v>ASC</v>
          </cell>
          <cell r="C548" t="str">
            <v>ASCTamil Nadu</v>
          </cell>
          <cell r="D548" t="str">
            <v>ASC90</v>
          </cell>
          <cell r="E548" t="str">
            <v>ASCTamil Nadu17</v>
          </cell>
          <cell r="F548" t="str">
            <v>Brilliant Agencies-Mandaveli</v>
          </cell>
          <cell r="G548" t="str">
            <v>Brilliant Agencies-Mandaveli</v>
          </cell>
          <cell r="H548" t="str">
            <v>South</v>
          </cell>
        </row>
        <row r="549">
          <cell r="A549" t="str">
            <v>C R C-Paramakudi</v>
          </cell>
          <cell r="B549" t="str">
            <v>ASC</v>
          </cell>
          <cell r="C549" t="str">
            <v>ASCTamil Nadu</v>
          </cell>
          <cell r="D549" t="str">
            <v>ASC91</v>
          </cell>
          <cell r="E549" t="str">
            <v>ASCTamil Nadu18</v>
          </cell>
          <cell r="F549" t="str">
            <v>C R C-Paramakudi</v>
          </cell>
          <cell r="G549" t="str">
            <v>C R C-Paramakudi</v>
          </cell>
          <cell r="H549" t="str">
            <v>South</v>
          </cell>
        </row>
        <row r="550">
          <cell r="A550" t="str">
            <v>Ceraj Bikes-Choolai</v>
          </cell>
          <cell r="B550" t="str">
            <v>ASC</v>
          </cell>
          <cell r="C550" t="str">
            <v>ASCTamil Nadu</v>
          </cell>
          <cell r="D550" t="str">
            <v>ASC92</v>
          </cell>
          <cell r="E550" t="str">
            <v>ASCTamil Nadu19</v>
          </cell>
          <cell r="F550" t="str">
            <v>Ceraj Bikes-Choolai</v>
          </cell>
          <cell r="G550" t="str">
            <v>Ceraj Bikes-Choolai</v>
          </cell>
          <cell r="H550" t="str">
            <v>South</v>
          </cell>
        </row>
        <row r="551">
          <cell r="A551" t="str">
            <v>Chinnasamy Ag-Utthangari</v>
          </cell>
          <cell r="B551" t="str">
            <v>ASC</v>
          </cell>
          <cell r="C551" t="str">
            <v>ASCTamil Nadu</v>
          </cell>
          <cell r="D551" t="str">
            <v>ASC93</v>
          </cell>
          <cell r="E551" t="str">
            <v>ASCTamil Nadu20</v>
          </cell>
          <cell r="F551" t="str">
            <v>Chinnasamy Ag-Utthangari</v>
          </cell>
          <cell r="G551" t="str">
            <v>Chinnasamy Ag-Utthangari</v>
          </cell>
          <cell r="H551" t="str">
            <v>South</v>
          </cell>
        </row>
        <row r="552">
          <cell r="A552" t="str">
            <v>Dass Automobilies-Sathyamangalam</v>
          </cell>
          <cell r="B552" t="str">
            <v>ASC</v>
          </cell>
          <cell r="C552" t="str">
            <v>ASCTamil Nadu</v>
          </cell>
          <cell r="D552" t="str">
            <v>ASC94</v>
          </cell>
          <cell r="E552" t="str">
            <v>ASCTamil Nadu21</v>
          </cell>
          <cell r="F552" t="str">
            <v>Dass Automobilies-Sathyamangalam</v>
          </cell>
          <cell r="G552" t="str">
            <v>Dass Automobilies-Sathyamangalam</v>
          </cell>
          <cell r="H552" t="str">
            <v>South</v>
          </cell>
        </row>
        <row r="553">
          <cell r="A553" t="str">
            <v>Derik Auto-Marthandam</v>
          </cell>
          <cell r="B553" t="str">
            <v>ASC</v>
          </cell>
          <cell r="C553" t="str">
            <v>ASCTamil Nadu</v>
          </cell>
          <cell r="D553" t="str">
            <v>ASC95</v>
          </cell>
          <cell r="E553" t="str">
            <v>ASCTamil Nadu22</v>
          </cell>
          <cell r="F553" t="str">
            <v>Derik Auto-Marthandam</v>
          </cell>
          <cell r="G553" t="str">
            <v>Derik Auto-Marthandam</v>
          </cell>
          <cell r="H553" t="str">
            <v>South</v>
          </cell>
        </row>
        <row r="554">
          <cell r="A554" t="str">
            <v>Divya Agencies-Madhuranthagam</v>
          </cell>
          <cell r="B554" t="str">
            <v>ASC</v>
          </cell>
          <cell r="C554" t="str">
            <v>ASCTamil Nadu</v>
          </cell>
          <cell r="D554" t="str">
            <v>ASC96</v>
          </cell>
          <cell r="E554" t="str">
            <v>ASCTamil Nadu23</v>
          </cell>
          <cell r="F554" t="str">
            <v>Divya Agencies-Madhuranthagam</v>
          </cell>
          <cell r="G554" t="str">
            <v>Divya Agencies-Madhuranthagam</v>
          </cell>
          <cell r="H554" t="str">
            <v>South</v>
          </cell>
        </row>
        <row r="555">
          <cell r="A555" t="str">
            <v>G J Automobiles-Thruttani</v>
          </cell>
          <cell r="B555" t="str">
            <v>ASC</v>
          </cell>
          <cell r="C555" t="str">
            <v>ASCTamil Nadu</v>
          </cell>
          <cell r="D555" t="str">
            <v>ASC97</v>
          </cell>
          <cell r="E555" t="str">
            <v>ASCTamil Nadu24</v>
          </cell>
          <cell r="F555" t="str">
            <v>G J Automobiles-Truttani</v>
          </cell>
          <cell r="G555" t="str">
            <v>G J Automobiles-Truttani</v>
          </cell>
          <cell r="H555" t="str">
            <v>South</v>
          </cell>
        </row>
        <row r="556">
          <cell r="A556" t="str">
            <v>G T-Salem</v>
          </cell>
          <cell r="B556" t="str">
            <v>ASC</v>
          </cell>
          <cell r="C556" t="str">
            <v>ASCTamil Nadu</v>
          </cell>
          <cell r="D556" t="str">
            <v>ASC98</v>
          </cell>
          <cell r="E556" t="str">
            <v>ASCTamil Nadu25</v>
          </cell>
          <cell r="F556" t="str">
            <v>G T-Salem</v>
          </cell>
          <cell r="G556" t="str">
            <v>G T-Salem</v>
          </cell>
          <cell r="H556" t="str">
            <v>South</v>
          </cell>
        </row>
        <row r="557">
          <cell r="A557" t="str">
            <v>G.G. Automotives-Madhuravoil</v>
          </cell>
          <cell r="B557" t="str">
            <v>ASC</v>
          </cell>
          <cell r="C557" t="str">
            <v>ASCTamil Nadu</v>
          </cell>
          <cell r="D557" t="str">
            <v>ASC99</v>
          </cell>
          <cell r="E557" t="str">
            <v>ASCTamil Nadu26</v>
          </cell>
          <cell r="F557" t="str">
            <v>G.G. Automotives-Madhuravoil</v>
          </cell>
          <cell r="G557" t="str">
            <v>G.G. Automotives-Madhuravoil</v>
          </cell>
          <cell r="H557" t="str">
            <v>South</v>
          </cell>
        </row>
        <row r="558">
          <cell r="A558" t="str">
            <v>Ganesh -Aranthangi</v>
          </cell>
          <cell r="B558" t="str">
            <v>ASC</v>
          </cell>
          <cell r="C558" t="str">
            <v>ASCTamil Nadu</v>
          </cell>
          <cell r="D558" t="str">
            <v>ASC100</v>
          </cell>
          <cell r="E558" t="str">
            <v>ASCTamil Nadu27</v>
          </cell>
          <cell r="F558" t="str">
            <v>Ganesh -Aranthangi</v>
          </cell>
          <cell r="G558" t="str">
            <v>Ganesh -Aranthangi</v>
          </cell>
          <cell r="H558" t="str">
            <v>South</v>
          </cell>
        </row>
        <row r="559">
          <cell r="A559" t="str">
            <v>Ganesh-Manachanallur</v>
          </cell>
          <cell r="B559" t="str">
            <v>ASC</v>
          </cell>
          <cell r="C559" t="str">
            <v>ASCTamil Nadu</v>
          </cell>
          <cell r="D559" t="str">
            <v>ASC101</v>
          </cell>
          <cell r="E559" t="str">
            <v>ASCTamil Nadu28</v>
          </cell>
          <cell r="F559" t="str">
            <v>Ganesh-Manachanallur</v>
          </cell>
          <cell r="G559" t="str">
            <v>Ganesh-Manachanallur</v>
          </cell>
          <cell r="H559" t="str">
            <v>South</v>
          </cell>
        </row>
        <row r="560">
          <cell r="A560" t="str">
            <v>I K Motors-Thiruvottiyur</v>
          </cell>
          <cell r="B560" t="str">
            <v>ASC</v>
          </cell>
          <cell r="C560" t="str">
            <v>ASCTamil Nadu</v>
          </cell>
          <cell r="D560" t="str">
            <v>ASC102</v>
          </cell>
          <cell r="E560" t="str">
            <v>ASCTamil Nadu29</v>
          </cell>
          <cell r="F560" t="str">
            <v>I K Motors-Thiruvottiyur</v>
          </cell>
          <cell r="G560" t="str">
            <v>I K Motors-Thiruvottiyur</v>
          </cell>
          <cell r="H560" t="str">
            <v>South</v>
          </cell>
        </row>
        <row r="561">
          <cell r="A561" t="str">
            <v>Idhayam-Manaparai</v>
          </cell>
          <cell r="B561" t="str">
            <v>ASC</v>
          </cell>
          <cell r="C561" t="str">
            <v>ASCTamil Nadu</v>
          </cell>
          <cell r="D561" t="str">
            <v>ASC103</v>
          </cell>
          <cell r="E561" t="str">
            <v>ASCTamil Nadu30</v>
          </cell>
          <cell r="F561" t="str">
            <v>Idhayam-Manaparai</v>
          </cell>
          <cell r="G561" t="str">
            <v>Idhayam-Manaparai</v>
          </cell>
          <cell r="H561" t="str">
            <v>South</v>
          </cell>
        </row>
        <row r="562">
          <cell r="A562" t="str">
            <v>Ishwarya-Srivalliputhur</v>
          </cell>
          <cell r="B562" t="str">
            <v>ASC</v>
          </cell>
          <cell r="C562" t="str">
            <v>ASCTamil Nadu</v>
          </cell>
          <cell r="D562" t="str">
            <v>ASC104</v>
          </cell>
          <cell r="E562" t="str">
            <v>ASCTamil Nadu31</v>
          </cell>
          <cell r="F562" t="str">
            <v>Ishwarya-Srivalliputhur</v>
          </cell>
          <cell r="G562" t="str">
            <v>Ishwarya-Srivalliputhur</v>
          </cell>
          <cell r="H562" t="str">
            <v>South</v>
          </cell>
        </row>
        <row r="563">
          <cell r="A563" t="str">
            <v>J K Auto-Ambai</v>
          </cell>
          <cell r="B563" t="str">
            <v>ASC</v>
          </cell>
          <cell r="C563" t="str">
            <v>ASCTamil Nadu</v>
          </cell>
          <cell r="D563" t="str">
            <v>ASC105</v>
          </cell>
          <cell r="E563" t="str">
            <v>ASCTamil Nadu32</v>
          </cell>
          <cell r="F563" t="str">
            <v>J K Auto-Ambai</v>
          </cell>
          <cell r="G563" t="str">
            <v>J K Auto-Ambai</v>
          </cell>
          <cell r="H563" t="str">
            <v>South</v>
          </cell>
        </row>
        <row r="564">
          <cell r="A564" t="str">
            <v>J K S-Papireddypatti</v>
          </cell>
          <cell r="B564" t="str">
            <v>ASC</v>
          </cell>
          <cell r="C564" t="str">
            <v>ASCTamil Nadu</v>
          </cell>
          <cell r="D564" t="str">
            <v>ASC106</v>
          </cell>
          <cell r="E564" t="str">
            <v>ASCTamil Nadu33</v>
          </cell>
          <cell r="F564" t="str">
            <v>J K S-Papireddypatti</v>
          </cell>
          <cell r="G564" t="str">
            <v>J K S-Papireddypatti</v>
          </cell>
          <cell r="H564" t="str">
            <v>South</v>
          </cell>
        </row>
        <row r="565">
          <cell r="A565" t="str">
            <v>J R Enterprises-Cheyyar</v>
          </cell>
          <cell r="B565" t="str">
            <v>ASC</v>
          </cell>
          <cell r="C565" t="str">
            <v>ASCTamil Nadu</v>
          </cell>
          <cell r="D565" t="str">
            <v>ASC107</v>
          </cell>
          <cell r="E565" t="str">
            <v>ASCTamil Nadu34</v>
          </cell>
          <cell r="F565" t="str">
            <v>J R Enterprises-Cheyyar</v>
          </cell>
          <cell r="G565" t="str">
            <v>J R Enterprises-Cheyyar</v>
          </cell>
          <cell r="H565" t="str">
            <v>South</v>
          </cell>
        </row>
        <row r="566">
          <cell r="A566" t="str">
            <v>Jai Bharath-Turaiyur</v>
          </cell>
          <cell r="B566" t="str">
            <v>ASC</v>
          </cell>
          <cell r="C566" t="str">
            <v>ASCTamil Nadu</v>
          </cell>
          <cell r="D566" t="str">
            <v>ASC108</v>
          </cell>
          <cell r="E566" t="str">
            <v>ASCTamil Nadu35</v>
          </cell>
          <cell r="F566" t="str">
            <v>Jai Bharath-Turaiyur</v>
          </cell>
          <cell r="G566" t="str">
            <v>Jai Bharath-Turaiyur</v>
          </cell>
          <cell r="H566" t="str">
            <v>South</v>
          </cell>
        </row>
        <row r="567">
          <cell r="A567" t="str">
            <v>K N Swamy-Denkkanikota - Hosur Taluk</v>
          </cell>
          <cell r="B567" t="str">
            <v>ASC</v>
          </cell>
          <cell r="C567" t="str">
            <v>ASCTamil Nadu</v>
          </cell>
          <cell r="D567" t="str">
            <v>ASC109</v>
          </cell>
          <cell r="E567" t="str">
            <v>ASCTamil Nadu36</v>
          </cell>
          <cell r="F567" t="str">
            <v>K N Swamy-Denkkanikota - Hosur Taluk</v>
          </cell>
          <cell r="G567" t="str">
            <v>K N Swamy-Denkkanikota - Hosur Taluk</v>
          </cell>
          <cell r="H567" t="str">
            <v>South</v>
          </cell>
        </row>
        <row r="568">
          <cell r="A568" t="str">
            <v>K S Auto-Oddan</v>
          </cell>
          <cell r="B568" t="str">
            <v>ASC</v>
          </cell>
          <cell r="C568" t="str">
            <v>ASCTamil Nadu</v>
          </cell>
          <cell r="D568" t="str">
            <v>ASC110</v>
          </cell>
          <cell r="E568" t="str">
            <v>ASCTamil Nadu37</v>
          </cell>
          <cell r="F568" t="str">
            <v>K S Auto-Oddan</v>
          </cell>
          <cell r="G568" t="str">
            <v>K S Auto-Oddan</v>
          </cell>
          <cell r="H568" t="str">
            <v>South</v>
          </cell>
        </row>
        <row r="569">
          <cell r="A569" t="str">
            <v>Kalishwara-Kaliyarkoil,Karaikudi</v>
          </cell>
          <cell r="B569" t="str">
            <v>ASC</v>
          </cell>
          <cell r="C569" t="str">
            <v>ASCTamil Nadu</v>
          </cell>
          <cell r="D569" t="str">
            <v>ASC111</v>
          </cell>
          <cell r="E569" t="str">
            <v>ASCTamil Nadu38</v>
          </cell>
          <cell r="F569" t="str">
            <v>Kalishwara-Kaliyarkoil,Karaikudi</v>
          </cell>
          <cell r="G569" t="str">
            <v>Kalishwara-Kaliyarkoil,Karaikudi</v>
          </cell>
          <cell r="H569" t="str">
            <v>South</v>
          </cell>
        </row>
        <row r="570">
          <cell r="A570" t="str">
            <v>Kalpana-Mettur</v>
          </cell>
          <cell r="B570" t="str">
            <v>ASC</v>
          </cell>
          <cell r="C570" t="str">
            <v>ASCTamil Nadu</v>
          </cell>
          <cell r="D570" t="str">
            <v>ASC112</v>
          </cell>
          <cell r="E570" t="str">
            <v>ASCTamil Nadu39</v>
          </cell>
          <cell r="F570" t="str">
            <v>Kalpana-Mettur</v>
          </cell>
          <cell r="G570" t="str">
            <v>Kalpana-Mettur</v>
          </cell>
          <cell r="H570" t="str">
            <v>South</v>
          </cell>
        </row>
        <row r="571">
          <cell r="A571" t="str">
            <v>Kamakshi Motors-Perambur</v>
          </cell>
          <cell r="B571" t="str">
            <v>ASC</v>
          </cell>
          <cell r="C571" t="str">
            <v>ASCTamil Nadu</v>
          </cell>
          <cell r="D571" t="str">
            <v>ASC113</v>
          </cell>
          <cell r="E571" t="str">
            <v>ASCTamil Nadu40</v>
          </cell>
          <cell r="F571" t="str">
            <v>Kamakshi Motors-Perambur</v>
          </cell>
          <cell r="G571" t="str">
            <v>Kamakshi Motors-Perambur</v>
          </cell>
          <cell r="H571" t="str">
            <v>South</v>
          </cell>
        </row>
        <row r="572">
          <cell r="A572" t="str">
            <v>Kannan Auto -Pongalur</v>
          </cell>
          <cell r="B572" t="str">
            <v>ASC</v>
          </cell>
          <cell r="C572" t="str">
            <v>ASCTamil Nadu</v>
          </cell>
          <cell r="D572" t="str">
            <v>ASC114</v>
          </cell>
          <cell r="E572" t="str">
            <v>ASCTamil Nadu41</v>
          </cell>
          <cell r="F572" t="str">
            <v>Kannan Auto -Pongalur</v>
          </cell>
          <cell r="G572" t="str">
            <v>Kannan Auto -Pongalur</v>
          </cell>
          <cell r="H572" t="str">
            <v>South</v>
          </cell>
        </row>
        <row r="573">
          <cell r="A573" t="str">
            <v>Kannan-Lalgudi</v>
          </cell>
          <cell r="B573" t="str">
            <v>ASC</v>
          </cell>
          <cell r="C573" t="str">
            <v>ASCTamil Nadu</v>
          </cell>
          <cell r="D573" t="str">
            <v>ASC115</v>
          </cell>
          <cell r="E573" t="str">
            <v>ASCTamil Nadu42</v>
          </cell>
          <cell r="F573" t="str">
            <v>Kannan-Lalgudi</v>
          </cell>
          <cell r="G573" t="str">
            <v>Kannan-Lalgudi</v>
          </cell>
          <cell r="H573" t="str">
            <v>South</v>
          </cell>
        </row>
        <row r="574">
          <cell r="A574" t="str">
            <v>Kannan-Vedachandur-Dindugul</v>
          </cell>
          <cell r="B574" t="str">
            <v>ASC</v>
          </cell>
          <cell r="C574" t="str">
            <v>ASCTamil Nadu</v>
          </cell>
          <cell r="D574" t="str">
            <v>ASC116</v>
          </cell>
          <cell r="E574" t="str">
            <v>ASCTamil Nadu43</v>
          </cell>
          <cell r="F574" t="str">
            <v>Kannan-Vedachandur-Dindugul</v>
          </cell>
          <cell r="G574" t="str">
            <v>Kannan-Vedachandur-Dindugul</v>
          </cell>
          <cell r="H574" t="str">
            <v>South</v>
          </cell>
        </row>
        <row r="575">
          <cell r="A575" t="str">
            <v>Karpagam Agency-Karamadai</v>
          </cell>
          <cell r="B575" t="str">
            <v>ASC</v>
          </cell>
          <cell r="C575" t="str">
            <v>ASCTamil Nadu</v>
          </cell>
          <cell r="D575" t="str">
            <v>ASC117</v>
          </cell>
          <cell r="E575" t="str">
            <v>ASCTamil Nadu44</v>
          </cell>
          <cell r="F575" t="str">
            <v>Karpagam Agency-Karamadai</v>
          </cell>
          <cell r="G575" t="str">
            <v>Karpagam Agency-Karamadai</v>
          </cell>
          <cell r="H575" t="str">
            <v>South</v>
          </cell>
        </row>
        <row r="576">
          <cell r="A576" t="str">
            <v>Karpaga-S Gangai</v>
          </cell>
          <cell r="B576" t="str">
            <v>ASC</v>
          </cell>
          <cell r="C576" t="str">
            <v>ASCTamil Nadu</v>
          </cell>
          <cell r="D576" t="str">
            <v>ASC118</v>
          </cell>
          <cell r="E576" t="str">
            <v>ASCTamil Nadu45</v>
          </cell>
          <cell r="F576" t="str">
            <v>Karpaga-S Gangai</v>
          </cell>
          <cell r="G576" t="str">
            <v>Karpaga-S Gangai</v>
          </cell>
          <cell r="H576" t="str">
            <v>South</v>
          </cell>
        </row>
        <row r="577">
          <cell r="A577" t="str">
            <v>Kaviraj Services-Mambalam</v>
          </cell>
          <cell r="B577" t="str">
            <v>ASC</v>
          </cell>
          <cell r="C577" t="str">
            <v>ASCTamil Nadu</v>
          </cell>
          <cell r="D577" t="str">
            <v>ASC119</v>
          </cell>
          <cell r="E577" t="str">
            <v>ASCTamil Nadu46</v>
          </cell>
          <cell r="F577" t="str">
            <v>Kaviraj Services-Mambalam</v>
          </cell>
          <cell r="G577" t="str">
            <v>Kaviraj Services-Mambalam</v>
          </cell>
          <cell r="H577" t="str">
            <v>South</v>
          </cell>
        </row>
        <row r="578">
          <cell r="A578" t="str">
            <v>Kongu Auto-N.Kandampalayam</v>
          </cell>
          <cell r="B578" t="str">
            <v>ASC</v>
          </cell>
          <cell r="C578" t="str">
            <v>ASCTamil Nadu</v>
          </cell>
          <cell r="D578" t="str">
            <v>ASC120</v>
          </cell>
          <cell r="E578" t="str">
            <v>ASCTamil Nadu47</v>
          </cell>
          <cell r="F578" t="str">
            <v>Kongu Auto-N.Kandampalayam</v>
          </cell>
          <cell r="G578" t="str">
            <v>Kongu Auto-N.Kandampalayam</v>
          </cell>
          <cell r="H578" t="str">
            <v>South</v>
          </cell>
        </row>
        <row r="579">
          <cell r="A579" t="str">
            <v>Kovi Auto Mobilies-Karumathapatti</v>
          </cell>
          <cell r="B579" t="str">
            <v>ASC</v>
          </cell>
          <cell r="C579" t="str">
            <v>ASCTamil Nadu</v>
          </cell>
          <cell r="D579" t="str">
            <v>ASC121</v>
          </cell>
          <cell r="E579" t="str">
            <v>ASCTamil Nadu48</v>
          </cell>
          <cell r="F579" t="str">
            <v>Kovi Auto Mobilies-Karumathapatti</v>
          </cell>
          <cell r="G579" t="str">
            <v>Kovi Auto Mobilies-Karumathapatti</v>
          </cell>
          <cell r="H579" t="str">
            <v>South</v>
          </cell>
        </row>
        <row r="580">
          <cell r="A580" t="str">
            <v>Kugan Auto Centre-Sholingur</v>
          </cell>
          <cell r="B580" t="str">
            <v>ASC</v>
          </cell>
          <cell r="C580" t="str">
            <v>ASCTamil Nadu</v>
          </cell>
          <cell r="D580" t="str">
            <v>ASC122</v>
          </cell>
          <cell r="E580" t="str">
            <v>ASCTamil Nadu49</v>
          </cell>
          <cell r="F580" t="str">
            <v>Kugan Auto Centre-Sholingur</v>
          </cell>
          <cell r="G580" t="str">
            <v>Kugan Auto Centre-Sholingur</v>
          </cell>
          <cell r="H580" t="str">
            <v>South</v>
          </cell>
        </row>
        <row r="581">
          <cell r="A581" t="str">
            <v>Kumaran Motors-Thondiarpet</v>
          </cell>
          <cell r="B581" t="str">
            <v>ASC</v>
          </cell>
          <cell r="C581" t="str">
            <v>ASCTamil Nadu</v>
          </cell>
          <cell r="D581" t="str">
            <v>ASC123</v>
          </cell>
          <cell r="E581" t="str">
            <v>ASCTamil Nadu50</v>
          </cell>
          <cell r="F581" t="str">
            <v>Kumaran Motors-Thondiarpet</v>
          </cell>
          <cell r="G581" t="str">
            <v>Kumaran Motors-Thondiarpet</v>
          </cell>
          <cell r="H581" t="str">
            <v>South</v>
          </cell>
        </row>
        <row r="582">
          <cell r="A582" t="str">
            <v>Lakshimi Auto-Karimangalam</v>
          </cell>
          <cell r="B582" t="str">
            <v>ASC</v>
          </cell>
          <cell r="C582" t="str">
            <v>ASCTamil Nadu</v>
          </cell>
          <cell r="D582" t="str">
            <v>ASC124</v>
          </cell>
          <cell r="E582" t="str">
            <v>ASCTamil Nadu51</v>
          </cell>
          <cell r="F582" t="str">
            <v>Lakshimi Auto-Karimangalam</v>
          </cell>
          <cell r="G582" t="str">
            <v>Lakshimi Auto-Karimangalam</v>
          </cell>
          <cell r="H582" t="str">
            <v>South</v>
          </cell>
        </row>
        <row r="583">
          <cell r="A583" t="str">
            <v>Latest Agency-Bhavani</v>
          </cell>
          <cell r="B583" t="str">
            <v>ASC</v>
          </cell>
          <cell r="C583" t="str">
            <v>ASCTamil Nadu</v>
          </cell>
          <cell r="D583" t="str">
            <v>ASC125</v>
          </cell>
          <cell r="E583" t="str">
            <v>ASCTamil Nadu52</v>
          </cell>
          <cell r="F583" t="str">
            <v>Latest Agency-Bhavani</v>
          </cell>
          <cell r="G583" t="str">
            <v>Latest Agency-Bhavani</v>
          </cell>
          <cell r="H583" t="str">
            <v>South</v>
          </cell>
        </row>
        <row r="584">
          <cell r="A584" t="str">
            <v>M J M Services-Ayanavaram</v>
          </cell>
          <cell r="B584" t="str">
            <v>ASC</v>
          </cell>
          <cell r="C584" t="str">
            <v>ASCTamil Nadu</v>
          </cell>
          <cell r="D584" t="str">
            <v>ASC126</v>
          </cell>
          <cell r="E584" t="str">
            <v>ASCTamil Nadu53</v>
          </cell>
          <cell r="F584" t="str">
            <v>M J M Services-Ayanavaram</v>
          </cell>
          <cell r="G584" t="str">
            <v>M J M Services-Ayanavaram</v>
          </cell>
          <cell r="H584" t="str">
            <v>South</v>
          </cell>
        </row>
        <row r="585">
          <cell r="A585" t="str">
            <v>M K Auto Centre-Tindivanam</v>
          </cell>
          <cell r="B585" t="str">
            <v>ASC</v>
          </cell>
          <cell r="C585" t="str">
            <v>ASCTamil Nadu</v>
          </cell>
          <cell r="D585" t="str">
            <v>ASC127</v>
          </cell>
          <cell r="E585" t="str">
            <v>ASCTamil Nadu54</v>
          </cell>
          <cell r="F585" t="str">
            <v>M K Auto Centre-Tindivanam</v>
          </cell>
          <cell r="G585" t="str">
            <v>M K Auto Centre-Tindivanam</v>
          </cell>
          <cell r="H585" t="str">
            <v>South</v>
          </cell>
        </row>
        <row r="586">
          <cell r="A586" t="str">
            <v>Maansi Bikes-Choolaimedu</v>
          </cell>
          <cell r="B586" t="str">
            <v>ASC</v>
          </cell>
          <cell r="C586" t="str">
            <v>ASCTamil Nadu</v>
          </cell>
          <cell r="D586" t="str">
            <v>ASC128</v>
          </cell>
          <cell r="E586" t="str">
            <v>ASCTamil Nadu55</v>
          </cell>
          <cell r="F586" t="str">
            <v>Maansi Bikes-Choolaimedu</v>
          </cell>
          <cell r="G586" t="str">
            <v>Maansi Bikes-Choolaimedu</v>
          </cell>
          <cell r="H586" t="str">
            <v>South</v>
          </cell>
        </row>
        <row r="587">
          <cell r="A587" t="str">
            <v>Madura Motors-Sharmanagar</v>
          </cell>
          <cell r="B587" t="str">
            <v>ASC</v>
          </cell>
          <cell r="C587" t="str">
            <v>ASCTamil Nadu</v>
          </cell>
          <cell r="D587" t="str">
            <v>ASC129</v>
          </cell>
          <cell r="E587" t="str">
            <v>ASCTamil Nadu56</v>
          </cell>
          <cell r="F587" t="str">
            <v>Madura Motors-Sharmanagar</v>
          </cell>
          <cell r="G587" t="str">
            <v>Madura Motors-Sharmanagar</v>
          </cell>
          <cell r="H587" t="str">
            <v>South</v>
          </cell>
        </row>
        <row r="588">
          <cell r="A588" t="str">
            <v>Mahalakshmi Motors-Korukkupet</v>
          </cell>
          <cell r="B588" t="str">
            <v>ASC</v>
          </cell>
          <cell r="C588" t="str">
            <v>ASCTamil Nadu</v>
          </cell>
          <cell r="D588" t="str">
            <v>ASC130</v>
          </cell>
          <cell r="E588" t="str">
            <v>ASCTamil Nadu57</v>
          </cell>
          <cell r="F588" t="str">
            <v>Mahalakshmi Motors-Korukkupet</v>
          </cell>
          <cell r="G588" t="str">
            <v>Mahalakshmi Motors-Korukkupet</v>
          </cell>
          <cell r="H588" t="str">
            <v>South</v>
          </cell>
        </row>
        <row r="589">
          <cell r="A589" t="str">
            <v>Malar Agencies-Perundurai</v>
          </cell>
          <cell r="B589" t="str">
            <v>ASC</v>
          </cell>
          <cell r="C589" t="str">
            <v>ASCTamil Nadu</v>
          </cell>
          <cell r="D589" t="str">
            <v>ASC131</v>
          </cell>
          <cell r="E589" t="str">
            <v>ASCTamil Nadu58</v>
          </cell>
          <cell r="F589" t="str">
            <v>Malar Agencies-Perundurai</v>
          </cell>
          <cell r="G589" t="str">
            <v>Malar Agencies-Perundurai</v>
          </cell>
          <cell r="H589" t="str">
            <v>South</v>
          </cell>
        </row>
        <row r="590">
          <cell r="A590" t="str">
            <v>Mani Auto-Salem</v>
          </cell>
          <cell r="B590" t="str">
            <v>ASC</v>
          </cell>
          <cell r="C590" t="str">
            <v>ASCTamil Nadu</v>
          </cell>
          <cell r="D590" t="str">
            <v>ASC132</v>
          </cell>
          <cell r="E590" t="str">
            <v>ASCTamil Nadu59</v>
          </cell>
          <cell r="F590" t="str">
            <v>Mani Auto-Salem</v>
          </cell>
          <cell r="G590" t="str">
            <v>Mani Auto-Salem</v>
          </cell>
          <cell r="H590" t="str">
            <v>South</v>
          </cell>
        </row>
        <row r="591">
          <cell r="A591" t="str">
            <v>Marss Agency-Kunnathur</v>
          </cell>
          <cell r="B591" t="str">
            <v>ASC</v>
          </cell>
          <cell r="C591" t="str">
            <v>ASCTamil Nadu</v>
          </cell>
          <cell r="D591" t="str">
            <v>ASC133</v>
          </cell>
          <cell r="E591" t="str">
            <v>ASCTamil Nadu60</v>
          </cell>
          <cell r="F591" t="str">
            <v>Marss Agency-Kunnathur</v>
          </cell>
          <cell r="G591" t="str">
            <v>Marss Agency-Kunnathur</v>
          </cell>
          <cell r="H591" t="str">
            <v>South</v>
          </cell>
        </row>
        <row r="592">
          <cell r="A592" t="str">
            <v>Maruthi  Auto Centre-Poonamallee</v>
          </cell>
          <cell r="B592" t="str">
            <v>ASC</v>
          </cell>
          <cell r="C592" t="str">
            <v>ASCTamil Nadu</v>
          </cell>
          <cell r="D592" t="str">
            <v>ASC134</v>
          </cell>
          <cell r="E592" t="str">
            <v>ASCTamil Nadu61</v>
          </cell>
          <cell r="F592" t="str">
            <v>Maruthi  Auto Centre-Poonamallee</v>
          </cell>
          <cell r="G592" t="str">
            <v>Maruthi  Auto Centre-Poonamallee</v>
          </cell>
          <cell r="H592" t="str">
            <v>South</v>
          </cell>
        </row>
        <row r="593">
          <cell r="A593" t="str">
            <v>Maruthi Auto-Kadaiyanallur</v>
          </cell>
          <cell r="B593" t="str">
            <v>ASC</v>
          </cell>
          <cell r="C593" t="str">
            <v>ASCTamil Nadu</v>
          </cell>
          <cell r="D593" t="str">
            <v>ASC135</v>
          </cell>
          <cell r="E593" t="str">
            <v>ASCTamil Nadu62</v>
          </cell>
          <cell r="F593" t="str">
            <v>Maruthi Auto-Kadaiyanallur</v>
          </cell>
          <cell r="G593" t="str">
            <v>Maruthi Auto-Kadaiyanallur</v>
          </cell>
          <cell r="H593" t="str">
            <v>South</v>
          </cell>
        </row>
        <row r="594">
          <cell r="A594" t="str">
            <v>Mazaak Motors-Pallavaram</v>
          </cell>
          <cell r="B594" t="str">
            <v>ASC</v>
          </cell>
          <cell r="C594" t="str">
            <v>ASCTamil Nadu</v>
          </cell>
          <cell r="D594" t="str">
            <v>ASC136</v>
          </cell>
          <cell r="E594" t="str">
            <v>ASCTamil Nadu63</v>
          </cell>
          <cell r="F594" t="str">
            <v>Mazaak Motors-Pallavaram</v>
          </cell>
          <cell r="G594" t="str">
            <v>Mazaak Motors-Pallavaram</v>
          </cell>
          <cell r="H594" t="str">
            <v>South</v>
          </cell>
        </row>
        <row r="595">
          <cell r="A595" t="str">
            <v>Mootha Motors-S.V.Chattiram</v>
          </cell>
          <cell r="B595" t="str">
            <v>ASC</v>
          </cell>
          <cell r="C595" t="str">
            <v>ASCTamil Nadu</v>
          </cell>
          <cell r="D595" t="str">
            <v>ASC137</v>
          </cell>
          <cell r="E595" t="str">
            <v>ASCTamil Nadu64</v>
          </cell>
          <cell r="F595" t="str">
            <v>Mootha Motors-S.V.Chattiram</v>
          </cell>
          <cell r="G595" t="str">
            <v>Mootha Motors-S.V.Chattiram</v>
          </cell>
          <cell r="H595" t="str">
            <v>South</v>
          </cell>
        </row>
        <row r="596">
          <cell r="A596" t="str">
            <v>Motor Plaza-Kundrathur</v>
          </cell>
          <cell r="B596" t="str">
            <v>ASC</v>
          </cell>
          <cell r="C596" t="str">
            <v>ASCTamil Nadu</v>
          </cell>
          <cell r="D596" t="str">
            <v>ASC138</v>
          </cell>
          <cell r="E596" t="str">
            <v>ASCTamil Nadu65</v>
          </cell>
          <cell r="F596" t="str">
            <v>Motor Plaza-Kundrathur</v>
          </cell>
          <cell r="G596" t="str">
            <v>Motor Plaza-Kundrathur</v>
          </cell>
          <cell r="H596" t="str">
            <v>South</v>
          </cell>
        </row>
        <row r="597">
          <cell r="A597" t="str">
            <v>N T V A-T Chendur</v>
          </cell>
          <cell r="B597" t="str">
            <v>ASC</v>
          </cell>
          <cell r="C597" t="str">
            <v>ASCTamil Nadu</v>
          </cell>
          <cell r="D597" t="str">
            <v>ASC139</v>
          </cell>
          <cell r="E597" t="str">
            <v>ASCTamil Nadu66</v>
          </cell>
          <cell r="F597" t="str">
            <v>N T V A-T Chendur</v>
          </cell>
          <cell r="G597" t="str">
            <v>N T V A-T Chendur</v>
          </cell>
          <cell r="H597" t="str">
            <v>South</v>
          </cell>
        </row>
        <row r="598">
          <cell r="A598" t="str">
            <v>Nandeesh Motors-Guduvancherry</v>
          </cell>
          <cell r="B598" t="str">
            <v>ASC</v>
          </cell>
          <cell r="C598" t="str">
            <v>ASCTamil Nadu</v>
          </cell>
          <cell r="D598" t="str">
            <v>ASC140</v>
          </cell>
          <cell r="E598" t="str">
            <v>ASCTamil Nadu67</v>
          </cell>
          <cell r="F598" t="str">
            <v>Nandeesh Motors-Guduvancherry</v>
          </cell>
          <cell r="G598" t="str">
            <v>Nandeesh Motors-Guduvancherry</v>
          </cell>
          <cell r="H598" t="str">
            <v>South</v>
          </cell>
        </row>
        <row r="599">
          <cell r="A599" t="str">
            <v>Naveen-Uppiliyapuram</v>
          </cell>
          <cell r="B599" t="str">
            <v>ASC</v>
          </cell>
          <cell r="C599" t="str">
            <v>ASCTamil Nadu</v>
          </cell>
          <cell r="D599" t="str">
            <v>ASC141</v>
          </cell>
          <cell r="E599" t="str">
            <v>ASCTamil Nadu68</v>
          </cell>
          <cell r="F599" t="str">
            <v>Naveen-Uppiliyapuram</v>
          </cell>
          <cell r="G599" t="str">
            <v>Naveen-Uppiliyapuram</v>
          </cell>
          <cell r="H599" t="str">
            <v>South</v>
          </cell>
        </row>
        <row r="600">
          <cell r="A600" t="str">
            <v>Oasis Automobs-Kolathur</v>
          </cell>
          <cell r="B600" t="str">
            <v>ASC</v>
          </cell>
          <cell r="C600" t="str">
            <v>ASCTamil Nadu</v>
          </cell>
          <cell r="D600" t="str">
            <v>ASC142</v>
          </cell>
          <cell r="E600" t="str">
            <v>ASCTamil Nadu69</v>
          </cell>
          <cell r="F600" t="str">
            <v>Oasis Automobs-Kolathur</v>
          </cell>
          <cell r="G600" t="str">
            <v>Oasis Automobs-Kolathur</v>
          </cell>
          <cell r="H600" t="str">
            <v>South</v>
          </cell>
        </row>
        <row r="601">
          <cell r="A601" t="str">
            <v>P G Auto Centre-Gingee</v>
          </cell>
          <cell r="B601" t="str">
            <v>ASC</v>
          </cell>
          <cell r="C601" t="str">
            <v>ASCTamil Nadu</v>
          </cell>
          <cell r="D601" t="str">
            <v>ASC143</v>
          </cell>
          <cell r="E601" t="str">
            <v>ASCTamil Nadu70</v>
          </cell>
          <cell r="F601" t="str">
            <v>P G Auto Centre-Gingee</v>
          </cell>
          <cell r="G601" t="str">
            <v>P G Auto Centre-Gingee</v>
          </cell>
          <cell r="H601" t="str">
            <v>South</v>
          </cell>
        </row>
        <row r="602">
          <cell r="A602" t="str">
            <v>Pilot Agency-Komarapalayam</v>
          </cell>
          <cell r="B602" t="str">
            <v>ASC</v>
          </cell>
          <cell r="C602" t="str">
            <v>ASCTamil Nadu</v>
          </cell>
          <cell r="D602" t="str">
            <v>ASC144</v>
          </cell>
          <cell r="E602" t="str">
            <v>ASCTamil Nadu71</v>
          </cell>
          <cell r="F602" t="str">
            <v>Pilot Agency-Komarapalayam</v>
          </cell>
          <cell r="G602" t="str">
            <v>Pilot Agency-Komarapalayam</v>
          </cell>
          <cell r="H602" t="str">
            <v>South</v>
          </cell>
        </row>
        <row r="603">
          <cell r="A603" t="str">
            <v>Priya Motors-Palani</v>
          </cell>
          <cell r="B603" t="str">
            <v>ASC</v>
          </cell>
          <cell r="C603" t="str">
            <v>ASCTamil Nadu</v>
          </cell>
          <cell r="D603" t="str">
            <v>ASC145</v>
          </cell>
          <cell r="E603" t="str">
            <v>ASCTamil Nadu72</v>
          </cell>
          <cell r="F603" t="str">
            <v>Priya Motors-Palani</v>
          </cell>
          <cell r="G603" t="str">
            <v>Priya Motors-Palani</v>
          </cell>
          <cell r="H603" t="str">
            <v>South</v>
          </cell>
        </row>
        <row r="604">
          <cell r="A604" t="str">
            <v>R R &amp; Siva-Sirkali</v>
          </cell>
          <cell r="B604" t="str">
            <v>ASC</v>
          </cell>
          <cell r="C604" t="str">
            <v>ASCTamil Nadu</v>
          </cell>
          <cell r="D604" t="str">
            <v>ASC146</v>
          </cell>
          <cell r="E604" t="str">
            <v>ASCTamil Nadu73</v>
          </cell>
          <cell r="F604" t="str">
            <v>R R &amp; Siva-Sirkali</v>
          </cell>
          <cell r="G604" t="str">
            <v>R R &amp; Siva-Sirkali</v>
          </cell>
          <cell r="H604" t="str">
            <v>South</v>
          </cell>
        </row>
        <row r="605">
          <cell r="A605" t="str">
            <v>Radha-Malasumudram-Namakkal</v>
          </cell>
          <cell r="B605" t="str">
            <v>ASC</v>
          </cell>
          <cell r="C605" t="str">
            <v>ASCTamil Nadu</v>
          </cell>
          <cell r="D605" t="str">
            <v>ASC147</v>
          </cell>
          <cell r="E605" t="str">
            <v>ASCTamil Nadu74</v>
          </cell>
          <cell r="F605" t="str">
            <v>Radha-Malasumudram-Namakkal</v>
          </cell>
          <cell r="G605" t="str">
            <v>Radha-Malasumudram-Namakkal</v>
          </cell>
          <cell r="H605" t="str">
            <v>South</v>
          </cell>
        </row>
        <row r="606">
          <cell r="A606" t="str">
            <v>Raja Automobiles-Jayankondam</v>
          </cell>
          <cell r="B606" t="str">
            <v>ASC</v>
          </cell>
          <cell r="C606" t="str">
            <v>ASCTamil Nadu</v>
          </cell>
          <cell r="D606" t="str">
            <v>ASC148</v>
          </cell>
          <cell r="E606" t="str">
            <v>ASCTamil Nadu75</v>
          </cell>
          <cell r="F606" t="str">
            <v>Raja Automobiles-Jayankondam</v>
          </cell>
          <cell r="G606" t="str">
            <v>Raja Automobiles-Jayankondam</v>
          </cell>
          <cell r="H606" t="str">
            <v>South</v>
          </cell>
        </row>
        <row r="607">
          <cell r="A607" t="str">
            <v>Ravi Auto Centre-Tirukoilur</v>
          </cell>
          <cell r="B607" t="str">
            <v>ASC</v>
          </cell>
          <cell r="C607" t="str">
            <v>ASCTamil Nadu</v>
          </cell>
          <cell r="D607" t="str">
            <v>ASC149</v>
          </cell>
          <cell r="E607" t="str">
            <v>ASCTamil Nadu76</v>
          </cell>
          <cell r="F607" t="str">
            <v>Ravi Auto Centre-Tirukoilur</v>
          </cell>
          <cell r="G607" t="str">
            <v>Ravi Auto Centre-Tirukoilur</v>
          </cell>
          <cell r="H607" t="str">
            <v>South</v>
          </cell>
        </row>
        <row r="608">
          <cell r="A608" t="str">
            <v>Rks Autos-Kangeyam</v>
          </cell>
          <cell r="B608" t="str">
            <v>ASC</v>
          </cell>
          <cell r="C608" t="str">
            <v>ASCTamil Nadu</v>
          </cell>
          <cell r="D608" t="str">
            <v>ASC150</v>
          </cell>
          <cell r="E608" t="str">
            <v>ASCTamil Nadu77</v>
          </cell>
          <cell r="F608" t="str">
            <v>Rks Autos-Kangeyam</v>
          </cell>
          <cell r="G608" t="str">
            <v>Rks Autos-Kangeyam</v>
          </cell>
          <cell r="H608" t="str">
            <v>South</v>
          </cell>
        </row>
        <row r="609">
          <cell r="A609" t="str">
            <v>Royal Motors-Ekkattuthangal</v>
          </cell>
          <cell r="B609" t="str">
            <v>ASC</v>
          </cell>
          <cell r="C609" t="str">
            <v>ASCTamil Nadu</v>
          </cell>
          <cell r="D609" t="str">
            <v>ASC151</v>
          </cell>
          <cell r="E609" t="str">
            <v>ASCTamil Nadu78</v>
          </cell>
          <cell r="F609" t="str">
            <v>Royal Motors-Ekkattuthangal</v>
          </cell>
          <cell r="G609" t="str">
            <v>Royal Motors-Ekkattuthangal</v>
          </cell>
          <cell r="H609" t="str">
            <v>South</v>
          </cell>
        </row>
        <row r="610">
          <cell r="A610" t="str">
            <v>S S Agencies-Mayladuthurai</v>
          </cell>
          <cell r="B610" t="str">
            <v>ASC</v>
          </cell>
          <cell r="C610" t="str">
            <v>ASCTamil Nadu</v>
          </cell>
          <cell r="D610" t="str">
            <v>ASC152</v>
          </cell>
          <cell r="E610" t="str">
            <v>ASCTamil Nadu79</v>
          </cell>
          <cell r="F610" t="str">
            <v>S S Agencies-Mayladuthurai</v>
          </cell>
          <cell r="G610" t="str">
            <v>S S Agencies-Mayladuthurai</v>
          </cell>
          <cell r="H610" t="str">
            <v>South</v>
          </cell>
        </row>
        <row r="611">
          <cell r="A611" t="str">
            <v>S T D Motors-Peravurani</v>
          </cell>
          <cell r="B611" t="str">
            <v>ASC</v>
          </cell>
          <cell r="C611" t="str">
            <v>ASCTamil Nadu</v>
          </cell>
          <cell r="D611" t="str">
            <v>ASC153</v>
          </cell>
          <cell r="E611" t="str">
            <v>ASCTamil Nadu80</v>
          </cell>
          <cell r="F611" t="str">
            <v>S T D Motors-Peravurani</v>
          </cell>
          <cell r="G611" t="str">
            <v>S T D Motors-Peravurani</v>
          </cell>
          <cell r="H611" t="str">
            <v>South</v>
          </cell>
        </row>
        <row r="612">
          <cell r="A612" t="str">
            <v>S.S.Automobiles-Royapet</v>
          </cell>
          <cell r="B612" t="str">
            <v>ASC</v>
          </cell>
          <cell r="C612" t="str">
            <v>ASCTamil Nadu</v>
          </cell>
          <cell r="D612" t="str">
            <v>ASC154</v>
          </cell>
          <cell r="E612" t="str">
            <v>ASCTamil Nadu81</v>
          </cell>
          <cell r="F612" t="str">
            <v>S.S.Automobiles-Royapet</v>
          </cell>
          <cell r="G612" t="str">
            <v>S.S.Automobiles-Royapet</v>
          </cell>
          <cell r="H612" t="str">
            <v>South</v>
          </cell>
        </row>
        <row r="613">
          <cell r="A613" t="str">
            <v>Sakthi Motors-Ashoknagar</v>
          </cell>
          <cell r="B613" t="str">
            <v>ASC</v>
          </cell>
          <cell r="C613" t="str">
            <v>ASCTamil Nadu</v>
          </cell>
          <cell r="D613" t="str">
            <v>ASC155</v>
          </cell>
          <cell r="E613" t="str">
            <v>ASCTamil Nadu82</v>
          </cell>
          <cell r="F613" t="str">
            <v>Sakthi Motors-Ashoknagar</v>
          </cell>
          <cell r="G613" t="str">
            <v>Sakthi Motors-Ashoknagar</v>
          </cell>
          <cell r="H613" t="str">
            <v>South</v>
          </cell>
        </row>
        <row r="614">
          <cell r="A614" t="str">
            <v>Sakthi Motors-Tirunelveli</v>
          </cell>
          <cell r="B614" t="str">
            <v>ASC</v>
          </cell>
          <cell r="C614" t="str">
            <v>ASCTamil Nadu</v>
          </cell>
          <cell r="D614" t="str">
            <v>ASC156</v>
          </cell>
          <cell r="E614" t="str">
            <v>ASCTamil Nadu83</v>
          </cell>
          <cell r="F614" t="str">
            <v>Sakthi Motors-Tirunelveli</v>
          </cell>
          <cell r="G614" t="str">
            <v>Sakthi Motors-Tirunelveli</v>
          </cell>
          <cell r="H614" t="str">
            <v>South</v>
          </cell>
        </row>
        <row r="615">
          <cell r="A615" t="str">
            <v>Sangeetha Motors-Ariyalur</v>
          </cell>
          <cell r="B615" t="str">
            <v>ASC</v>
          </cell>
          <cell r="C615" t="str">
            <v>ASCTamil Nadu</v>
          </cell>
          <cell r="D615" t="str">
            <v>ASC157</v>
          </cell>
          <cell r="E615" t="str">
            <v>ASCTamil Nadu84</v>
          </cell>
          <cell r="F615" t="str">
            <v>Sangeetha Motors-Ariyalur</v>
          </cell>
          <cell r="G615" t="str">
            <v>Sangeetha Motors-Ariyalur</v>
          </cell>
          <cell r="H615" t="str">
            <v>South</v>
          </cell>
        </row>
        <row r="616">
          <cell r="A616" t="str">
            <v>Sanjay Motors-Keeranur</v>
          </cell>
          <cell r="B616" t="str">
            <v>ASC</v>
          </cell>
          <cell r="C616" t="str">
            <v>ASCTamil Nadu</v>
          </cell>
          <cell r="D616" t="str">
            <v>ASC158</v>
          </cell>
          <cell r="E616" t="str">
            <v>ASCTamil Nadu85</v>
          </cell>
          <cell r="F616" t="str">
            <v>Sanjay Motors-Keeranur</v>
          </cell>
          <cell r="G616" t="str">
            <v>Sanjay Motors-Keeranur</v>
          </cell>
          <cell r="H616" t="str">
            <v>South</v>
          </cell>
        </row>
        <row r="617">
          <cell r="A617" t="str">
            <v>Sarrada Agencies-Tirumayam</v>
          </cell>
          <cell r="B617" t="str">
            <v>ASC</v>
          </cell>
          <cell r="C617" t="str">
            <v>ASCTamil Nadu</v>
          </cell>
          <cell r="D617" t="str">
            <v>ASC159</v>
          </cell>
          <cell r="E617" t="str">
            <v>ASCTamil Nadu86</v>
          </cell>
          <cell r="F617" t="str">
            <v>Sarrada Agencies-Tirumayam</v>
          </cell>
          <cell r="G617" t="str">
            <v>Sarrada Agencies-Tirumayam</v>
          </cell>
          <cell r="H617" t="str">
            <v>South</v>
          </cell>
        </row>
        <row r="618">
          <cell r="A618" t="str">
            <v>Selvam Motors-Palavanthangal</v>
          </cell>
          <cell r="B618" t="str">
            <v>ASC</v>
          </cell>
          <cell r="C618" t="str">
            <v>ASCTamil Nadu</v>
          </cell>
          <cell r="D618" t="str">
            <v>ASC160</v>
          </cell>
          <cell r="E618" t="str">
            <v>ASCTamil Nadu87</v>
          </cell>
          <cell r="F618" t="str">
            <v>Selvam Motors-Palavanthangal</v>
          </cell>
          <cell r="G618" t="str">
            <v>Selvam Motors-Palavanthangal</v>
          </cell>
          <cell r="H618" t="str">
            <v>South</v>
          </cell>
        </row>
        <row r="619">
          <cell r="A619" t="str">
            <v>Selvam-Muthur</v>
          </cell>
          <cell r="B619" t="str">
            <v>ASC</v>
          </cell>
          <cell r="C619" t="str">
            <v>ASCTamil Nadu</v>
          </cell>
          <cell r="D619" t="str">
            <v>ASC161</v>
          </cell>
          <cell r="E619" t="str">
            <v>ASCTamil Nadu88</v>
          </cell>
          <cell r="F619" t="str">
            <v>Selvam-Muthur</v>
          </cell>
          <cell r="G619" t="str">
            <v>Selvam-Muthur</v>
          </cell>
          <cell r="H619" t="str">
            <v>South</v>
          </cell>
        </row>
        <row r="620">
          <cell r="A620" t="str">
            <v>Shanmuga-Magudan Chavadi</v>
          </cell>
          <cell r="B620" t="str">
            <v>ASC</v>
          </cell>
          <cell r="C620" t="str">
            <v>ASCTamil Nadu</v>
          </cell>
          <cell r="D620" t="str">
            <v>ASC162</v>
          </cell>
          <cell r="E620" t="str">
            <v>ASCTamil Nadu89</v>
          </cell>
          <cell r="F620" t="str">
            <v>Shanmuga-Magudan Chavadi</v>
          </cell>
          <cell r="G620" t="str">
            <v>Shanmuga-Magudan Chavadi</v>
          </cell>
          <cell r="H620" t="str">
            <v>South</v>
          </cell>
        </row>
        <row r="621">
          <cell r="A621" t="str">
            <v>Shanthi-Kulithalai</v>
          </cell>
          <cell r="B621" t="str">
            <v>ASC</v>
          </cell>
          <cell r="C621" t="str">
            <v>ASCTamil Nadu</v>
          </cell>
          <cell r="D621" t="str">
            <v>ASC163</v>
          </cell>
          <cell r="E621" t="str">
            <v>ASCTamil Nadu90</v>
          </cell>
          <cell r="F621" t="str">
            <v>Shanthi-Kulithalai</v>
          </cell>
          <cell r="G621" t="str">
            <v>Shanthi-Kulithalai</v>
          </cell>
          <cell r="H621" t="str">
            <v>South</v>
          </cell>
        </row>
        <row r="622">
          <cell r="A622" t="str">
            <v>Shree Motors-Mannargudi</v>
          </cell>
          <cell r="B622" t="str">
            <v>ASC</v>
          </cell>
          <cell r="C622" t="str">
            <v>ASCTamil Nadu</v>
          </cell>
          <cell r="D622" t="str">
            <v>ASC164</v>
          </cell>
          <cell r="E622" t="str">
            <v>ASCTamil Nadu91</v>
          </cell>
          <cell r="F622" t="str">
            <v>Shree Motors-Mannargudi</v>
          </cell>
          <cell r="G622" t="str">
            <v>Shree Motors-Mannargudi</v>
          </cell>
          <cell r="H622" t="str">
            <v>South</v>
          </cell>
        </row>
        <row r="623">
          <cell r="A623" t="str">
            <v>Sinivasa Motors-Manamelgudi</v>
          </cell>
          <cell r="B623" t="str">
            <v>ASC</v>
          </cell>
          <cell r="C623" t="str">
            <v>ASCTamil Nadu</v>
          </cell>
          <cell r="D623" t="str">
            <v>ASC165</v>
          </cell>
          <cell r="E623" t="str">
            <v>ASCTamil Nadu92</v>
          </cell>
          <cell r="F623" t="str">
            <v>Sinivasa Motors-Manamelgudi</v>
          </cell>
          <cell r="G623" t="str">
            <v>Sinivasa Motors-Manamelgudi</v>
          </cell>
          <cell r="H623" t="str">
            <v>South</v>
          </cell>
        </row>
        <row r="624">
          <cell r="A624" t="str">
            <v>Sivan Auto-Sankarankoil</v>
          </cell>
          <cell r="B624" t="str">
            <v>ASC</v>
          </cell>
          <cell r="C624" t="str">
            <v>ASCTamil Nadu</v>
          </cell>
          <cell r="D624" t="str">
            <v>ASC166</v>
          </cell>
          <cell r="E624" t="str">
            <v>ASCTamil Nadu93</v>
          </cell>
          <cell r="F624" t="str">
            <v>Sivan Auto-Sankarankoil</v>
          </cell>
          <cell r="G624" t="str">
            <v>Sivan Auto-Sankarankoil</v>
          </cell>
          <cell r="H624" t="str">
            <v>South</v>
          </cell>
        </row>
        <row r="625">
          <cell r="A625" t="str">
            <v>Sneha Auto-Ilayankudi</v>
          </cell>
          <cell r="B625" t="str">
            <v>ASC</v>
          </cell>
          <cell r="C625" t="str">
            <v>ASCTamil Nadu</v>
          </cell>
          <cell r="D625" t="str">
            <v>ASC167</v>
          </cell>
          <cell r="E625" t="str">
            <v>ASCTamil Nadu94</v>
          </cell>
          <cell r="F625" t="str">
            <v>Sneha Auto-Ilayankudi</v>
          </cell>
          <cell r="G625" t="str">
            <v>Sneha Auto-Ilayankudi</v>
          </cell>
          <cell r="H625" t="str">
            <v>South</v>
          </cell>
        </row>
        <row r="626">
          <cell r="A626" t="str">
            <v>Sree Ram Motors-Sathur</v>
          </cell>
          <cell r="B626" t="str">
            <v>ASC</v>
          </cell>
          <cell r="C626" t="str">
            <v>ASCTamil Nadu</v>
          </cell>
          <cell r="D626" t="str">
            <v>ASC168</v>
          </cell>
          <cell r="E626" t="str">
            <v>ASCTamil Nadu95</v>
          </cell>
          <cell r="F626" t="str">
            <v>Sree Ram Motors-Sathur</v>
          </cell>
          <cell r="G626" t="str">
            <v>Sree Ram Motors-Sathur</v>
          </cell>
          <cell r="H626" t="str">
            <v>South</v>
          </cell>
        </row>
        <row r="627">
          <cell r="A627" t="str">
            <v>Sri Balaji Auto-Chittar</v>
          </cell>
          <cell r="B627" t="str">
            <v>ASC</v>
          </cell>
          <cell r="C627" t="str">
            <v>ASCTamil Nadu</v>
          </cell>
          <cell r="D627" t="str">
            <v>ASC169</v>
          </cell>
          <cell r="E627" t="str">
            <v>ASCTamil Nadu96</v>
          </cell>
          <cell r="F627" t="str">
            <v>Sri Balaji Auto-Chittar</v>
          </cell>
          <cell r="G627" t="str">
            <v>Sri Balaji Auto-Chittar</v>
          </cell>
          <cell r="H627" t="str">
            <v>South</v>
          </cell>
        </row>
        <row r="628">
          <cell r="A628" t="str">
            <v>Sri Balamurugan Service Centre -Tirupattur</v>
          </cell>
          <cell r="B628" t="str">
            <v>ASC</v>
          </cell>
          <cell r="C628" t="str">
            <v>ASCTamil Nadu</v>
          </cell>
          <cell r="D628" t="str">
            <v>ASC170</v>
          </cell>
          <cell r="E628" t="str">
            <v>ASCTamil Nadu97</v>
          </cell>
          <cell r="F628" t="str">
            <v>Sri Balamurugan Service Centre -Tirupattur</v>
          </cell>
          <cell r="G628" t="str">
            <v>Sri Balamurugan Service Centre -Tirupattur</v>
          </cell>
          <cell r="H628" t="str">
            <v>South</v>
          </cell>
        </row>
        <row r="629">
          <cell r="A629" t="str">
            <v>Sri Durga Auto-Chidambaram</v>
          </cell>
          <cell r="B629" t="str">
            <v>ASC</v>
          </cell>
          <cell r="C629" t="str">
            <v>ASCTamil Nadu</v>
          </cell>
          <cell r="D629" t="str">
            <v>ASC171</v>
          </cell>
          <cell r="E629" t="str">
            <v>ASCTamil Nadu98</v>
          </cell>
          <cell r="F629" t="str">
            <v>Sri Durga Auto-Chidambaram</v>
          </cell>
          <cell r="G629" t="str">
            <v>Sri Durga Auto-Chidambaram</v>
          </cell>
          <cell r="H629" t="str">
            <v>South</v>
          </cell>
        </row>
        <row r="630">
          <cell r="A630" t="str">
            <v>Sri Krishna Auto-Vridhachalam</v>
          </cell>
          <cell r="B630" t="str">
            <v>ASC</v>
          </cell>
          <cell r="C630" t="str">
            <v>ASCTamil Nadu</v>
          </cell>
          <cell r="D630" t="str">
            <v>ASC172</v>
          </cell>
          <cell r="E630" t="str">
            <v>ASCTamil Nadu99</v>
          </cell>
          <cell r="F630" t="str">
            <v>Sri Krishna Auto-Vridhachalam</v>
          </cell>
          <cell r="G630" t="str">
            <v>Sri Krishna Auto-Vridhachalam</v>
          </cell>
          <cell r="H630" t="str">
            <v>South</v>
          </cell>
        </row>
        <row r="631">
          <cell r="A631" t="str">
            <v>Sri Lakshmi -Padi</v>
          </cell>
          <cell r="B631" t="str">
            <v>ASC</v>
          </cell>
          <cell r="C631" t="str">
            <v>ASCTamil Nadu</v>
          </cell>
          <cell r="D631" t="str">
            <v>ASC173</v>
          </cell>
          <cell r="E631" t="str">
            <v>ASCTamil Nadu100</v>
          </cell>
          <cell r="F631" t="str">
            <v>Sri Lakshmi -Padi</v>
          </cell>
          <cell r="G631" t="str">
            <v>Sri Lakshmi -Padi</v>
          </cell>
          <cell r="H631" t="str">
            <v>South</v>
          </cell>
        </row>
        <row r="632">
          <cell r="A632" t="str">
            <v>Sri Meenakshi Motors-Gummidipoondi</v>
          </cell>
          <cell r="B632" t="str">
            <v>ASC</v>
          </cell>
          <cell r="C632" t="str">
            <v>ASCTamil Nadu</v>
          </cell>
          <cell r="D632" t="str">
            <v>ASC174</v>
          </cell>
          <cell r="E632" t="str">
            <v>ASCTamil Nadu101</v>
          </cell>
          <cell r="F632" t="str">
            <v>Sri Meenakshi Motors-Gummidipoondi</v>
          </cell>
          <cell r="G632" t="str">
            <v>Sri Meenakshi Motors-Gummidipoondi</v>
          </cell>
          <cell r="H632" t="str">
            <v>South</v>
          </cell>
        </row>
        <row r="633">
          <cell r="A633" t="str">
            <v>Sri Meenakshi -Valasaravakkam</v>
          </cell>
          <cell r="B633" t="str">
            <v>ASC</v>
          </cell>
          <cell r="C633" t="str">
            <v>ASCTamil Nadu</v>
          </cell>
          <cell r="D633" t="str">
            <v>ASC175</v>
          </cell>
          <cell r="E633" t="str">
            <v>ASCTamil Nadu102</v>
          </cell>
          <cell r="F633" t="str">
            <v>Sri Meenakshi -Valasaravakkam</v>
          </cell>
          <cell r="G633" t="str">
            <v>Sri Meenakshi -Valasaravakkam</v>
          </cell>
          <cell r="H633" t="str">
            <v>South</v>
          </cell>
        </row>
        <row r="634">
          <cell r="A634" t="str">
            <v>Sri Ram Automobiles-R.K.Pet</v>
          </cell>
          <cell r="B634" t="str">
            <v>ASC</v>
          </cell>
          <cell r="C634" t="str">
            <v>ASCTamil Nadu</v>
          </cell>
          <cell r="D634" t="str">
            <v>ASC176</v>
          </cell>
          <cell r="E634" t="str">
            <v>ASCTamil Nadu103</v>
          </cell>
          <cell r="F634" t="str">
            <v>Sri Ram Automobiles-R.K.Pet</v>
          </cell>
          <cell r="G634" t="str">
            <v>Sri Ram Automobiles-R.K.Pet</v>
          </cell>
          <cell r="H634" t="str">
            <v>South</v>
          </cell>
        </row>
        <row r="635">
          <cell r="A635" t="str">
            <v>Sri Varasithi Vinayagar Agns.-Chengam</v>
          </cell>
          <cell r="B635" t="str">
            <v>ASC</v>
          </cell>
          <cell r="C635" t="str">
            <v>ASCTamil Nadu</v>
          </cell>
          <cell r="D635" t="str">
            <v>ASC177</v>
          </cell>
          <cell r="E635" t="str">
            <v>ASCTamil Nadu104</v>
          </cell>
          <cell r="F635" t="str">
            <v>Sri Varasithi Vinayagar Agns.-Chengam</v>
          </cell>
          <cell r="G635" t="str">
            <v>Sri Varasithi Vinayagar Agns.-Chengam</v>
          </cell>
          <cell r="H635" t="str">
            <v>South</v>
          </cell>
        </row>
        <row r="636">
          <cell r="A636" t="str">
            <v>Srinivasa Motors-Sethiathope</v>
          </cell>
          <cell r="B636" t="str">
            <v>ASC</v>
          </cell>
          <cell r="C636" t="str">
            <v>ASCTamil Nadu</v>
          </cell>
          <cell r="D636" t="str">
            <v>ASC178</v>
          </cell>
          <cell r="E636" t="str">
            <v>ASCTamil Nadu105</v>
          </cell>
          <cell r="F636" t="str">
            <v>Srinivasa Motors-Sethiathope</v>
          </cell>
          <cell r="G636" t="str">
            <v>Srinivasa Motors-Sethiathope</v>
          </cell>
          <cell r="H636" t="str">
            <v>South</v>
          </cell>
        </row>
        <row r="637">
          <cell r="A637" t="str">
            <v>Star Suzuki Point-Kalpakkam</v>
          </cell>
          <cell r="B637" t="str">
            <v>ASC</v>
          </cell>
          <cell r="C637" t="str">
            <v>ASCTamil Nadu</v>
          </cell>
          <cell r="D637" t="str">
            <v>ASC179</v>
          </cell>
          <cell r="E637" t="str">
            <v>ASCTamil Nadu106</v>
          </cell>
          <cell r="F637" t="str">
            <v>Star Suzuki Point-Kalpakkam</v>
          </cell>
          <cell r="G637" t="str">
            <v>Star Suzuki Point-Kalpakkam</v>
          </cell>
          <cell r="H637" t="str">
            <v>South</v>
          </cell>
        </row>
        <row r="638">
          <cell r="A638" t="str">
            <v>Sts Auto-Alankulam</v>
          </cell>
          <cell r="B638" t="str">
            <v>ASC</v>
          </cell>
          <cell r="C638" t="str">
            <v>ASCTamil Nadu</v>
          </cell>
          <cell r="D638" t="str">
            <v>ASC180</v>
          </cell>
          <cell r="E638" t="str">
            <v>ASCTamil Nadu107</v>
          </cell>
          <cell r="F638" t="str">
            <v>Sts Auto-Alankulam</v>
          </cell>
          <cell r="G638" t="str">
            <v>Sts Auto-Alankulam</v>
          </cell>
          <cell r="H638" t="str">
            <v>South</v>
          </cell>
        </row>
        <row r="639">
          <cell r="A639" t="str">
            <v>Subalakshmi-Sundara Pondipatnam</v>
          </cell>
          <cell r="B639" t="str">
            <v>ASC</v>
          </cell>
          <cell r="C639" t="str">
            <v>ASCTamil Nadu</v>
          </cell>
          <cell r="D639" t="str">
            <v>ASC181</v>
          </cell>
          <cell r="E639" t="str">
            <v>ASCTamil Nadu108</v>
          </cell>
          <cell r="F639" t="str">
            <v>Subalakshmi-Sundara Pondipatnam</v>
          </cell>
          <cell r="G639" t="str">
            <v>Subalakshmi-Sundara Pondipatnam</v>
          </cell>
          <cell r="H639" t="str">
            <v>South</v>
          </cell>
        </row>
        <row r="640">
          <cell r="A640" t="str">
            <v>Sudha Agencies-Ulundurpet</v>
          </cell>
          <cell r="B640" t="str">
            <v>ASC</v>
          </cell>
          <cell r="C640" t="str">
            <v>ASCTamil Nadu</v>
          </cell>
          <cell r="D640" t="str">
            <v>ASC182</v>
          </cell>
          <cell r="E640" t="str">
            <v>ASCTamil Nadu109</v>
          </cell>
          <cell r="F640" t="str">
            <v>Sudha Agencies-Ulundurpet</v>
          </cell>
          <cell r="G640" t="str">
            <v>Sudha Agencies-Ulundurpet</v>
          </cell>
          <cell r="H640" t="str">
            <v>South</v>
          </cell>
        </row>
        <row r="641">
          <cell r="A641" t="str">
            <v>Sudha Motors-Tambaram</v>
          </cell>
          <cell r="B641" t="str">
            <v>ASC</v>
          </cell>
          <cell r="C641" t="str">
            <v>ASCTamil Nadu</v>
          </cell>
          <cell r="D641" t="str">
            <v>ASC183</v>
          </cell>
          <cell r="E641" t="str">
            <v>ASCTamil Nadu110</v>
          </cell>
          <cell r="F641" t="str">
            <v>Sudha Motors-Tambaram</v>
          </cell>
          <cell r="G641" t="str">
            <v>Sudha Motors-Tambaram</v>
          </cell>
          <cell r="H641" t="str">
            <v>South</v>
          </cell>
        </row>
        <row r="642">
          <cell r="A642" t="str">
            <v>Sun Motors-Ponnamaravathi</v>
          </cell>
          <cell r="B642" t="str">
            <v>ASC</v>
          </cell>
          <cell r="C642" t="str">
            <v>ASCTamil Nadu</v>
          </cell>
          <cell r="D642" t="str">
            <v>ASC184</v>
          </cell>
          <cell r="E642" t="str">
            <v>ASCTamil Nadu111</v>
          </cell>
          <cell r="F642" t="str">
            <v>Sun Motors-Ponnamaravathi</v>
          </cell>
          <cell r="G642" t="str">
            <v>Sun Motors-Ponnamaravathi</v>
          </cell>
          <cell r="H642" t="str">
            <v>South</v>
          </cell>
        </row>
        <row r="643">
          <cell r="A643" t="str">
            <v>Swamy Agency-Pettavaithalai</v>
          </cell>
          <cell r="B643" t="str">
            <v>ASC</v>
          </cell>
          <cell r="C643" t="str">
            <v>ASCTamil Nadu</v>
          </cell>
          <cell r="D643" t="str">
            <v>ASC185</v>
          </cell>
          <cell r="E643" t="str">
            <v>ASCTamil Nadu112</v>
          </cell>
          <cell r="F643" t="str">
            <v>Swamy Agency-Pettavaithalai</v>
          </cell>
          <cell r="G643" t="str">
            <v>Swamy Agency-Pettavaithalai</v>
          </cell>
          <cell r="H643" t="str">
            <v>South</v>
          </cell>
        </row>
        <row r="644">
          <cell r="A644" t="str">
            <v>Swathi Motors-Minjur</v>
          </cell>
          <cell r="B644" t="str">
            <v>ASC</v>
          </cell>
          <cell r="C644" t="str">
            <v>ASCTamil Nadu</v>
          </cell>
          <cell r="D644" t="str">
            <v>ASC186</v>
          </cell>
          <cell r="E644" t="str">
            <v>ASCTamil Nadu113</v>
          </cell>
          <cell r="F644" t="str">
            <v>Swathi Motors-Minjur</v>
          </cell>
          <cell r="G644" t="str">
            <v>Swathi Motors-Minjur</v>
          </cell>
          <cell r="H644" t="str">
            <v>South</v>
          </cell>
        </row>
        <row r="645">
          <cell r="A645" t="str">
            <v>Swetha Enterprises-Ambur</v>
          </cell>
          <cell r="B645" t="str">
            <v>ASC</v>
          </cell>
          <cell r="C645" t="str">
            <v>ASCTamil Nadu</v>
          </cell>
          <cell r="D645" t="str">
            <v>ASC187</v>
          </cell>
          <cell r="E645" t="str">
            <v>ASCTamil Nadu114</v>
          </cell>
          <cell r="F645" t="str">
            <v>Swetha Enterprises-Ambur</v>
          </cell>
          <cell r="G645" t="str">
            <v>Swetha Enterprises-Ambur</v>
          </cell>
          <cell r="H645" t="str">
            <v>South</v>
          </cell>
        </row>
        <row r="646">
          <cell r="A646" t="str">
            <v>Swetha Enterprises-Arni</v>
          </cell>
          <cell r="B646" t="str">
            <v>ASC</v>
          </cell>
          <cell r="C646" t="str">
            <v>ASCTamil Nadu</v>
          </cell>
          <cell r="D646" t="str">
            <v>ASC188</v>
          </cell>
          <cell r="E646" t="str">
            <v>ASCTamil Nadu115</v>
          </cell>
          <cell r="F646" t="str">
            <v>Swetha Enterprises-Arni</v>
          </cell>
          <cell r="G646" t="str">
            <v>Swetha Enterprises-Arni</v>
          </cell>
          <cell r="H646" t="str">
            <v>South</v>
          </cell>
        </row>
        <row r="647">
          <cell r="A647" t="str">
            <v>Swetha Enterprises-Ranipet</v>
          </cell>
          <cell r="B647" t="str">
            <v>ASC</v>
          </cell>
          <cell r="C647" t="str">
            <v>ASCTamil Nadu</v>
          </cell>
          <cell r="D647" t="str">
            <v>ASC189</v>
          </cell>
          <cell r="E647" t="str">
            <v>ASCTamil Nadu116</v>
          </cell>
          <cell r="F647" t="str">
            <v>Swetha Enterprises-Ranipet</v>
          </cell>
          <cell r="G647" t="str">
            <v>Swetha Enterprises-Ranipet</v>
          </cell>
          <cell r="H647" t="str">
            <v>South</v>
          </cell>
        </row>
        <row r="648">
          <cell r="A648" t="str">
            <v>Swetha Enterprises-Vaniambadi</v>
          </cell>
          <cell r="B648" t="str">
            <v>ASC</v>
          </cell>
          <cell r="C648" t="str">
            <v>ASCTamil Nadu</v>
          </cell>
          <cell r="D648" t="str">
            <v>ASC190</v>
          </cell>
          <cell r="E648" t="str">
            <v>ASCTamil Nadu117</v>
          </cell>
          <cell r="F648" t="str">
            <v>Swetha Enterprises-Vaniambadi</v>
          </cell>
          <cell r="G648" t="str">
            <v>Swetha Enterprises-Vaniambadi</v>
          </cell>
          <cell r="H648" t="str">
            <v>South</v>
          </cell>
        </row>
        <row r="649">
          <cell r="A649" t="str">
            <v>Swetha-Arakkonam</v>
          </cell>
          <cell r="B649" t="str">
            <v>ASC</v>
          </cell>
          <cell r="C649" t="str">
            <v>ASCTamil Nadu</v>
          </cell>
          <cell r="D649" t="str">
            <v>ASC191</v>
          </cell>
          <cell r="E649" t="str">
            <v>ASCTamil Nadu118</v>
          </cell>
          <cell r="F649" t="str">
            <v>Swetha-Arakkonam</v>
          </cell>
          <cell r="G649" t="str">
            <v>Swetha-Arakkonam</v>
          </cell>
          <cell r="H649" t="str">
            <v>South</v>
          </cell>
        </row>
        <row r="650">
          <cell r="A650" t="str">
            <v>Tamilan Agencies-Guruvarddiyur</v>
          </cell>
          <cell r="B650" t="str">
            <v>ASC</v>
          </cell>
          <cell r="C650" t="str">
            <v>ASCTamil Nadu</v>
          </cell>
          <cell r="D650" t="str">
            <v>ASC192</v>
          </cell>
          <cell r="E650" t="str">
            <v>ASCTamil Nadu119</v>
          </cell>
          <cell r="F650" t="str">
            <v>Tamilan Agencies-Guruvarddiyur</v>
          </cell>
          <cell r="G650" t="str">
            <v>Tamilan Agencies-Guruvarddiyur</v>
          </cell>
          <cell r="H650" t="str">
            <v>South</v>
          </cell>
        </row>
        <row r="651">
          <cell r="A651" t="str">
            <v>Udayapriya Agencies-Tirukkanur</v>
          </cell>
          <cell r="B651" t="str">
            <v>ASC</v>
          </cell>
          <cell r="C651" t="str">
            <v>ASCTamil Nadu</v>
          </cell>
          <cell r="D651" t="str">
            <v>ASC193</v>
          </cell>
          <cell r="E651" t="str">
            <v>ASCTamil Nadu120</v>
          </cell>
          <cell r="F651" t="str">
            <v>Udayapriya Agencies-Tirukkanur</v>
          </cell>
          <cell r="G651" t="str">
            <v>Udayapriya Agencies-Tirukkanur</v>
          </cell>
          <cell r="H651" t="str">
            <v>South</v>
          </cell>
        </row>
        <row r="652">
          <cell r="A652" t="str">
            <v>United Motors-Nandanam</v>
          </cell>
          <cell r="B652" t="str">
            <v>ASC</v>
          </cell>
          <cell r="C652" t="str">
            <v>ASCTamil Nadu</v>
          </cell>
          <cell r="D652" t="str">
            <v>ASC194</v>
          </cell>
          <cell r="E652" t="str">
            <v>ASCTamil Nadu121</v>
          </cell>
          <cell r="F652" t="str">
            <v>United Motors-Nandanam</v>
          </cell>
          <cell r="G652" t="str">
            <v>United Motors-Nandanam</v>
          </cell>
          <cell r="H652" t="str">
            <v>South</v>
          </cell>
        </row>
        <row r="653">
          <cell r="A653" t="str">
            <v>V.G-Indiranagar</v>
          </cell>
          <cell r="B653" t="str">
            <v>ASC</v>
          </cell>
          <cell r="C653" t="str">
            <v>ASCTamil Nadu</v>
          </cell>
          <cell r="D653" t="str">
            <v>ASC195</v>
          </cell>
          <cell r="E653" t="str">
            <v>ASCTamil Nadu122</v>
          </cell>
          <cell r="F653" t="str">
            <v>V.G-Indiranagar</v>
          </cell>
          <cell r="G653" t="str">
            <v>V.G-Indiranagar</v>
          </cell>
          <cell r="H653" t="str">
            <v>South</v>
          </cell>
        </row>
        <row r="654">
          <cell r="A654" t="str">
            <v>V.M.T.Wheels-Pattukkottai</v>
          </cell>
          <cell r="B654" t="str">
            <v>ASC</v>
          </cell>
          <cell r="C654" t="str">
            <v>ASCTamil Nadu</v>
          </cell>
          <cell r="D654" t="str">
            <v>ASC196</v>
          </cell>
          <cell r="E654" t="str">
            <v>ASCTamil Nadu123</v>
          </cell>
          <cell r="F654" t="str">
            <v>V.M.T.Wheels-Pattukkottai</v>
          </cell>
          <cell r="G654" t="str">
            <v>V.M.T.Wheels-Pattukkottai</v>
          </cell>
          <cell r="H654" t="str">
            <v>South</v>
          </cell>
        </row>
        <row r="655">
          <cell r="A655" t="str">
            <v>V.N.Auto-Orathanad</v>
          </cell>
          <cell r="B655" t="str">
            <v>ASC</v>
          </cell>
          <cell r="C655" t="str">
            <v>ASCTamil Nadu</v>
          </cell>
          <cell r="D655" t="str">
            <v>ASC197</v>
          </cell>
          <cell r="E655" t="str">
            <v>ASCTamil Nadu124</v>
          </cell>
          <cell r="F655" t="str">
            <v>V.N.Auto-Orathanad</v>
          </cell>
          <cell r="G655" t="str">
            <v>V.N.Auto-Orathanad</v>
          </cell>
          <cell r="H655" t="str">
            <v>South</v>
          </cell>
        </row>
        <row r="656">
          <cell r="A656" t="str">
            <v>Vasu Auto-Valliyur</v>
          </cell>
          <cell r="B656" t="str">
            <v>ASC</v>
          </cell>
          <cell r="C656" t="str">
            <v>ASCTamil Nadu</v>
          </cell>
          <cell r="D656" t="str">
            <v>ASC198</v>
          </cell>
          <cell r="E656" t="str">
            <v>ASCTamil Nadu125</v>
          </cell>
          <cell r="F656" t="str">
            <v>Vasu Auto-Valliyur</v>
          </cell>
          <cell r="G656" t="str">
            <v>Vasu Auto-Valliyur</v>
          </cell>
          <cell r="H656" t="str">
            <v>South</v>
          </cell>
        </row>
        <row r="657">
          <cell r="A657" t="str">
            <v>Venkari Amman Auto-Coimbatore</v>
          </cell>
          <cell r="B657" t="str">
            <v>ASC</v>
          </cell>
          <cell r="C657" t="str">
            <v>ASCTamil Nadu</v>
          </cell>
          <cell r="D657" t="str">
            <v>ASC199</v>
          </cell>
          <cell r="E657" t="str">
            <v>ASCTamil Nadu126</v>
          </cell>
          <cell r="F657" t="str">
            <v>Venkari Amman Auto-Coimbatore</v>
          </cell>
          <cell r="G657" t="str">
            <v>Venkari Amman Auto-Coimbatore</v>
          </cell>
          <cell r="H657" t="str">
            <v>South</v>
          </cell>
        </row>
        <row r="658">
          <cell r="A658" t="str">
            <v>Venkatachalam Agency-K Patti</v>
          </cell>
          <cell r="B658" t="str">
            <v>ASC</v>
          </cell>
          <cell r="C658" t="str">
            <v>ASCTamil Nadu</v>
          </cell>
          <cell r="D658" t="str">
            <v>ASC200</v>
          </cell>
          <cell r="E658" t="str">
            <v>ASCTamil Nadu127</v>
          </cell>
          <cell r="F658" t="str">
            <v>Venkatachalam Agency-K Patti</v>
          </cell>
          <cell r="G658" t="str">
            <v>Venkatachalam Agency-K Patti</v>
          </cell>
          <cell r="H658" t="str">
            <v>South</v>
          </cell>
        </row>
        <row r="659">
          <cell r="A659" t="str">
            <v>Venkateseara-Rasipuram</v>
          </cell>
          <cell r="B659" t="str">
            <v>ASC</v>
          </cell>
          <cell r="C659" t="str">
            <v>ASCTamil Nadu</v>
          </cell>
          <cell r="D659" t="str">
            <v>ASC201</v>
          </cell>
          <cell r="E659" t="str">
            <v>ASCTamil Nadu128</v>
          </cell>
          <cell r="F659" t="str">
            <v>Venkateseara-Rasipuram</v>
          </cell>
          <cell r="G659" t="str">
            <v>Venkateseara-Rasipuram</v>
          </cell>
          <cell r="H659" t="str">
            <v>South</v>
          </cell>
        </row>
        <row r="660">
          <cell r="A660" t="str">
            <v>Venkateshwar Autos-Kinathukadavu</v>
          </cell>
          <cell r="B660" t="str">
            <v>ASC</v>
          </cell>
          <cell r="C660" t="str">
            <v>ASCTamil Nadu</v>
          </cell>
          <cell r="D660" t="str">
            <v>ASC202</v>
          </cell>
          <cell r="E660" t="str">
            <v>ASCTamil Nadu129</v>
          </cell>
          <cell r="F660" t="str">
            <v>Venkateshwar Autos-Kinathukadavu</v>
          </cell>
          <cell r="G660" t="str">
            <v>Venkateshwar Autos-Kinathukadavu</v>
          </cell>
          <cell r="H660" t="str">
            <v>South</v>
          </cell>
        </row>
        <row r="661">
          <cell r="A661" t="str">
            <v>Venkateshwar Motors-Vadavalli</v>
          </cell>
          <cell r="B661" t="str">
            <v>ASC</v>
          </cell>
          <cell r="C661" t="str">
            <v>ASCTamil Nadu</v>
          </cell>
          <cell r="D661" t="str">
            <v>ASC203</v>
          </cell>
          <cell r="E661" t="str">
            <v>ASCTamil Nadu130</v>
          </cell>
          <cell r="F661" t="str">
            <v>Venkateshwar Motors-Vadavalli</v>
          </cell>
          <cell r="G661" t="str">
            <v>Venkateshwar Motors-Vadavalli</v>
          </cell>
          <cell r="H661" t="str">
            <v>South</v>
          </cell>
        </row>
        <row r="662">
          <cell r="A662" t="str">
            <v>Venus-Thirumangalam,Madurai</v>
          </cell>
          <cell r="B662" t="str">
            <v>ASC</v>
          </cell>
          <cell r="C662" t="str">
            <v>ASCTamil Nadu</v>
          </cell>
          <cell r="D662" t="str">
            <v>ASC204</v>
          </cell>
          <cell r="E662" t="str">
            <v>ASCTamil Nadu131</v>
          </cell>
          <cell r="F662" t="str">
            <v>Venus-Thirumangalam,Madurai</v>
          </cell>
          <cell r="G662" t="str">
            <v>Venus-Thirumangalam,Madurai</v>
          </cell>
          <cell r="H662" t="str">
            <v>South</v>
          </cell>
        </row>
        <row r="663">
          <cell r="A663" t="str">
            <v>Vetri Autos-Tharamangalam</v>
          </cell>
          <cell r="B663" t="str">
            <v>ASC</v>
          </cell>
          <cell r="C663" t="str">
            <v>ASCTamil Nadu</v>
          </cell>
          <cell r="D663" t="str">
            <v>ASC205</v>
          </cell>
          <cell r="E663" t="str">
            <v>ASCTamil Nadu132</v>
          </cell>
          <cell r="F663" t="str">
            <v>Vetri Autos-Tharamangalam</v>
          </cell>
          <cell r="G663" t="str">
            <v>Vetri Autos-Tharamangalam</v>
          </cell>
          <cell r="H663" t="str">
            <v>South</v>
          </cell>
        </row>
        <row r="664">
          <cell r="A664" t="str">
            <v>Victor Agency -Modhampatti</v>
          </cell>
          <cell r="B664" t="str">
            <v>ASC</v>
          </cell>
          <cell r="C664" t="str">
            <v>ASCTamil Nadu</v>
          </cell>
          <cell r="D664" t="str">
            <v>ASC206</v>
          </cell>
          <cell r="E664" t="str">
            <v>ASCTamil Nadu133</v>
          </cell>
          <cell r="F664" t="str">
            <v>Victor Agency -Modhampatti</v>
          </cell>
          <cell r="G664" t="str">
            <v>Victor Agency -Modhampatti</v>
          </cell>
          <cell r="H664" t="str">
            <v>South</v>
          </cell>
        </row>
        <row r="665">
          <cell r="A665" t="str">
            <v>Vignesh Auto-Tirupatur</v>
          </cell>
          <cell r="B665" t="str">
            <v>ASC</v>
          </cell>
          <cell r="C665" t="str">
            <v>ASCTamil Nadu</v>
          </cell>
          <cell r="D665" t="str">
            <v>ASC207</v>
          </cell>
          <cell r="E665" t="str">
            <v>ASCTamil Nadu134</v>
          </cell>
          <cell r="F665" t="str">
            <v>Vignesh Auto-Tirupatur</v>
          </cell>
          <cell r="G665" t="str">
            <v>Vignesh Auto-Tirupatur</v>
          </cell>
          <cell r="H665" t="str">
            <v>South</v>
          </cell>
        </row>
        <row r="666">
          <cell r="A666" t="str">
            <v>Vignesh Motors-Rajakilpakkam</v>
          </cell>
          <cell r="B666" t="str">
            <v>ASC</v>
          </cell>
          <cell r="C666" t="str">
            <v>ASCTamil Nadu</v>
          </cell>
          <cell r="D666" t="str">
            <v>ASC208</v>
          </cell>
          <cell r="E666" t="str">
            <v>ASCTamil Nadu135</v>
          </cell>
          <cell r="F666" t="str">
            <v>Vignesh Motors-Rajakilpakkam</v>
          </cell>
          <cell r="G666" t="str">
            <v>Vignesh Motors-Rajakilpakkam</v>
          </cell>
          <cell r="H666" t="str">
            <v>South</v>
          </cell>
        </row>
        <row r="667">
          <cell r="A667" t="str">
            <v>Vigneshwara-Cumbam</v>
          </cell>
          <cell r="B667" t="str">
            <v>ASC</v>
          </cell>
          <cell r="C667" t="str">
            <v>ASCTamil Nadu</v>
          </cell>
          <cell r="D667" t="str">
            <v>ASC209</v>
          </cell>
          <cell r="E667" t="str">
            <v>ASCTamil Nadu136</v>
          </cell>
          <cell r="F667" t="str">
            <v>Vigneshwara-Cumbam</v>
          </cell>
          <cell r="G667" t="str">
            <v>Vigneshwara-Cumbam</v>
          </cell>
          <cell r="H667" t="str">
            <v>South</v>
          </cell>
        </row>
        <row r="668">
          <cell r="A668" t="str">
            <v>Vijai Motors-Avadi</v>
          </cell>
          <cell r="B668" t="str">
            <v>ASC</v>
          </cell>
          <cell r="C668" t="str">
            <v>ASCTamil Nadu</v>
          </cell>
          <cell r="D668" t="str">
            <v>ASC210</v>
          </cell>
          <cell r="E668" t="str">
            <v>ASCTamil Nadu137</v>
          </cell>
          <cell r="F668" t="str">
            <v>Vijai Motors-Avadi</v>
          </cell>
          <cell r="G668" t="str">
            <v>Vijai Motors-Avadi</v>
          </cell>
          <cell r="H668" t="str">
            <v>South</v>
          </cell>
        </row>
        <row r="669">
          <cell r="A669" t="str">
            <v>Vijay Motors-Desayanvilai</v>
          </cell>
          <cell r="B669" t="str">
            <v>ASC</v>
          </cell>
          <cell r="C669" t="str">
            <v>ASCTamil Nadu</v>
          </cell>
          <cell r="D669" t="str">
            <v>ASC211</v>
          </cell>
          <cell r="E669" t="str">
            <v>ASCTamil Nadu138</v>
          </cell>
          <cell r="F669" t="str">
            <v>Vijay Motors-Desayanvilai</v>
          </cell>
          <cell r="G669" t="str">
            <v>Vijay Motors-Desayanvilai</v>
          </cell>
          <cell r="H669" t="str">
            <v>South</v>
          </cell>
        </row>
        <row r="670">
          <cell r="A670" t="str">
            <v>Vijayalakshmi-Velayuthampalayam</v>
          </cell>
          <cell r="B670" t="str">
            <v>ASC</v>
          </cell>
          <cell r="C670" t="str">
            <v>ASCTamil Nadu</v>
          </cell>
          <cell r="D670" t="str">
            <v>ASC212</v>
          </cell>
          <cell r="E670" t="str">
            <v>ASCTamil Nadu139</v>
          </cell>
          <cell r="F670" t="str">
            <v>Vijayalakshmi-Velayuthampalayam</v>
          </cell>
          <cell r="G670" t="str">
            <v>Vijayalakshmi-Velayuthampalayam</v>
          </cell>
          <cell r="H670" t="str">
            <v>South</v>
          </cell>
        </row>
        <row r="671">
          <cell r="A671" t="str">
            <v>Viswam &amp; Co -Sankari</v>
          </cell>
          <cell r="B671" t="str">
            <v>ASC</v>
          </cell>
          <cell r="C671" t="str">
            <v>ASCTamil Nadu</v>
          </cell>
          <cell r="D671" t="str">
            <v>ASC213</v>
          </cell>
          <cell r="E671" t="str">
            <v>ASCTamil Nadu140</v>
          </cell>
          <cell r="F671" t="str">
            <v>Viswam &amp; Co -Sankari</v>
          </cell>
          <cell r="G671" t="str">
            <v>Viswam &amp; Co -Sankari</v>
          </cell>
          <cell r="H671" t="str">
            <v>South</v>
          </cell>
        </row>
        <row r="672">
          <cell r="A672" t="str">
            <v>Weldone Motors-Polur</v>
          </cell>
          <cell r="B672" t="str">
            <v>ASC</v>
          </cell>
          <cell r="C672" t="str">
            <v>ASCTamil Nadu</v>
          </cell>
          <cell r="D672" t="str">
            <v>ASC214</v>
          </cell>
          <cell r="E672" t="str">
            <v>ASCTamil Nadu141</v>
          </cell>
          <cell r="F672" t="str">
            <v>Weldone Motors-Polur</v>
          </cell>
          <cell r="G672" t="str">
            <v>Weldone Motors-Polur</v>
          </cell>
          <cell r="H672" t="str">
            <v>South</v>
          </cell>
        </row>
        <row r="673">
          <cell r="A673" t="str">
            <v>Yamuna Motors-Redhills</v>
          </cell>
          <cell r="B673" t="str">
            <v>ASC</v>
          </cell>
          <cell r="C673" t="str">
            <v>ASCTamil Nadu</v>
          </cell>
          <cell r="D673" t="str">
            <v>ASC215</v>
          </cell>
          <cell r="E673" t="str">
            <v>ASCTamil Nadu142</v>
          </cell>
          <cell r="F673" t="str">
            <v>Yamuna Motors-Redhills</v>
          </cell>
          <cell r="G673" t="str">
            <v>Yamuna Motors-Redhills</v>
          </cell>
          <cell r="H673" t="str">
            <v>South</v>
          </cell>
        </row>
        <row r="674">
          <cell r="A674" t="str">
            <v>Asha Sales-Dhansura</v>
          </cell>
          <cell r="B674" t="str">
            <v>ASC</v>
          </cell>
          <cell r="C674" t="str">
            <v>ASCGujarat</v>
          </cell>
          <cell r="D674" t="str">
            <v>ASC216</v>
          </cell>
          <cell r="E674" t="str">
            <v>ASCGujarat1</v>
          </cell>
          <cell r="F674" t="str">
            <v>Asha Sales-Dhansura</v>
          </cell>
          <cell r="G674" t="str">
            <v>Asha Sales-Dhansura</v>
          </cell>
          <cell r="H674" t="str">
            <v>West</v>
          </cell>
        </row>
        <row r="675">
          <cell r="A675" t="str">
            <v>Ashok Automobil-Bilimora</v>
          </cell>
          <cell r="B675" t="str">
            <v>ASC</v>
          </cell>
          <cell r="C675" t="str">
            <v>ASCGujarat</v>
          </cell>
          <cell r="D675" t="str">
            <v>ASC217</v>
          </cell>
          <cell r="E675" t="str">
            <v>ASCGujarat2</v>
          </cell>
          <cell r="F675" t="str">
            <v>Ashok Automobil-Bilimora</v>
          </cell>
          <cell r="G675" t="str">
            <v>Ashok Automobil-Bilimora</v>
          </cell>
          <cell r="H675" t="str">
            <v>West</v>
          </cell>
        </row>
        <row r="676">
          <cell r="A676" t="str">
            <v>Bagwan Sales-Chhotaudepur</v>
          </cell>
          <cell r="B676" t="str">
            <v>ASC</v>
          </cell>
          <cell r="C676" t="str">
            <v>ASCGujarat</v>
          </cell>
          <cell r="D676" t="str">
            <v>ASC218</v>
          </cell>
          <cell r="E676" t="str">
            <v>ASCGujarat3</v>
          </cell>
          <cell r="F676" t="str">
            <v>Bagwan Sales-Chhotaudepur</v>
          </cell>
          <cell r="G676" t="str">
            <v>Bagwan Sales-Chhotaudepur</v>
          </cell>
          <cell r="H676" t="str">
            <v>West</v>
          </cell>
        </row>
        <row r="677">
          <cell r="A677" t="str">
            <v>Bhani Auto-Visnagar</v>
          </cell>
          <cell r="B677" t="str">
            <v>ASC</v>
          </cell>
          <cell r="C677" t="str">
            <v>ASCGujarat</v>
          </cell>
          <cell r="D677" t="str">
            <v>ASC219</v>
          </cell>
          <cell r="E677" t="str">
            <v>ASCGujarat4</v>
          </cell>
          <cell r="F677" t="str">
            <v>Bhani Auto-Visnagar</v>
          </cell>
          <cell r="G677" t="str">
            <v>Bhani Auto-Visnagar</v>
          </cell>
          <cell r="H677" t="str">
            <v>West</v>
          </cell>
        </row>
        <row r="678">
          <cell r="A678" t="str">
            <v>Coronation Motors-Porbandar</v>
          </cell>
          <cell r="B678" t="str">
            <v>ASC</v>
          </cell>
          <cell r="C678" t="str">
            <v>ASCGujarat</v>
          </cell>
          <cell r="D678" t="str">
            <v>ASC220</v>
          </cell>
          <cell r="E678" t="str">
            <v>ASCGujarat5</v>
          </cell>
          <cell r="F678" t="str">
            <v>Coronation Motors-Porbandar</v>
          </cell>
          <cell r="G678" t="str">
            <v>Coronation Motors-Porbandar</v>
          </cell>
          <cell r="H678" t="str">
            <v>West</v>
          </cell>
        </row>
        <row r="679">
          <cell r="A679" t="str">
            <v>Gayatri Auto-Bhiloda</v>
          </cell>
          <cell r="B679" t="str">
            <v>ASC</v>
          </cell>
          <cell r="C679" t="str">
            <v>ASCGujarat</v>
          </cell>
          <cell r="D679" t="str">
            <v>ASC221</v>
          </cell>
          <cell r="E679" t="str">
            <v>ASCGujarat6</v>
          </cell>
          <cell r="F679" t="str">
            <v>Gayatri Auto-Bhiloda</v>
          </cell>
          <cell r="G679" t="str">
            <v>Gayatri Auto-Bhiloda</v>
          </cell>
          <cell r="H679" t="str">
            <v>West</v>
          </cell>
        </row>
        <row r="680">
          <cell r="A680" t="str">
            <v>Jay Ambe Motors-Padara</v>
          </cell>
          <cell r="B680" t="str">
            <v>ASC</v>
          </cell>
          <cell r="C680" t="str">
            <v>ASCGujarat</v>
          </cell>
          <cell r="D680" t="str">
            <v>ASC222</v>
          </cell>
          <cell r="E680" t="str">
            <v>ASCGujarat7</v>
          </cell>
          <cell r="F680" t="str">
            <v>Jay Ambe Motors-Padara</v>
          </cell>
          <cell r="G680" t="str">
            <v>Jay Ambe Motors-Padara</v>
          </cell>
          <cell r="H680" t="str">
            <v>West</v>
          </cell>
        </row>
        <row r="681">
          <cell r="A681" t="str">
            <v>Jlaram Automech-Bajwa</v>
          </cell>
          <cell r="B681" t="str">
            <v>ASC</v>
          </cell>
          <cell r="C681" t="str">
            <v>ASCGujarat</v>
          </cell>
          <cell r="D681" t="str">
            <v>ASC223</v>
          </cell>
          <cell r="E681" t="str">
            <v>ASCGujarat8</v>
          </cell>
          <cell r="F681" t="str">
            <v>Jlaram Automech-Bajwa</v>
          </cell>
          <cell r="G681" t="str">
            <v>Jlaram Automech-Bajwa</v>
          </cell>
          <cell r="H681" t="str">
            <v>West</v>
          </cell>
        </row>
        <row r="682">
          <cell r="A682" t="str">
            <v>Jupitor Automotives-Surat</v>
          </cell>
          <cell r="B682" t="str">
            <v>ASC</v>
          </cell>
          <cell r="C682" t="str">
            <v>ASCGujarat</v>
          </cell>
          <cell r="D682" t="str">
            <v>ASC224</v>
          </cell>
          <cell r="E682" t="str">
            <v>ASCGujarat9</v>
          </cell>
          <cell r="F682" t="str">
            <v>Jupitor Automotives-Surat</v>
          </cell>
          <cell r="G682" t="str">
            <v>Jupitor Automotives-Surat</v>
          </cell>
          <cell r="H682" t="str">
            <v>West</v>
          </cell>
        </row>
        <row r="683">
          <cell r="A683" t="str">
            <v>Keshav Krupa-Keshod</v>
          </cell>
          <cell r="B683" t="str">
            <v>ASC</v>
          </cell>
          <cell r="C683" t="str">
            <v>ASCGujarat</v>
          </cell>
          <cell r="D683" t="str">
            <v>ASC225</v>
          </cell>
          <cell r="E683" t="str">
            <v>ASCGujarat10</v>
          </cell>
          <cell r="F683" t="str">
            <v>Keshav Krupa-Keshod</v>
          </cell>
          <cell r="G683" t="str">
            <v>Keshav Krupa-Keshod</v>
          </cell>
          <cell r="H683" t="str">
            <v>West</v>
          </cell>
        </row>
        <row r="684">
          <cell r="A684" t="str">
            <v>Mahalxmi Auto-Isanpur</v>
          </cell>
          <cell r="B684" t="str">
            <v>ASC</v>
          </cell>
          <cell r="C684" t="str">
            <v>ASCGujarat</v>
          </cell>
          <cell r="D684" t="str">
            <v>ASC226</v>
          </cell>
          <cell r="E684" t="str">
            <v>ASCGujarat11</v>
          </cell>
          <cell r="F684" t="str">
            <v>Mahalxmi Auto-Isanpur</v>
          </cell>
          <cell r="G684" t="str">
            <v>Mahalxmi Auto-Isanpur</v>
          </cell>
          <cell r="H684" t="str">
            <v>West</v>
          </cell>
        </row>
        <row r="685">
          <cell r="A685" t="str">
            <v>Mahavir Automobiles-Karjan</v>
          </cell>
          <cell r="B685" t="str">
            <v>ASC</v>
          </cell>
          <cell r="C685" t="str">
            <v>ASCGujarat</v>
          </cell>
          <cell r="D685" t="str">
            <v>ASC227</v>
          </cell>
          <cell r="E685" t="str">
            <v>ASCGujarat12</v>
          </cell>
          <cell r="F685" t="str">
            <v>Mahavir Automobiles-Karjan</v>
          </cell>
          <cell r="G685" t="str">
            <v>Mahavir Automobiles-Karjan</v>
          </cell>
          <cell r="H685" t="str">
            <v>West</v>
          </cell>
        </row>
        <row r="686">
          <cell r="A686" t="str">
            <v>Maheshwari-Kosamba</v>
          </cell>
          <cell r="B686" t="str">
            <v>ASC</v>
          </cell>
          <cell r="C686" t="str">
            <v>ASCGujarat</v>
          </cell>
          <cell r="D686" t="str">
            <v>ASC228</v>
          </cell>
          <cell r="E686" t="str">
            <v>ASCGujarat13</v>
          </cell>
          <cell r="F686" t="str">
            <v>Maheshwari-Kosamba</v>
          </cell>
          <cell r="G686" t="str">
            <v>Maheshwari-Kosamba</v>
          </cell>
          <cell r="H686" t="str">
            <v>West</v>
          </cell>
        </row>
        <row r="687">
          <cell r="A687" t="str">
            <v>Maruti Automobilres-Jhaghadia</v>
          </cell>
          <cell r="B687" t="str">
            <v>ASC</v>
          </cell>
          <cell r="C687" t="str">
            <v>ASCGujarat</v>
          </cell>
          <cell r="D687" t="str">
            <v>ASC229</v>
          </cell>
          <cell r="E687" t="str">
            <v>ASCGujarat14</v>
          </cell>
          <cell r="F687" t="str">
            <v>Maruti Automobilres-Jhaghadia</v>
          </cell>
          <cell r="G687" t="str">
            <v>Maruti Automobilres-Jhaghadia</v>
          </cell>
          <cell r="H687" t="str">
            <v>West</v>
          </cell>
        </row>
        <row r="688">
          <cell r="A688" t="str">
            <v>Nilkanth Sales Agency-Una</v>
          </cell>
          <cell r="B688" t="str">
            <v>ASC</v>
          </cell>
          <cell r="C688" t="str">
            <v>ASCGujarat</v>
          </cell>
          <cell r="D688" t="str">
            <v>ASC230</v>
          </cell>
          <cell r="E688" t="str">
            <v>ASCGujarat15</v>
          </cell>
          <cell r="F688" t="str">
            <v>Nilkanth Sales Agency-Una</v>
          </cell>
          <cell r="G688" t="str">
            <v>Nilkanth Sales Agency-Una</v>
          </cell>
          <cell r="H688" t="str">
            <v>West</v>
          </cell>
        </row>
        <row r="689">
          <cell r="A689" t="str">
            <v>Om Auto-Prantij</v>
          </cell>
          <cell r="B689" t="str">
            <v>ASC</v>
          </cell>
          <cell r="C689" t="str">
            <v>ASCGujarat</v>
          </cell>
          <cell r="D689" t="str">
            <v>ASC231</v>
          </cell>
          <cell r="E689" t="str">
            <v>ASCGujarat16</v>
          </cell>
          <cell r="F689" t="str">
            <v>Om Auto-Prantij</v>
          </cell>
          <cell r="G689" t="str">
            <v>Om Auto-Prantij</v>
          </cell>
          <cell r="H689" t="str">
            <v>West</v>
          </cell>
        </row>
        <row r="690">
          <cell r="A690" t="str">
            <v>Pooja Auto-Vyara</v>
          </cell>
          <cell r="B690" t="str">
            <v>ASC</v>
          </cell>
          <cell r="C690" t="str">
            <v>ASCGujarat</v>
          </cell>
          <cell r="D690" t="str">
            <v>ASC232</v>
          </cell>
          <cell r="E690" t="str">
            <v>ASCGujarat17</v>
          </cell>
          <cell r="F690" t="str">
            <v>Pooja Auto-Vyara</v>
          </cell>
          <cell r="G690" t="str">
            <v>Pooja Auto-Vyara</v>
          </cell>
          <cell r="H690" t="str">
            <v>West</v>
          </cell>
        </row>
        <row r="691">
          <cell r="A691" t="str">
            <v>Pragati Auto-Bayad</v>
          </cell>
          <cell r="B691" t="str">
            <v>ASC</v>
          </cell>
          <cell r="C691" t="str">
            <v>ASCGujarat</v>
          </cell>
          <cell r="D691" t="str">
            <v>ASC233</v>
          </cell>
          <cell r="E691" t="str">
            <v>ASCGujarat18</v>
          </cell>
          <cell r="F691" t="str">
            <v>Pragati Auto-Bayad</v>
          </cell>
          <cell r="G691" t="str">
            <v>Pragati Auto-Bayad</v>
          </cell>
          <cell r="H691" t="str">
            <v>West</v>
          </cell>
        </row>
        <row r="692">
          <cell r="A692" t="str">
            <v>Punjab Motors-Surat</v>
          </cell>
          <cell r="B692" t="str">
            <v>ASC</v>
          </cell>
          <cell r="C692" t="str">
            <v>ASCGujarat</v>
          </cell>
          <cell r="D692" t="str">
            <v>ASC234</v>
          </cell>
          <cell r="E692" t="str">
            <v>ASCGujarat19</v>
          </cell>
          <cell r="F692" t="str">
            <v>Punjab Motors-Surat</v>
          </cell>
          <cell r="G692" t="str">
            <v>Punjab Motors-Surat</v>
          </cell>
          <cell r="H692" t="str">
            <v>West</v>
          </cell>
        </row>
        <row r="693">
          <cell r="A693" t="str">
            <v>Raj Traders-Rajpipala</v>
          </cell>
          <cell r="B693" t="str">
            <v>ASC</v>
          </cell>
          <cell r="C693" t="str">
            <v>ASCGujarat</v>
          </cell>
          <cell r="D693" t="str">
            <v>ASC235</v>
          </cell>
          <cell r="E693" t="str">
            <v>ASCGujarat20</v>
          </cell>
          <cell r="F693" t="str">
            <v>Raj Traders-Rajpipala</v>
          </cell>
          <cell r="G693" t="str">
            <v>Raj Traders-Rajpipala</v>
          </cell>
          <cell r="H693" t="str">
            <v>West</v>
          </cell>
        </row>
        <row r="694">
          <cell r="A694" t="str">
            <v>Rushi Auto Sales-Manjalpur</v>
          </cell>
          <cell r="B694" t="str">
            <v>ASC</v>
          </cell>
          <cell r="C694" t="str">
            <v>ASCGujarat</v>
          </cell>
          <cell r="D694" t="str">
            <v>ASC236</v>
          </cell>
          <cell r="E694" t="str">
            <v>ASCGujarat21</v>
          </cell>
          <cell r="F694" t="str">
            <v>Rushi Auto Sales-Manjalpur</v>
          </cell>
          <cell r="G694" t="str">
            <v>Rushi Auto Sales-Manjalpur</v>
          </cell>
          <cell r="H694" t="str">
            <v>West</v>
          </cell>
        </row>
        <row r="695">
          <cell r="A695" t="str">
            <v>Shreeji Bikes-Bapunagar</v>
          </cell>
          <cell r="B695" t="str">
            <v>ASC</v>
          </cell>
          <cell r="C695" t="str">
            <v>ASCGujarat</v>
          </cell>
          <cell r="D695" t="str">
            <v>ASC237</v>
          </cell>
          <cell r="E695" t="str">
            <v>ASCGujarat22</v>
          </cell>
          <cell r="F695" t="str">
            <v>Shreeji Bikes-Bapunagar</v>
          </cell>
          <cell r="G695" t="str">
            <v>Shreeji Bikes-Bapunagar</v>
          </cell>
          <cell r="H695" t="str">
            <v>West</v>
          </cell>
        </row>
        <row r="696">
          <cell r="A696" t="str">
            <v>Shrenik-Chikhali</v>
          </cell>
          <cell r="B696" t="str">
            <v>ASC</v>
          </cell>
          <cell r="C696" t="str">
            <v>ASCGujarat</v>
          </cell>
          <cell r="D696" t="str">
            <v>ASC238</v>
          </cell>
          <cell r="E696" t="str">
            <v>ASCGujarat23</v>
          </cell>
          <cell r="F696" t="str">
            <v>Shrenik-Chikhali</v>
          </cell>
          <cell r="G696" t="str">
            <v>Shrenik-Chikhali</v>
          </cell>
          <cell r="H696" t="str">
            <v>West</v>
          </cell>
        </row>
        <row r="697">
          <cell r="A697" t="str">
            <v>Srinath Auto Care-Maninagar</v>
          </cell>
          <cell r="B697" t="str">
            <v>ASC</v>
          </cell>
          <cell r="C697" t="str">
            <v>ASCGujarat</v>
          </cell>
          <cell r="D697" t="str">
            <v>ASC239</v>
          </cell>
          <cell r="E697" t="str">
            <v>ASCGujarat24</v>
          </cell>
          <cell r="F697" t="str">
            <v>Srinath Auto Care-Maninagar</v>
          </cell>
          <cell r="G697" t="str">
            <v>Srinath Auto Care-Maninagar</v>
          </cell>
          <cell r="H697" t="str">
            <v>West</v>
          </cell>
        </row>
        <row r="698">
          <cell r="A698" t="str">
            <v>Sriraj-Modasa</v>
          </cell>
          <cell r="B698" t="str">
            <v>ASC</v>
          </cell>
          <cell r="C698" t="str">
            <v>ASCGujarat</v>
          </cell>
          <cell r="D698" t="str">
            <v>ASC240</v>
          </cell>
          <cell r="E698" t="str">
            <v>ASCGujarat25</v>
          </cell>
          <cell r="F698" t="str">
            <v>Sriraj-Modasa</v>
          </cell>
          <cell r="G698" t="str">
            <v>Sriraj-Modasa</v>
          </cell>
          <cell r="H698" t="str">
            <v>West</v>
          </cell>
        </row>
        <row r="699">
          <cell r="A699" t="str">
            <v>Sundaram Auto-Ider</v>
          </cell>
          <cell r="B699" t="str">
            <v>ASC</v>
          </cell>
          <cell r="C699" t="str">
            <v>ASCGujarat</v>
          </cell>
          <cell r="D699" t="str">
            <v>ASC241</v>
          </cell>
          <cell r="E699" t="str">
            <v>ASCGujarat26</v>
          </cell>
          <cell r="F699" t="str">
            <v>Sundaram Auto-Ider</v>
          </cell>
          <cell r="G699" t="str">
            <v>Sundaram Auto-Ider</v>
          </cell>
          <cell r="H699" t="str">
            <v>West</v>
          </cell>
        </row>
        <row r="700">
          <cell r="A700" t="str">
            <v>Techno-Vasana</v>
          </cell>
          <cell r="B700" t="str">
            <v>ASC</v>
          </cell>
          <cell r="C700" t="str">
            <v>ASCGujarat</v>
          </cell>
          <cell r="D700" t="str">
            <v>ASC242</v>
          </cell>
          <cell r="E700" t="str">
            <v>ASCGujarat27</v>
          </cell>
          <cell r="F700" t="str">
            <v>Techno-Vasana</v>
          </cell>
          <cell r="G700" t="str">
            <v>Techno-Vasana</v>
          </cell>
          <cell r="H700" t="str">
            <v>West</v>
          </cell>
        </row>
        <row r="701">
          <cell r="A701" t="str">
            <v>Vinod Auto-Surat</v>
          </cell>
          <cell r="B701" t="str">
            <v>ASC</v>
          </cell>
          <cell r="C701" t="str">
            <v>ASCGujarat</v>
          </cell>
          <cell r="D701" t="str">
            <v>ASC243</v>
          </cell>
          <cell r="E701" t="str">
            <v>ASCGujarat28</v>
          </cell>
          <cell r="F701" t="str">
            <v>Vinod Auto-Surat</v>
          </cell>
          <cell r="G701" t="str">
            <v>Vinod Auto-Surat</v>
          </cell>
          <cell r="H701" t="str">
            <v>West</v>
          </cell>
        </row>
        <row r="702">
          <cell r="A702" t="str">
            <v>Yadav Auto-Udhana</v>
          </cell>
          <cell r="B702" t="str">
            <v>ASC</v>
          </cell>
          <cell r="C702" t="str">
            <v>ASCGujarat</v>
          </cell>
          <cell r="D702" t="str">
            <v>ASC244</v>
          </cell>
          <cell r="E702" t="str">
            <v>ASCGujarat29</v>
          </cell>
          <cell r="F702" t="str">
            <v>Yadav Auto-Udhana</v>
          </cell>
          <cell r="G702" t="str">
            <v>Yadav Auto-Udhana</v>
          </cell>
          <cell r="H702" t="str">
            <v>West</v>
          </cell>
        </row>
        <row r="703">
          <cell r="A703" t="str">
            <v>Yogi Auto-Bodeli</v>
          </cell>
          <cell r="B703" t="str">
            <v>ASC</v>
          </cell>
          <cell r="C703" t="str">
            <v>ASCGujarat</v>
          </cell>
          <cell r="D703" t="str">
            <v>ASC245</v>
          </cell>
          <cell r="E703" t="str">
            <v>ASCGujarat30</v>
          </cell>
          <cell r="F703" t="str">
            <v>Yogi Auto-Bodeli</v>
          </cell>
          <cell r="G703" t="str">
            <v>Yogi Auto-Bodeli</v>
          </cell>
          <cell r="H703" t="str">
            <v>West</v>
          </cell>
        </row>
        <row r="704">
          <cell r="A704" t="str">
            <v>Yogi Auto-Gondal</v>
          </cell>
          <cell r="B704" t="str">
            <v>ASC</v>
          </cell>
          <cell r="C704" t="str">
            <v>ASCGujarat</v>
          </cell>
          <cell r="D704" t="str">
            <v>ASC246</v>
          </cell>
          <cell r="E704" t="str">
            <v>ASCGujarat31</v>
          </cell>
          <cell r="F704" t="str">
            <v>Yogi Auto-Gondal</v>
          </cell>
          <cell r="G704" t="str">
            <v>Yogi Auto-Gondal</v>
          </cell>
          <cell r="H704" t="str">
            <v>West</v>
          </cell>
        </row>
        <row r="705">
          <cell r="A705" t="str">
            <v>Attractive Automobile-Bhopal</v>
          </cell>
          <cell r="B705" t="str">
            <v>ASC</v>
          </cell>
          <cell r="C705" t="str">
            <v>ASCMadhya Pradesh</v>
          </cell>
          <cell r="D705" t="str">
            <v>ASC247</v>
          </cell>
          <cell r="E705" t="str">
            <v>ASCMadhya Pradesh1</v>
          </cell>
          <cell r="F705" t="str">
            <v>Attractive Automobile-Bhopal</v>
          </cell>
          <cell r="G705" t="str">
            <v>Attractive Automobile-Bhopal</v>
          </cell>
          <cell r="H705" t="str">
            <v>West</v>
          </cell>
        </row>
        <row r="706">
          <cell r="A706" t="str">
            <v>Dhakar Agencies-Jadra</v>
          </cell>
          <cell r="B706" t="str">
            <v>ASC</v>
          </cell>
          <cell r="C706" t="str">
            <v>ASCMadhya Pradesh</v>
          </cell>
          <cell r="D706" t="str">
            <v>ASC248</v>
          </cell>
          <cell r="E706" t="str">
            <v>ASCMadhya Pradesh2</v>
          </cell>
          <cell r="F706" t="str">
            <v>Dhakar Agencies-Jadra</v>
          </cell>
          <cell r="G706" t="str">
            <v>Dhakar Agencies-Jadra</v>
          </cell>
          <cell r="H706" t="str">
            <v>West</v>
          </cell>
        </row>
        <row r="707">
          <cell r="A707" t="str">
            <v>Khurkhuriya Automobiles-Tikamgarh</v>
          </cell>
          <cell r="B707" t="str">
            <v>ASC</v>
          </cell>
          <cell r="C707" t="str">
            <v>ASCMadhya Pradesh</v>
          </cell>
          <cell r="D707" t="str">
            <v>ASC249</v>
          </cell>
          <cell r="E707" t="str">
            <v>ASCMadhya Pradesh3</v>
          </cell>
          <cell r="F707" t="str">
            <v>Khurkhuriya Automobiles-Tikamgarh</v>
          </cell>
          <cell r="G707" t="str">
            <v>Khurkhuriya Automobiles-Tikamgarh</v>
          </cell>
          <cell r="H707" t="str">
            <v>West</v>
          </cell>
        </row>
        <row r="708">
          <cell r="A708" t="str">
            <v>Mehta Automobiles-Dewas</v>
          </cell>
          <cell r="B708" t="str">
            <v>ASC</v>
          </cell>
          <cell r="C708" t="str">
            <v>ASCMadhya Pradesh</v>
          </cell>
          <cell r="D708" t="str">
            <v>ASC250</v>
          </cell>
          <cell r="E708" t="str">
            <v>ASCMadhya Pradesh4</v>
          </cell>
          <cell r="F708" t="str">
            <v>Mehta Automobiles-Dewas</v>
          </cell>
          <cell r="G708" t="str">
            <v>Mehta Automobiles-Dewas</v>
          </cell>
          <cell r="H708" t="str">
            <v>West</v>
          </cell>
        </row>
        <row r="709">
          <cell r="A709" t="str">
            <v>Prince Automobiles-Waidhen</v>
          </cell>
          <cell r="B709" t="str">
            <v>ASC</v>
          </cell>
          <cell r="C709" t="str">
            <v>ASCMadhya Pradesh</v>
          </cell>
          <cell r="D709" t="str">
            <v>ASC251</v>
          </cell>
          <cell r="E709" t="str">
            <v>ASCMadhya Pradesh5</v>
          </cell>
          <cell r="F709" t="str">
            <v>Prince Automobiles-Waidhen</v>
          </cell>
          <cell r="G709" t="str">
            <v>Prince Automobiles-Waidhen</v>
          </cell>
          <cell r="H709" t="str">
            <v>West</v>
          </cell>
        </row>
        <row r="710">
          <cell r="A710" t="str">
            <v>Rathi Enterprises-Bareli</v>
          </cell>
          <cell r="B710" t="str">
            <v>ASC</v>
          </cell>
          <cell r="C710" t="str">
            <v>ASCMadhya Pradesh</v>
          </cell>
          <cell r="D710" t="str">
            <v>ASC252</v>
          </cell>
          <cell r="E710" t="str">
            <v>ASCMadhya Pradesh6</v>
          </cell>
          <cell r="F710" t="str">
            <v>Rathi Enterprises-Bareli</v>
          </cell>
          <cell r="G710" t="str">
            <v>Rathi Enterprises-Bareli</v>
          </cell>
          <cell r="H710" t="str">
            <v>West</v>
          </cell>
        </row>
        <row r="711">
          <cell r="A711" t="str">
            <v>Sapan Enterprises-Dhamnod</v>
          </cell>
          <cell r="B711" t="str">
            <v>ASC</v>
          </cell>
          <cell r="C711" t="str">
            <v>ASCMadhya Pradesh</v>
          </cell>
          <cell r="D711" t="str">
            <v>ASC253</v>
          </cell>
          <cell r="E711" t="str">
            <v>ASCMadhya Pradesh7</v>
          </cell>
          <cell r="F711" t="str">
            <v>Sapan Enterprises-Dhamnod</v>
          </cell>
          <cell r="G711" t="str">
            <v>Sapan Enterprises-Dhamnod</v>
          </cell>
          <cell r="H711" t="str">
            <v>West</v>
          </cell>
        </row>
        <row r="712">
          <cell r="A712" t="str">
            <v>Satyam Sales-Shatjapur</v>
          </cell>
          <cell r="B712" t="str">
            <v>ASC</v>
          </cell>
          <cell r="C712" t="str">
            <v>ASCMadhya Pradesh</v>
          </cell>
          <cell r="D712" t="str">
            <v>ASC254</v>
          </cell>
          <cell r="E712" t="str">
            <v>ASCMadhya Pradesh8</v>
          </cell>
          <cell r="F712" t="str">
            <v>Satyam Sales-Shatjapur</v>
          </cell>
          <cell r="G712" t="str">
            <v>Satyam Sales-Shatjapur</v>
          </cell>
          <cell r="H712" t="str">
            <v>West</v>
          </cell>
        </row>
        <row r="713">
          <cell r="A713" t="str">
            <v>Shree Shakti Auto-Dhar</v>
          </cell>
          <cell r="B713" t="str">
            <v>ASC</v>
          </cell>
          <cell r="C713" t="str">
            <v>ASCMadhya Pradesh</v>
          </cell>
          <cell r="D713" t="str">
            <v>ASC255</v>
          </cell>
          <cell r="E713" t="str">
            <v>ASCMadhya Pradesh9</v>
          </cell>
          <cell r="F713" t="str">
            <v>Shree Shakti Auto-Dhar</v>
          </cell>
          <cell r="G713" t="str">
            <v>Shree Shakti Auto-Dhar</v>
          </cell>
          <cell r="H713" t="str">
            <v>West</v>
          </cell>
        </row>
        <row r="714">
          <cell r="A714" t="str">
            <v>Siddarth Enterprises-Harda</v>
          </cell>
          <cell r="B714" t="str">
            <v>ASC</v>
          </cell>
          <cell r="C714" t="str">
            <v>ASCMadhya Pradesh</v>
          </cell>
          <cell r="D714" t="str">
            <v>ASC256</v>
          </cell>
          <cell r="E714" t="str">
            <v>ASCMadhya Pradesh10</v>
          </cell>
          <cell r="F714" t="str">
            <v>Siddarth Enterprises-Harda</v>
          </cell>
          <cell r="G714" t="str">
            <v>Siddarth Enterprises-Harda</v>
          </cell>
          <cell r="H714" t="str">
            <v>West</v>
          </cell>
        </row>
        <row r="715">
          <cell r="A715" t="str">
            <v>Dewakar Associate-Wani</v>
          </cell>
          <cell r="B715" t="str">
            <v>ASC</v>
          </cell>
          <cell r="C715" t="str">
            <v>ASCMaharashtra</v>
          </cell>
          <cell r="D715" t="str">
            <v>ASC257</v>
          </cell>
          <cell r="E715" t="str">
            <v>ASCMaharashtra1</v>
          </cell>
          <cell r="F715" t="str">
            <v>Dewakar Associate-Wani</v>
          </cell>
          <cell r="G715" t="str">
            <v>Dewakar Associate-Wani</v>
          </cell>
          <cell r="H715" t="str">
            <v>West</v>
          </cell>
        </row>
        <row r="716">
          <cell r="A716" t="str">
            <v>Mauli Auto-Pune</v>
          </cell>
          <cell r="B716" t="str">
            <v>ASC</v>
          </cell>
          <cell r="C716" t="str">
            <v>ASCMaharashtra</v>
          </cell>
          <cell r="D716" t="str">
            <v>ASC258</v>
          </cell>
          <cell r="E716" t="str">
            <v>ASCMaharashtra2</v>
          </cell>
          <cell r="F716" t="str">
            <v>Mauli Auto-Pune</v>
          </cell>
          <cell r="G716" t="str">
            <v>Mauli Auto-Pune</v>
          </cell>
          <cell r="H716" t="str">
            <v>West</v>
          </cell>
        </row>
        <row r="717">
          <cell r="A717" t="str">
            <v>Oberoi Auto Agencies-Sangamner</v>
          </cell>
          <cell r="B717" t="str">
            <v>ASC</v>
          </cell>
          <cell r="C717" t="str">
            <v>ASCMaharashtra</v>
          </cell>
          <cell r="D717" t="str">
            <v>ASC259</v>
          </cell>
          <cell r="E717" t="str">
            <v>ASCMaharashtra3</v>
          </cell>
          <cell r="F717" t="str">
            <v>Oberoi Auto Agencies-Sangamner</v>
          </cell>
          <cell r="G717" t="str">
            <v>Oberoi Auto Agencies-Sangamner</v>
          </cell>
          <cell r="H717" t="str">
            <v>West</v>
          </cell>
        </row>
        <row r="718">
          <cell r="A718" t="str">
            <v>Prashant Auto-Pune</v>
          </cell>
          <cell r="B718" t="str">
            <v>ASC</v>
          </cell>
          <cell r="C718" t="str">
            <v>ASCMaharashtra</v>
          </cell>
          <cell r="D718" t="str">
            <v>ASC260</v>
          </cell>
          <cell r="E718" t="str">
            <v>ASCMaharashtra4</v>
          </cell>
          <cell r="F718" t="str">
            <v>Prashant Auto-Pune</v>
          </cell>
          <cell r="G718" t="str">
            <v>Prashant Auto-Pune</v>
          </cell>
          <cell r="H718" t="str">
            <v>West</v>
          </cell>
        </row>
        <row r="719">
          <cell r="A719" t="str">
            <v>Saira Auto-Pune</v>
          </cell>
          <cell r="B719" t="str">
            <v>ASC</v>
          </cell>
          <cell r="C719" t="str">
            <v>ASCMaharashtra</v>
          </cell>
          <cell r="D719" t="str">
            <v>ASC261</v>
          </cell>
          <cell r="E719" t="str">
            <v>ASCMaharashtra5</v>
          </cell>
          <cell r="F719" t="str">
            <v>Saira Auto-Pune</v>
          </cell>
          <cell r="G719" t="str">
            <v>Saira Auto-Pune</v>
          </cell>
          <cell r="H719" t="str">
            <v>West</v>
          </cell>
        </row>
        <row r="720">
          <cell r="A720" t="str">
            <v>Samarth Automobiles-Dahanu</v>
          </cell>
          <cell r="B720" t="str">
            <v>ASC</v>
          </cell>
          <cell r="C720" t="str">
            <v>ASCMaharashtra</v>
          </cell>
          <cell r="D720" t="str">
            <v>ASC262</v>
          </cell>
          <cell r="E720" t="str">
            <v>ASCMaharashtra6</v>
          </cell>
          <cell r="F720" t="str">
            <v>Samarth Automobiles-Dahanu</v>
          </cell>
          <cell r="G720" t="str">
            <v>Samarth Automobiles-Dahanu</v>
          </cell>
          <cell r="H720" t="str">
            <v>West</v>
          </cell>
        </row>
        <row r="721">
          <cell r="A721" t="str">
            <v>Trator Centre-Khamgaon</v>
          </cell>
          <cell r="B721" t="str">
            <v>ASC</v>
          </cell>
          <cell r="C721" t="str">
            <v>ASCMaharashtra</v>
          </cell>
          <cell r="D721" t="str">
            <v>ASC263</v>
          </cell>
          <cell r="E721" t="str">
            <v>ASCMaharashtra7</v>
          </cell>
          <cell r="F721" t="str">
            <v>Trator Centre-Khamgaon</v>
          </cell>
          <cell r="G721" t="str">
            <v>Trator Centre-Khamgaon</v>
          </cell>
          <cell r="H721" t="str">
            <v>West</v>
          </cell>
        </row>
        <row r="722">
          <cell r="A722" t="str">
            <v>Avinash Motors-Dungarpur</v>
          </cell>
          <cell r="B722" t="str">
            <v>ASC</v>
          </cell>
          <cell r="C722" t="str">
            <v>ASCRajasthan</v>
          </cell>
          <cell r="D722" t="str">
            <v>ASC264</v>
          </cell>
          <cell r="E722" t="str">
            <v>ASCRajasthan1</v>
          </cell>
          <cell r="F722" t="str">
            <v>Avinash Motors-Dungarpur</v>
          </cell>
          <cell r="G722" t="str">
            <v>Avinash Motors-Dungarpur</v>
          </cell>
          <cell r="H722" t="str">
            <v>West</v>
          </cell>
        </row>
        <row r="723">
          <cell r="A723" t="str">
            <v>Enzupp-Jaipur</v>
          </cell>
          <cell r="B723" t="str">
            <v>ASC</v>
          </cell>
          <cell r="C723" t="str">
            <v>ASCRajasthan</v>
          </cell>
          <cell r="D723" t="str">
            <v>ASC265</v>
          </cell>
          <cell r="E723" t="str">
            <v>ASCRajasthan2</v>
          </cell>
          <cell r="F723" t="str">
            <v>Enzupp-Jaipur</v>
          </cell>
          <cell r="G723" t="str">
            <v>Enzupp-Jaipur</v>
          </cell>
          <cell r="H723" t="str">
            <v>West</v>
          </cell>
        </row>
        <row r="724">
          <cell r="A724" t="str">
            <v>Ganesh Motors &amp; Crusher-Kankroli</v>
          </cell>
          <cell r="B724" t="str">
            <v>ASC</v>
          </cell>
          <cell r="C724" t="str">
            <v>ASCRajasthan</v>
          </cell>
          <cell r="D724" t="str">
            <v>ASC266</v>
          </cell>
          <cell r="E724" t="str">
            <v>ASCRajasthan3</v>
          </cell>
          <cell r="F724" t="str">
            <v>Ganesh Motors &amp; Crusher-Kankroli</v>
          </cell>
          <cell r="G724" t="str">
            <v>Ganesh Motors &amp; Crusher-Kankroli</v>
          </cell>
          <cell r="H724" t="str">
            <v>West</v>
          </cell>
        </row>
        <row r="725">
          <cell r="A725" t="str">
            <v>H P Motors-Chomu</v>
          </cell>
          <cell r="B725" t="str">
            <v>ASC</v>
          </cell>
          <cell r="C725" t="str">
            <v>ASCRajasthan</v>
          </cell>
          <cell r="D725" t="str">
            <v>ASC267</v>
          </cell>
          <cell r="E725" t="str">
            <v>ASCRajasthan4</v>
          </cell>
          <cell r="F725" t="str">
            <v>H P Motors-Chomu</v>
          </cell>
          <cell r="G725" t="str">
            <v>H P Motors-Chomu</v>
          </cell>
          <cell r="H725" t="str">
            <v>West</v>
          </cell>
        </row>
        <row r="726">
          <cell r="A726" t="str">
            <v>Hind Motors-Sikar</v>
          </cell>
          <cell r="B726" t="str">
            <v>ASC</v>
          </cell>
          <cell r="C726" t="str">
            <v>ASCRajasthan</v>
          </cell>
          <cell r="D726" t="str">
            <v>ASC268</v>
          </cell>
          <cell r="E726" t="str">
            <v>ASCRajasthan5</v>
          </cell>
          <cell r="F726" t="str">
            <v>Hind Motors-Sikar</v>
          </cell>
          <cell r="G726" t="str">
            <v>Hind Motors-Sikar</v>
          </cell>
          <cell r="H726" t="str">
            <v>West</v>
          </cell>
        </row>
        <row r="727">
          <cell r="A727" t="str">
            <v>Hundawal Motors-Dholpur</v>
          </cell>
          <cell r="B727" t="str">
            <v>ASC</v>
          </cell>
          <cell r="C727" t="str">
            <v>ASCRajasthan</v>
          </cell>
          <cell r="D727" t="str">
            <v>ASC269</v>
          </cell>
          <cell r="E727" t="str">
            <v>ASCRajasthan6</v>
          </cell>
          <cell r="F727" t="str">
            <v>Hundawal Motors-Dholpur</v>
          </cell>
          <cell r="G727" t="str">
            <v>Hundawal Motors-Dholpur</v>
          </cell>
          <cell r="H727" t="str">
            <v>West</v>
          </cell>
        </row>
        <row r="728">
          <cell r="A728" t="str">
            <v>Jain Auto Centre-Kekri</v>
          </cell>
          <cell r="B728" t="str">
            <v>ASC</v>
          </cell>
          <cell r="C728" t="str">
            <v>ASCRajasthan</v>
          </cell>
          <cell r="D728" t="str">
            <v>ASC270</v>
          </cell>
          <cell r="E728" t="str">
            <v>ASCRajasthan7</v>
          </cell>
          <cell r="F728" t="str">
            <v>Jain Auto Centre-Kekri</v>
          </cell>
          <cell r="G728" t="str">
            <v>Jain Auto Centre-Kekri</v>
          </cell>
          <cell r="H728" t="str">
            <v>West</v>
          </cell>
        </row>
        <row r="729">
          <cell r="A729" t="str">
            <v>Khandal Motors-Sanganer</v>
          </cell>
          <cell r="B729" t="str">
            <v>ASC</v>
          </cell>
          <cell r="C729" t="str">
            <v>ASCRajasthan</v>
          </cell>
          <cell r="D729" t="str">
            <v>ASC271</v>
          </cell>
          <cell r="E729" t="str">
            <v>ASCRajasthan8</v>
          </cell>
          <cell r="F729" t="str">
            <v>Khandal Motors-Sanganer</v>
          </cell>
          <cell r="G729" t="str">
            <v>Khandal Motors-Sanganer</v>
          </cell>
          <cell r="H729" t="str">
            <v>West</v>
          </cell>
        </row>
        <row r="730">
          <cell r="A730" t="str">
            <v>Lokanda Motors-Jaipur</v>
          </cell>
          <cell r="B730" t="str">
            <v>ASC</v>
          </cell>
          <cell r="C730" t="str">
            <v>ASCRajasthan</v>
          </cell>
          <cell r="D730" t="str">
            <v>ASC272</v>
          </cell>
          <cell r="E730" t="str">
            <v>ASCRajasthan9</v>
          </cell>
          <cell r="F730" t="str">
            <v>Lokanda Motors-Jaipur</v>
          </cell>
          <cell r="G730" t="str">
            <v>Lokanda Motors-Jaipur</v>
          </cell>
          <cell r="H730" t="str">
            <v>West</v>
          </cell>
        </row>
        <row r="731">
          <cell r="A731" t="str">
            <v>M H Motors-Dausa</v>
          </cell>
          <cell r="B731" t="str">
            <v>ASC</v>
          </cell>
          <cell r="C731" t="str">
            <v>ASCRajasthan</v>
          </cell>
          <cell r="D731" t="str">
            <v>ASC273</v>
          </cell>
          <cell r="E731" t="str">
            <v>ASCRajasthan10</v>
          </cell>
          <cell r="F731" t="str">
            <v>M H Motors-Dausa</v>
          </cell>
          <cell r="G731" t="str">
            <v>M H Motors-Dausa</v>
          </cell>
          <cell r="H731" t="str">
            <v>West</v>
          </cell>
        </row>
        <row r="732">
          <cell r="A732" t="str">
            <v>Nakoda Automobiles-Gangapur</v>
          </cell>
          <cell r="B732" t="str">
            <v>ASC</v>
          </cell>
          <cell r="C732" t="str">
            <v>ASCRajasthan</v>
          </cell>
          <cell r="D732" t="str">
            <v>ASC274</v>
          </cell>
          <cell r="E732" t="str">
            <v>ASCRajasthan11</v>
          </cell>
          <cell r="F732" t="str">
            <v>Nakoda Automobiles-Gangapur</v>
          </cell>
          <cell r="G732" t="str">
            <v>Nakoda Automobiles-Gangapur</v>
          </cell>
          <cell r="H732" t="str">
            <v>West</v>
          </cell>
        </row>
        <row r="733">
          <cell r="A733" t="str">
            <v>Pal Motors-Jhunjhunu</v>
          </cell>
          <cell r="B733" t="str">
            <v>ASC</v>
          </cell>
          <cell r="C733" t="str">
            <v>ASCRajasthan</v>
          </cell>
          <cell r="D733" t="str">
            <v>ASC275</v>
          </cell>
          <cell r="E733" t="str">
            <v>ASCRajasthan12</v>
          </cell>
          <cell r="F733" t="str">
            <v>Pal Motors-Jhunjhunu</v>
          </cell>
          <cell r="G733" t="str">
            <v>Pal Motors-Jhunjhunu</v>
          </cell>
          <cell r="H733" t="str">
            <v>West</v>
          </cell>
        </row>
        <row r="734">
          <cell r="A734" t="str">
            <v>Rajasthan Motors-Deoli</v>
          </cell>
          <cell r="B734" t="str">
            <v>ASC</v>
          </cell>
          <cell r="C734" t="str">
            <v>ASCRajasthan</v>
          </cell>
          <cell r="D734" t="str">
            <v>ASC276</v>
          </cell>
          <cell r="E734" t="str">
            <v>ASCRajasthan13</v>
          </cell>
          <cell r="F734" t="str">
            <v>Rajasthan Motors-Deoli</v>
          </cell>
          <cell r="G734" t="str">
            <v>Rajasthan Motors-Deoli</v>
          </cell>
          <cell r="H734" t="str">
            <v>West</v>
          </cell>
        </row>
        <row r="735">
          <cell r="A735" t="str">
            <v>Rajendera Automobiles-Beawar</v>
          </cell>
          <cell r="B735" t="str">
            <v>ASC</v>
          </cell>
          <cell r="C735" t="str">
            <v>ASCRajasthan</v>
          </cell>
          <cell r="D735" t="str">
            <v>ASC277</v>
          </cell>
          <cell r="E735" t="str">
            <v>ASCRajasthan14</v>
          </cell>
          <cell r="F735" t="str">
            <v>Rajendera Automobiles-Beawar</v>
          </cell>
          <cell r="G735" t="str">
            <v>Rajendera Automobiles-Beawar</v>
          </cell>
          <cell r="H735" t="str">
            <v>West</v>
          </cell>
        </row>
        <row r="736">
          <cell r="A736" t="str">
            <v>Somra Motors-Chirawa</v>
          </cell>
          <cell r="B736" t="str">
            <v>ASC</v>
          </cell>
          <cell r="C736" t="str">
            <v>ASCRajasthan</v>
          </cell>
          <cell r="D736" t="str">
            <v>ASC278</v>
          </cell>
          <cell r="E736" t="str">
            <v>ASCRajasthan15</v>
          </cell>
          <cell r="F736" t="str">
            <v>Somra Motors-Chirawa</v>
          </cell>
          <cell r="G736" t="str">
            <v>Somra Motors-Chirawa</v>
          </cell>
          <cell r="H736" t="str">
            <v>West</v>
          </cell>
        </row>
        <row r="737">
          <cell r="A737" t="str">
            <v>Swastick Automobiles-Bijaynagar</v>
          </cell>
          <cell r="B737" t="str">
            <v>ASC</v>
          </cell>
          <cell r="C737" t="str">
            <v>ASCRajasthan</v>
          </cell>
          <cell r="D737" t="str">
            <v>ASC279</v>
          </cell>
          <cell r="E737" t="str">
            <v>ASCRajasthan16</v>
          </cell>
          <cell r="F737" t="str">
            <v>Swastick Automobiles-Bijaynagar</v>
          </cell>
          <cell r="G737" t="str">
            <v>Swastick Automobiles-Bijaynagar</v>
          </cell>
          <cell r="H737" t="str">
            <v>West</v>
          </cell>
        </row>
        <row r="738">
          <cell r="A738" t="str">
            <v>Vijay Agencies-Bundi</v>
          </cell>
          <cell r="B738" t="str">
            <v>ASC</v>
          </cell>
          <cell r="C738" t="str">
            <v>ASCRajasthan</v>
          </cell>
          <cell r="D738" t="str">
            <v>ASC280</v>
          </cell>
          <cell r="E738" t="str">
            <v>ASCRajasthan17</v>
          </cell>
          <cell r="F738" t="str">
            <v>Vijay Agencies-Bundi</v>
          </cell>
          <cell r="G738" t="str">
            <v>Vijay Agencies-Bundi</v>
          </cell>
          <cell r="H738" t="str">
            <v>West</v>
          </cell>
        </row>
        <row r="739">
          <cell r="A739" t="str">
            <v>TVS (Dealer)</v>
          </cell>
          <cell r="B739" t="str">
            <v>DealerAll India</v>
          </cell>
          <cell r="C739" t="str">
            <v>DealerAll India</v>
          </cell>
          <cell r="D739" t="str">
            <v>DealerAll India1</v>
          </cell>
          <cell r="E739" t="str">
            <v>DealerAll India1</v>
          </cell>
          <cell r="F739" t="str">
            <v>TVS (Dealer)</v>
          </cell>
          <cell r="G739" t="str">
            <v>TVS (Dealer)</v>
          </cell>
        </row>
        <row r="740">
          <cell r="A740" t="str">
            <v>TVS (ASC)</v>
          </cell>
          <cell r="B740" t="str">
            <v>ASCAll India</v>
          </cell>
          <cell r="C740" t="str">
            <v>ASCAll India</v>
          </cell>
          <cell r="D740" t="str">
            <v>ASCAll India1</v>
          </cell>
          <cell r="E740" t="str">
            <v>ASCAll India1</v>
          </cell>
          <cell r="F740" t="str">
            <v>TVS (ASC)</v>
          </cell>
          <cell r="G740" t="str">
            <v>TVS (ASC)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>
            <v>1</v>
          </cell>
          <cell r="C1" t="str">
            <v>Study Total</v>
          </cell>
          <cell r="F1" t="str">
            <v>Study Total</v>
          </cell>
        </row>
        <row r="2">
          <cell r="D2">
            <v>1</v>
          </cell>
          <cell r="F2">
            <v>39</v>
          </cell>
        </row>
        <row r="3">
          <cell r="C3" t="str">
            <v>D:\DG-TNS\2004 International\Honda International\Thai Wave 2\Honda Thai CS Wave II.ppt</v>
          </cell>
        </row>
        <row r="5">
          <cell r="A5">
            <v>1</v>
          </cell>
          <cell r="B5" t="str">
            <v>Study Total</v>
          </cell>
          <cell r="C5" t="str">
            <v>Study Total</v>
          </cell>
          <cell r="D5">
            <v>1</v>
          </cell>
          <cell r="E5">
            <v>2</v>
          </cell>
          <cell r="F5">
            <v>3</v>
          </cell>
          <cell r="G5">
            <v>4</v>
          </cell>
          <cell r="H5">
            <v>5</v>
          </cell>
          <cell r="I5">
            <v>6</v>
          </cell>
          <cell r="K5" t="str">
            <v>Best Dealer</v>
          </cell>
        </row>
        <row r="6">
          <cell r="A6">
            <v>2</v>
          </cell>
          <cell r="B6" t="str">
            <v>Accord</v>
          </cell>
          <cell r="C6" t="str">
            <v>Study Total</v>
          </cell>
          <cell r="D6">
            <v>1</v>
          </cell>
          <cell r="E6">
            <v>2</v>
          </cell>
          <cell r="F6">
            <v>3</v>
          </cell>
          <cell r="G6">
            <v>4</v>
          </cell>
          <cell r="H6">
            <v>5</v>
          </cell>
          <cell r="I6">
            <v>6</v>
          </cell>
          <cell r="J6" t="str">
            <v>Vehicle Type</v>
          </cell>
          <cell r="K6" t="str">
            <v>Best In Models</v>
          </cell>
        </row>
        <row r="7">
          <cell r="A7">
            <v>3</v>
          </cell>
          <cell r="B7" t="str">
            <v>Civic</v>
          </cell>
          <cell r="C7" t="str">
            <v>Study Total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5</v>
          </cell>
          <cell r="I7">
            <v>6</v>
          </cell>
          <cell r="J7" t="str">
            <v>Vehicle Type</v>
          </cell>
          <cell r="K7" t="str">
            <v>Best In Models</v>
          </cell>
          <cell r="N7" t="str">
            <v>Hondacsi</v>
          </cell>
        </row>
        <row r="8">
          <cell r="A8">
            <v>4</v>
          </cell>
          <cell r="B8" t="str">
            <v>City</v>
          </cell>
          <cell r="C8" t="str">
            <v>Study Total</v>
          </cell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 t="str">
            <v>Vehicle Type</v>
          </cell>
          <cell r="K8" t="str">
            <v>Best In Models</v>
          </cell>
          <cell r="N8" t="str">
            <v>Thailand</v>
          </cell>
        </row>
        <row r="9">
          <cell r="A9">
            <v>5</v>
          </cell>
          <cell r="B9" t="str">
            <v>Jazz</v>
          </cell>
          <cell r="C9" t="str">
            <v>Study Total</v>
          </cell>
          <cell r="D9">
            <v>1</v>
          </cell>
          <cell r="E9">
            <v>2</v>
          </cell>
          <cell r="F9">
            <v>3</v>
          </cell>
          <cell r="G9">
            <v>4</v>
          </cell>
          <cell r="H9">
            <v>5</v>
          </cell>
          <cell r="I9">
            <v>6</v>
          </cell>
          <cell r="J9" t="str">
            <v>Vehicle Type</v>
          </cell>
          <cell r="K9" t="str">
            <v>Best In Models</v>
          </cell>
          <cell r="N9" t="str">
            <v>After Sales</v>
          </cell>
        </row>
        <row r="10">
          <cell r="A10">
            <v>6</v>
          </cell>
          <cell r="B10" t="str">
            <v>CR-V</v>
          </cell>
          <cell r="C10" t="str">
            <v>Study Total</v>
          </cell>
          <cell r="D10">
            <v>1</v>
          </cell>
          <cell r="E10">
            <v>2</v>
          </cell>
          <cell r="F10">
            <v>3</v>
          </cell>
          <cell r="G10">
            <v>4</v>
          </cell>
          <cell r="H10">
            <v>5</v>
          </cell>
          <cell r="I10">
            <v>6</v>
          </cell>
          <cell r="J10" t="str">
            <v>Vehicle Type</v>
          </cell>
          <cell r="K10" t="str">
            <v>Best In Models</v>
          </cell>
          <cell r="N10">
            <v>2004</v>
          </cell>
        </row>
        <row r="11">
          <cell r="A11">
            <v>7</v>
          </cell>
          <cell r="B11" t="str">
            <v>Bangkok</v>
          </cell>
          <cell r="C11" t="str">
            <v>Study Total</v>
          </cell>
          <cell r="D11">
            <v>1</v>
          </cell>
          <cell r="E11">
            <v>2</v>
          </cell>
          <cell r="F11">
            <v>3</v>
          </cell>
          <cell r="G11">
            <v>4</v>
          </cell>
          <cell r="H11">
            <v>5</v>
          </cell>
          <cell r="I11">
            <v>6</v>
          </cell>
          <cell r="J11" t="str">
            <v>State</v>
          </cell>
          <cell r="K11" t="str">
            <v>Best in Regions</v>
          </cell>
          <cell r="N11" t="str">
            <v>Wave 2</v>
          </cell>
        </row>
        <row r="12">
          <cell r="A12">
            <v>8</v>
          </cell>
          <cell r="B12" t="str">
            <v>Samut Prakan</v>
          </cell>
          <cell r="C12" t="str">
            <v>Study Total</v>
          </cell>
          <cell r="D12">
            <v>1</v>
          </cell>
          <cell r="E12">
            <v>2</v>
          </cell>
          <cell r="F12">
            <v>3</v>
          </cell>
          <cell r="G12">
            <v>4</v>
          </cell>
          <cell r="H12">
            <v>5</v>
          </cell>
          <cell r="I12">
            <v>6</v>
          </cell>
          <cell r="J12" t="str">
            <v>State</v>
          </cell>
          <cell r="K12" t="str">
            <v>Best in Regions</v>
          </cell>
          <cell r="N12" t="str">
            <v>Study Total</v>
          </cell>
        </row>
        <row r="13">
          <cell r="A13">
            <v>9</v>
          </cell>
          <cell r="B13" t="str">
            <v>Nontaburi</v>
          </cell>
          <cell r="C13" t="str">
            <v>Study Total</v>
          </cell>
          <cell r="D13">
            <v>1</v>
          </cell>
          <cell r="E13">
            <v>2</v>
          </cell>
          <cell r="F13">
            <v>3</v>
          </cell>
          <cell r="G13">
            <v>4</v>
          </cell>
          <cell r="H13">
            <v>5</v>
          </cell>
          <cell r="I13">
            <v>6</v>
          </cell>
          <cell r="J13" t="str">
            <v>State</v>
          </cell>
          <cell r="K13" t="str">
            <v>Best in Regions</v>
          </cell>
          <cell r="N13" t="str">
            <v>Study Total</v>
          </cell>
        </row>
        <row r="14">
          <cell r="A14">
            <v>10</v>
          </cell>
          <cell r="B14" t="str">
            <v>Pathumthani</v>
          </cell>
          <cell r="C14" t="str">
            <v>Study Total</v>
          </cell>
          <cell r="D14">
            <v>1</v>
          </cell>
          <cell r="E14">
            <v>2</v>
          </cell>
          <cell r="F14">
            <v>3</v>
          </cell>
          <cell r="G14">
            <v>4</v>
          </cell>
          <cell r="H14">
            <v>5</v>
          </cell>
          <cell r="I14">
            <v>6</v>
          </cell>
          <cell r="J14" t="str">
            <v>State</v>
          </cell>
          <cell r="K14" t="str">
            <v>Best in Regions</v>
          </cell>
          <cell r="N14" t="str">
            <v>All</v>
          </cell>
        </row>
        <row r="15">
          <cell r="A15">
            <v>11</v>
          </cell>
          <cell r="B15" t="str">
            <v>Sathorn Honda Car</v>
          </cell>
          <cell r="C15" t="str">
            <v>Bangkok</v>
          </cell>
          <cell r="D15">
            <v>1</v>
          </cell>
          <cell r="E15">
            <v>2</v>
          </cell>
          <cell r="F15">
            <v>3</v>
          </cell>
          <cell r="G15">
            <v>4</v>
          </cell>
          <cell r="H15">
            <v>5</v>
          </cell>
          <cell r="I15">
            <v>6</v>
          </cell>
          <cell r="J15" t="str">
            <v>Dealers in Bangkok</v>
          </cell>
          <cell r="K15" t="str">
            <v>Best in Bangkok</v>
          </cell>
        </row>
        <row r="16">
          <cell r="A16">
            <v>12</v>
          </cell>
          <cell r="B16" t="str">
            <v>Bang Chan Honda Car</v>
          </cell>
          <cell r="C16" t="str">
            <v>Bangkok</v>
          </cell>
          <cell r="D16">
            <v>1</v>
          </cell>
          <cell r="E16">
            <v>2</v>
          </cell>
          <cell r="F16">
            <v>3</v>
          </cell>
          <cell r="G16">
            <v>4</v>
          </cell>
          <cell r="H16">
            <v>5</v>
          </cell>
          <cell r="I16">
            <v>6</v>
          </cell>
          <cell r="J16" t="str">
            <v>Dealers in Bangkok</v>
          </cell>
          <cell r="K16" t="str">
            <v>Best in Bangkok</v>
          </cell>
        </row>
        <row r="17">
          <cell r="A17">
            <v>13</v>
          </cell>
          <cell r="B17" t="str">
            <v>Bang Kaen Honda Car</v>
          </cell>
          <cell r="C17" t="str">
            <v>Bangkok</v>
          </cell>
          <cell r="D17">
            <v>1</v>
          </cell>
          <cell r="E17">
            <v>2</v>
          </cell>
          <cell r="F17">
            <v>3</v>
          </cell>
          <cell r="G17">
            <v>4</v>
          </cell>
          <cell r="H17">
            <v>5</v>
          </cell>
          <cell r="I17">
            <v>6</v>
          </cell>
          <cell r="J17" t="str">
            <v>Dealers in Bangkok</v>
          </cell>
          <cell r="K17" t="str">
            <v>Best in Bangkok</v>
          </cell>
        </row>
        <row r="18">
          <cell r="A18">
            <v>14</v>
          </cell>
          <cell r="B18" t="str">
            <v>New Pretchburi Honda Car (1994)</v>
          </cell>
          <cell r="C18" t="str">
            <v>Bangkok</v>
          </cell>
          <cell r="D18">
            <v>1</v>
          </cell>
          <cell r="E18">
            <v>2</v>
          </cell>
          <cell r="F18">
            <v>3</v>
          </cell>
          <cell r="G18">
            <v>4</v>
          </cell>
          <cell r="H18">
            <v>5</v>
          </cell>
          <cell r="I18">
            <v>6</v>
          </cell>
          <cell r="J18" t="str">
            <v>Dealers in Bangkok</v>
          </cell>
          <cell r="K18" t="str">
            <v>Best in Bangkok</v>
          </cell>
        </row>
        <row r="19">
          <cell r="A19">
            <v>15</v>
          </cell>
          <cell r="B19" t="str">
            <v>Rama 4 Honda Car</v>
          </cell>
          <cell r="C19" t="str">
            <v>Bangkok</v>
          </cell>
          <cell r="D19">
            <v>1</v>
          </cell>
          <cell r="E19">
            <v>2</v>
          </cell>
          <cell r="F19">
            <v>3</v>
          </cell>
          <cell r="G19">
            <v>4</v>
          </cell>
          <cell r="H19">
            <v>5</v>
          </cell>
          <cell r="I19">
            <v>6</v>
          </cell>
          <cell r="J19" t="str">
            <v>Dealers in Bangkok</v>
          </cell>
          <cell r="K19" t="str">
            <v>Best in Bangkok</v>
          </cell>
        </row>
        <row r="20">
          <cell r="A20">
            <v>16</v>
          </cell>
          <cell r="B20" t="str">
            <v>Rama 3 Honda Car (Satupadit)</v>
          </cell>
          <cell r="C20" t="str">
            <v>Bangkok</v>
          </cell>
          <cell r="D20">
            <v>1</v>
          </cell>
          <cell r="E20">
            <v>2</v>
          </cell>
          <cell r="F20">
            <v>3</v>
          </cell>
          <cell r="G20">
            <v>4</v>
          </cell>
          <cell r="H20">
            <v>5</v>
          </cell>
          <cell r="I20">
            <v>6</v>
          </cell>
          <cell r="J20" t="str">
            <v>Dealers in Bangkok</v>
          </cell>
          <cell r="K20" t="str">
            <v>Best in Bangkok</v>
          </cell>
        </row>
        <row r="21">
          <cell r="A21">
            <v>17</v>
          </cell>
          <cell r="B21" t="str">
            <v>Von Honda Car (Lard Pao)</v>
          </cell>
          <cell r="C21" t="str">
            <v>Bangkok</v>
          </cell>
          <cell r="D21">
            <v>1</v>
          </cell>
          <cell r="E21">
            <v>2</v>
          </cell>
          <cell r="F21">
            <v>3</v>
          </cell>
          <cell r="G21">
            <v>4</v>
          </cell>
          <cell r="H21">
            <v>5</v>
          </cell>
          <cell r="I21">
            <v>6</v>
          </cell>
          <cell r="J21" t="str">
            <v>Dealers in Bangkok</v>
          </cell>
          <cell r="K21" t="str">
            <v>Best in Bangkok</v>
          </cell>
        </row>
        <row r="22">
          <cell r="A22">
            <v>18</v>
          </cell>
          <cell r="B22" t="str">
            <v>Rama 7 Honda Car</v>
          </cell>
          <cell r="C22" t="str">
            <v>Bangkok</v>
          </cell>
          <cell r="D22">
            <v>1</v>
          </cell>
          <cell r="E22">
            <v>2</v>
          </cell>
          <cell r="F22">
            <v>3</v>
          </cell>
          <cell r="G22">
            <v>4</v>
          </cell>
          <cell r="H22">
            <v>5</v>
          </cell>
          <cell r="I22">
            <v>6</v>
          </cell>
          <cell r="J22" t="str">
            <v>Dealers in Bangkok</v>
          </cell>
          <cell r="K22" t="str">
            <v>Best in Bangkok</v>
          </cell>
        </row>
        <row r="23">
          <cell r="A23">
            <v>19</v>
          </cell>
          <cell r="B23" t="str">
            <v>V. Group Honda Car (Nong Kham)</v>
          </cell>
          <cell r="C23" t="str">
            <v>Bangkok</v>
          </cell>
          <cell r="D23">
            <v>1</v>
          </cell>
          <cell r="E23">
            <v>2</v>
          </cell>
          <cell r="F23">
            <v>3</v>
          </cell>
          <cell r="G23">
            <v>4</v>
          </cell>
          <cell r="H23">
            <v>5</v>
          </cell>
          <cell r="I23">
            <v>6</v>
          </cell>
          <cell r="J23" t="str">
            <v>Dealers in Bangkok</v>
          </cell>
          <cell r="K23" t="str">
            <v>Best in Bangkok</v>
          </cell>
        </row>
        <row r="24">
          <cell r="A24">
            <v>20</v>
          </cell>
          <cell r="B24" t="str">
            <v>Summit Honda Automobiles</v>
          </cell>
          <cell r="C24" t="str">
            <v>Bangkok</v>
          </cell>
          <cell r="D24">
            <v>1</v>
          </cell>
          <cell r="E24">
            <v>2</v>
          </cell>
          <cell r="F24">
            <v>3</v>
          </cell>
          <cell r="G24">
            <v>4</v>
          </cell>
          <cell r="H24">
            <v>5</v>
          </cell>
          <cell r="I24">
            <v>6</v>
          </cell>
          <cell r="J24" t="str">
            <v>Dealers in Bangkok</v>
          </cell>
          <cell r="K24" t="str">
            <v>Best in Bangkok</v>
          </cell>
        </row>
        <row r="25">
          <cell r="A25">
            <v>21</v>
          </cell>
          <cell r="B25" t="str">
            <v>Navamin Honda Automobiles</v>
          </cell>
          <cell r="C25" t="str">
            <v>Bangkok</v>
          </cell>
          <cell r="D25">
            <v>1</v>
          </cell>
          <cell r="E25">
            <v>2</v>
          </cell>
          <cell r="F25">
            <v>3</v>
          </cell>
          <cell r="G25">
            <v>4</v>
          </cell>
          <cell r="H25">
            <v>5</v>
          </cell>
          <cell r="I25">
            <v>6</v>
          </cell>
          <cell r="J25" t="str">
            <v>Dealers in Bangkok</v>
          </cell>
          <cell r="K25" t="str">
            <v>Best in Bangkok</v>
          </cell>
        </row>
        <row r="26">
          <cell r="A26">
            <v>22</v>
          </cell>
          <cell r="B26" t="str">
            <v>Prin Kao Honda Car</v>
          </cell>
          <cell r="C26" t="str">
            <v>Bangkok</v>
          </cell>
          <cell r="D26">
            <v>1</v>
          </cell>
          <cell r="E26">
            <v>2</v>
          </cell>
          <cell r="F26">
            <v>3</v>
          </cell>
          <cell r="G26">
            <v>4</v>
          </cell>
          <cell r="H26">
            <v>5</v>
          </cell>
          <cell r="I26">
            <v>6</v>
          </cell>
          <cell r="J26" t="str">
            <v>Dealers in Bangkok</v>
          </cell>
          <cell r="K26" t="str">
            <v>Best in Bangkok</v>
          </cell>
        </row>
        <row r="27">
          <cell r="A27">
            <v>23</v>
          </cell>
          <cell r="B27" t="str">
            <v>Ramintra Honda Car</v>
          </cell>
          <cell r="C27" t="str">
            <v>Bangkok</v>
          </cell>
          <cell r="D27">
            <v>1</v>
          </cell>
          <cell r="E27">
            <v>2</v>
          </cell>
          <cell r="F27">
            <v>3</v>
          </cell>
          <cell r="G27">
            <v>4</v>
          </cell>
          <cell r="H27">
            <v>5</v>
          </cell>
          <cell r="I27">
            <v>6</v>
          </cell>
          <cell r="J27" t="str">
            <v>Dealers in Bangkok</v>
          </cell>
          <cell r="K27" t="str">
            <v>Best in Bangkok</v>
          </cell>
        </row>
        <row r="28">
          <cell r="A28">
            <v>24</v>
          </cell>
          <cell r="B28" t="str">
            <v>Rama 9 Honda Car</v>
          </cell>
          <cell r="C28" t="str">
            <v>Bangkok</v>
          </cell>
          <cell r="D28">
            <v>1</v>
          </cell>
          <cell r="E28">
            <v>2</v>
          </cell>
          <cell r="F28">
            <v>3</v>
          </cell>
          <cell r="G28">
            <v>4</v>
          </cell>
          <cell r="H28">
            <v>5</v>
          </cell>
          <cell r="I28">
            <v>6</v>
          </cell>
          <cell r="J28" t="str">
            <v>Dealers in Bangkok</v>
          </cell>
          <cell r="K28" t="str">
            <v>Best in Bangkok</v>
          </cell>
        </row>
        <row r="29">
          <cell r="A29">
            <v>25</v>
          </cell>
          <cell r="B29" t="str">
            <v>Nakarin Honda Car</v>
          </cell>
          <cell r="C29" t="str">
            <v>Bangkok</v>
          </cell>
          <cell r="D29">
            <v>1</v>
          </cell>
          <cell r="E29">
            <v>2</v>
          </cell>
          <cell r="F29">
            <v>3</v>
          </cell>
          <cell r="G29">
            <v>4</v>
          </cell>
          <cell r="H29">
            <v>5</v>
          </cell>
          <cell r="I29">
            <v>6</v>
          </cell>
          <cell r="J29" t="str">
            <v>Dealers in Bangkok</v>
          </cell>
          <cell r="K29" t="str">
            <v>Best in Bangkok</v>
          </cell>
        </row>
        <row r="30">
          <cell r="A30">
            <v>26</v>
          </cell>
          <cell r="B30" t="str">
            <v>Thonburi Honda Car</v>
          </cell>
          <cell r="C30" t="str">
            <v>Bangkok</v>
          </cell>
          <cell r="D30">
            <v>1</v>
          </cell>
          <cell r="E30">
            <v>2</v>
          </cell>
          <cell r="F30">
            <v>3</v>
          </cell>
          <cell r="G30">
            <v>4</v>
          </cell>
          <cell r="H30">
            <v>5</v>
          </cell>
          <cell r="I30">
            <v>6</v>
          </cell>
          <cell r="J30" t="str">
            <v>Dealers in Bangkok</v>
          </cell>
          <cell r="K30" t="str">
            <v>Best in Bangkok</v>
          </cell>
        </row>
        <row r="31">
          <cell r="A31">
            <v>27</v>
          </cell>
          <cell r="B31" t="str">
            <v>Dao Kanong Honda Automobiles</v>
          </cell>
          <cell r="C31" t="str">
            <v>Bangkok</v>
          </cell>
          <cell r="D31">
            <v>1</v>
          </cell>
          <cell r="E31">
            <v>2</v>
          </cell>
          <cell r="F31">
            <v>3</v>
          </cell>
          <cell r="G31">
            <v>4</v>
          </cell>
          <cell r="H31">
            <v>5</v>
          </cell>
          <cell r="I31">
            <v>6</v>
          </cell>
          <cell r="J31" t="str">
            <v>Dealers in Bangkok</v>
          </cell>
          <cell r="K31" t="str">
            <v>Best in Bangkok</v>
          </cell>
        </row>
        <row r="32">
          <cell r="A32">
            <v>28</v>
          </cell>
          <cell r="B32" t="str">
            <v>Bangna Showroom and Service</v>
          </cell>
          <cell r="C32" t="str">
            <v>Bangkok</v>
          </cell>
          <cell r="D32">
            <v>1</v>
          </cell>
          <cell r="E32">
            <v>2</v>
          </cell>
          <cell r="F32">
            <v>3</v>
          </cell>
          <cell r="G32">
            <v>4</v>
          </cell>
          <cell r="H32">
            <v>5</v>
          </cell>
          <cell r="I32">
            <v>6</v>
          </cell>
          <cell r="J32" t="str">
            <v>Dealers in Bangkok</v>
          </cell>
          <cell r="K32" t="str">
            <v>Best in Bangkok</v>
          </cell>
        </row>
        <row r="33">
          <cell r="A33">
            <v>29</v>
          </cell>
          <cell r="B33" t="str">
            <v>Sriaduthaya Showroom and Service</v>
          </cell>
          <cell r="C33" t="str">
            <v>Bangkok</v>
          </cell>
          <cell r="D33">
            <v>1</v>
          </cell>
          <cell r="E33">
            <v>2</v>
          </cell>
          <cell r="F33">
            <v>3</v>
          </cell>
          <cell r="G33">
            <v>4</v>
          </cell>
          <cell r="H33">
            <v>5</v>
          </cell>
          <cell r="I33">
            <v>6</v>
          </cell>
          <cell r="J33" t="str">
            <v>Dealers in Bangkok</v>
          </cell>
          <cell r="K33" t="str">
            <v>Best in Bangkok</v>
          </cell>
        </row>
        <row r="34">
          <cell r="A34">
            <v>30</v>
          </cell>
          <cell r="B34" t="str">
            <v>Bangplee Honda Car</v>
          </cell>
          <cell r="C34" t="str">
            <v>Samut Prakan</v>
          </cell>
          <cell r="D34">
            <v>1</v>
          </cell>
          <cell r="E34">
            <v>2</v>
          </cell>
          <cell r="F34">
            <v>3</v>
          </cell>
          <cell r="G34">
            <v>4</v>
          </cell>
          <cell r="H34">
            <v>5</v>
          </cell>
          <cell r="I34">
            <v>6</v>
          </cell>
          <cell r="J34" t="str">
            <v>Dealers in Samut Prakan</v>
          </cell>
          <cell r="K34" t="str">
            <v>Best in Samut Prakan</v>
          </cell>
        </row>
        <row r="35">
          <cell r="A35">
            <v>31</v>
          </cell>
          <cell r="B35" t="str">
            <v>Samut Prakarn Honda Car (1996)</v>
          </cell>
          <cell r="C35" t="str">
            <v>Samut Prakan</v>
          </cell>
          <cell r="D35">
            <v>1</v>
          </cell>
          <cell r="E35">
            <v>2</v>
          </cell>
          <cell r="F35">
            <v>3</v>
          </cell>
          <cell r="G35">
            <v>4</v>
          </cell>
          <cell r="H35">
            <v>5</v>
          </cell>
          <cell r="I35">
            <v>6</v>
          </cell>
          <cell r="J35" t="str">
            <v>Dealers in Samut Prakan</v>
          </cell>
          <cell r="K35" t="str">
            <v>Best in Samut Prakan</v>
          </cell>
        </row>
        <row r="36">
          <cell r="A36">
            <v>32</v>
          </cell>
          <cell r="B36" t="str">
            <v>Teparak Honda</v>
          </cell>
          <cell r="C36" t="str">
            <v>Samut Prakan</v>
          </cell>
          <cell r="D36">
            <v>1</v>
          </cell>
          <cell r="E36">
            <v>2</v>
          </cell>
          <cell r="F36">
            <v>3</v>
          </cell>
          <cell r="G36">
            <v>4</v>
          </cell>
          <cell r="H36">
            <v>5</v>
          </cell>
          <cell r="I36">
            <v>6</v>
          </cell>
          <cell r="J36" t="str">
            <v>Dealers in Samut Prakan</v>
          </cell>
          <cell r="K36" t="str">
            <v>Best in Samut Prakan</v>
          </cell>
        </row>
        <row r="37">
          <cell r="A37">
            <v>33</v>
          </cell>
          <cell r="B37" t="str">
            <v>Phrapadang Honda Car</v>
          </cell>
          <cell r="C37" t="str">
            <v>Samut Prakan</v>
          </cell>
          <cell r="D37">
            <v>1</v>
          </cell>
          <cell r="E37">
            <v>2</v>
          </cell>
          <cell r="F37">
            <v>3</v>
          </cell>
          <cell r="G37">
            <v>4</v>
          </cell>
          <cell r="H37">
            <v>5</v>
          </cell>
          <cell r="I37">
            <v>6</v>
          </cell>
          <cell r="J37" t="str">
            <v>Dealers in Samut Prakan</v>
          </cell>
          <cell r="K37" t="str">
            <v>Best in Samut Prakan</v>
          </cell>
        </row>
        <row r="38">
          <cell r="A38">
            <v>34</v>
          </cell>
          <cell r="B38" t="str">
            <v>V. Group Honda Car (Chang Watana)</v>
          </cell>
          <cell r="C38" t="str">
            <v>Nontaburi</v>
          </cell>
          <cell r="D38">
            <v>1</v>
          </cell>
          <cell r="E38">
            <v>2</v>
          </cell>
          <cell r="F38">
            <v>3</v>
          </cell>
          <cell r="G38">
            <v>4</v>
          </cell>
          <cell r="H38">
            <v>5</v>
          </cell>
          <cell r="I38">
            <v>6</v>
          </cell>
          <cell r="J38" t="str">
            <v>Dealers in Nontaburi</v>
          </cell>
          <cell r="K38" t="str">
            <v>Best in Nontaburi</v>
          </cell>
        </row>
        <row r="39">
          <cell r="A39">
            <v>35</v>
          </cell>
          <cell r="B39" t="str">
            <v>Nonthaburi Honda Car</v>
          </cell>
          <cell r="C39" t="str">
            <v>Nontaburi</v>
          </cell>
          <cell r="D39">
            <v>1</v>
          </cell>
          <cell r="E39">
            <v>2</v>
          </cell>
          <cell r="F39">
            <v>3</v>
          </cell>
          <cell r="G39">
            <v>4</v>
          </cell>
          <cell r="H39">
            <v>5</v>
          </cell>
          <cell r="I39">
            <v>6</v>
          </cell>
          <cell r="J39" t="str">
            <v>Dealers in Nontaburi</v>
          </cell>
          <cell r="K39" t="str">
            <v>Best in Nontaburi</v>
          </cell>
        </row>
        <row r="40">
          <cell r="A40">
            <v>36</v>
          </cell>
          <cell r="B40" t="str">
            <v>H.C.N.</v>
          </cell>
          <cell r="C40" t="str">
            <v>Nontaburi</v>
          </cell>
          <cell r="D40">
            <v>1</v>
          </cell>
          <cell r="E40">
            <v>2</v>
          </cell>
          <cell r="F40">
            <v>3</v>
          </cell>
          <cell r="G40">
            <v>4</v>
          </cell>
          <cell r="H40">
            <v>5</v>
          </cell>
          <cell r="I40">
            <v>6</v>
          </cell>
          <cell r="J40" t="str">
            <v>Dealers in Nontaburi</v>
          </cell>
          <cell r="K40" t="str">
            <v>Best in Nontaburi</v>
          </cell>
        </row>
        <row r="41">
          <cell r="A41">
            <v>37</v>
          </cell>
          <cell r="B41" t="str">
            <v>Von Honda Car (Rangsit)</v>
          </cell>
          <cell r="C41" t="str">
            <v>Pathumthani</v>
          </cell>
          <cell r="D41">
            <v>1</v>
          </cell>
          <cell r="E41">
            <v>2</v>
          </cell>
          <cell r="F41">
            <v>3</v>
          </cell>
          <cell r="G41">
            <v>4</v>
          </cell>
          <cell r="H41">
            <v>5</v>
          </cell>
          <cell r="I41">
            <v>6</v>
          </cell>
          <cell r="J41" t="str">
            <v>Dealers in Pathumthani</v>
          </cell>
          <cell r="K41" t="str">
            <v>Best in Pathumthani</v>
          </cell>
        </row>
        <row r="42">
          <cell r="A42">
            <v>38</v>
          </cell>
          <cell r="B42" t="str">
            <v>Pratum Thani Honda Car</v>
          </cell>
          <cell r="C42" t="str">
            <v>Pathumthani</v>
          </cell>
          <cell r="D42">
            <v>1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 t="str">
            <v>Dealers in Pathumthani</v>
          </cell>
          <cell r="K42" t="str">
            <v>Best in Pathumthani</v>
          </cell>
        </row>
        <row r="43">
          <cell r="A43">
            <v>39</v>
          </cell>
          <cell r="B43" t="str">
            <v>Tanyabiri Honda Car</v>
          </cell>
          <cell r="C43" t="str">
            <v>Pathumthani</v>
          </cell>
          <cell r="D43">
            <v>1</v>
          </cell>
          <cell r="E43">
            <v>2</v>
          </cell>
          <cell r="F43">
            <v>3</v>
          </cell>
          <cell r="G43">
            <v>4</v>
          </cell>
          <cell r="H43">
            <v>5</v>
          </cell>
          <cell r="I43">
            <v>6</v>
          </cell>
          <cell r="J43" t="str">
            <v>Dealers in Pathumthani</v>
          </cell>
          <cell r="K43" t="str">
            <v>Best in Pathumthani</v>
          </cell>
        </row>
        <row r="44">
          <cell r="A44">
            <v>1</v>
          </cell>
        </row>
        <row r="45">
          <cell r="B45">
            <v>2</v>
          </cell>
        </row>
      </sheetData>
      <sheetData sheetId="10" refreshError="1">
        <row r="1">
          <cell r="B1">
            <v>150</v>
          </cell>
        </row>
        <row r="2">
          <cell r="J2">
            <v>0</v>
          </cell>
          <cell r="K2">
            <v>0</v>
          </cell>
          <cell r="L2">
            <v>0</v>
          </cell>
        </row>
        <row r="3">
          <cell r="B3" t="e">
            <v>#REF!</v>
          </cell>
          <cell r="C3" t="e">
            <v>#REF!</v>
          </cell>
          <cell r="D3" t="e">
            <v>#VALUE!</v>
          </cell>
          <cell r="E3" t="e">
            <v>#VALUE!</v>
          </cell>
          <cell r="F3" t="e">
            <v>#VALUE!</v>
          </cell>
          <cell r="G3" t="e">
            <v>#VALUE!</v>
          </cell>
          <cell r="H3" t="e">
            <v>#VALUE!</v>
          </cell>
          <cell r="I3" t="e">
            <v>#VALUE!</v>
          </cell>
          <cell r="J3" t="e">
            <v>#VALUE!</v>
          </cell>
          <cell r="K3" t="e">
            <v>#VALUE!</v>
          </cell>
          <cell r="L3" t="e">
            <v>#VALUE!</v>
          </cell>
        </row>
        <row r="4">
          <cell r="B4" t="e">
            <v>#REF!</v>
          </cell>
          <cell r="C4" t="e">
            <v>#REF!</v>
          </cell>
          <cell r="D4" t="e">
            <v>#VALUE!</v>
          </cell>
          <cell r="E4" t="e">
            <v>#VALUE!</v>
          </cell>
          <cell r="F4" t="e">
            <v>#VALUE!</v>
          </cell>
          <cell r="G4" t="e">
            <v>#VALUE!</v>
          </cell>
          <cell r="H4" t="e">
            <v>#VALUE!</v>
          </cell>
          <cell r="I4" t="e">
            <v>#VALUE!</v>
          </cell>
          <cell r="J4" t="e">
            <v>#VALUE!</v>
          </cell>
          <cell r="K4" t="e">
            <v>#VALUE!</v>
          </cell>
          <cell r="L4" t="e">
            <v>#VALUE!</v>
          </cell>
        </row>
        <row r="5">
          <cell r="B5" t="e">
            <v>#REF!</v>
          </cell>
          <cell r="C5" t="e">
            <v>#REF!</v>
          </cell>
          <cell r="D5" t="e">
            <v>#VALUE!</v>
          </cell>
          <cell r="E5" t="e">
            <v>#VALUE!</v>
          </cell>
          <cell r="F5" t="e">
            <v>#VALUE!</v>
          </cell>
          <cell r="G5" t="e">
            <v>#VALUE!</v>
          </cell>
          <cell r="H5" t="e">
            <v>#VALUE!</v>
          </cell>
          <cell r="I5" t="e">
            <v>#VALUE!</v>
          </cell>
          <cell r="J5" t="e">
            <v>#VALUE!</v>
          </cell>
          <cell r="K5" t="e">
            <v>#VALUE!</v>
          </cell>
          <cell r="L5" t="e">
            <v>#VALUE!</v>
          </cell>
        </row>
        <row r="6">
          <cell r="B6" t="e">
            <v>#REF!</v>
          </cell>
          <cell r="C6" t="e">
            <v>#REF!</v>
          </cell>
          <cell r="D6" t="e">
            <v>#VALUE!</v>
          </cell>
          <cell r="E6" t="e">
            <v>#VALUE!</v>
          </cell>
          <cell r="F6" t="e">
            <v>#VALUE!</v>
          </cell>
          <cell r="G6" t="e">
            <v>#VALUE!</v>
          </cell>
          <cell r="H6" t="e">
            <v>#VALUE!</v>
          </cell>
          <cell r="I6" t="e">
            <v>#VALUE!</v>
          </cell>
          <cell r="J6" t="e">
            <v>#VALUE!</v>
          </cell>
          <cell r="K6" t="e">
            <v>#VALUE!</v>
          </cell>
          <cell r="L6" t="e">
            <v>#VALUE!</v>
          </cell>
        </row>
        <row r="7">
          <cell r="B7" t="e">
            <v>#REF!</v>
          </cell>
          <cell r="C7" t="e">
            <v>#REF!</v>
          </cell>
          <cell r="D7" t="e">
            <v>#VALUE!</v>
          </cell>
          <cell r="E7" t="e">
            <v>#VALUE!</v>
          </cell>
          <cell r="F7" t="e">
            <v>#VALUE!</v>
          </cell>
          <cell r="G7" t="e">
            <v>#VALUE!</v>
          </cell>
          <cell r="H7" t="e">
            <v>#VALUE!</v>
          </cell>
          <cell r="I7" t="e">
            <v>#VALUE!</v>
          </cell>
          <cell r="J7" t="e">
            <v>#VALUE!</v>
          </cell>
          <cell r="K7" t="e">
            <v>#VALUE!</v>
          </cell>
          <cell r="L7" t="e">
            <v>#VALUE!</v>
          </cell>
        </row>
        <row r="8">
          <cell r="B8" t="e">
            <v>#REF!</v>
          </cell>
          <cell r="C8" t="e">
            <v>#REF!</v>
          </cell>
          <cell r="D8" t="e">
            <v>#VALUE!</v>
          </cell>
          <cell r="E8" t="e">
            <v>#VALUE!</v>
          </cell>
          <cell r="F8" t="e">
            <v>#VALUE!</v>
          </cell>
          <cell r="G8" t="e">
            <v>#VALUE!</v>
          </cell>
          <cell r="H8" t="e">
            <v>#VALUE!</v>
          </cell>
          <cell r="I8" t="e">
            <v>#VALUE!</v>
          </cell>
          <cell r="J8" t="e">
            <v>#VALUE!</v>
          </cell>
          <cell r="K8" t="e">
            <v>#VALUE!</v>
          </cell>
          <cell r="L8" t="e">
            <v>#VALUE!</v>
          </cell>
        </row>
        <row r="9">
          <cell r="B9" t="e">
            <v>#REF!</v>
          </cell>
          <cell r="C9" t="e">
            <v>#REF!</v>
          </cell>
          <cell r="D9" t="e">
            <v>#VALUE!</v>
          </cell>
          <cell r="E9" t="e">
            <v>#VALUE!</v>
          </cell>
          <cell r="F9" t="e">
            <v>#VALUE!</v>
          </cell>
          <cell r="G9" t="e">
            <v>#VALUE!</v>
          </cell>
          <cell r="H9" t="e">
            <v>#VALUE!</v>
          </cell>
          <cell r="I9" t="e">
            <v>#VALUE!</v>
          </cell>
          <cell r="J9" t="e">
            <v>#VALUE!</v>
          </cell>
          <cell r="K9" t="e">
            <v>#VALUE!</v>
          </cell>
          <cell r="L9" t="e">
            <v>#VALUE!</v>
          </cell>
        </row>
        <row r="10">
          <cell r="B10" t="e">
            <v>#REF!</v>
          </cell>
          <cell r="C10" t="e">
            <v>#REF!</v>
          </cell>
          <cell r="D10" t="e">
            <v>#VALUE!</v>
          </cell>
          <cell r="E10" t="e">
            <v>#VALUE!</v>
          </cell>
          <cell r="F10" t="e">
            <v>#VALUE!</v>
          </cell>
          <cell r="G10" t="e">
            <v>#VALUE!</v>
          </cell>
          <cell r="H10" t="e">
            <v>#VALUE!</v>
          </cell>
          <cell r="I10" t="e">
            <v>#VALUE!</v>
          </cell>
          <cell r="J10" t="e">
            <v>#VALUE!</v>
          </cell>
          <cell r="K10" t="e">
            <v>#VALUE!</v>
          </cell>
          <cell r="L10" t="e">
            <v>#VALUE!</v>
          </cell>
        </row>
        <row r="11">
          <cell r="B11" t="e">
            <v>#REF!</v>
          </cell>
          <cell r="C11" t="e">
            <v>#REF!</v>
          </cell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</row>
        <row r="12">
          <cell r="B12" t="e">
            <v>#REF!</v>
          </cell>
          <cell r="C12" t="e">
            <v>#REF!</v>
          </cell>
          <cell r="D12" t="e">
            <v>#VALUE!</v>
          </cell>
          <cell r="E12" t="e">
            <v>#VALUE!</v>
          </cell>
          <cell r="F12" t="e">
            <v>#VALUE!</v>
          </cell>
          <cell r="G12" t="e">
            <v>#VALUE!</v>
          </cell>
          <cell r="H12" t="e">
            <v>#VALUE!</v>
          </cell>
          <cell r="I12" t="e">
            <v>#VALUE!</v>
          </cell>
          <cell r="J12" t="e">
            <v>#VALUE!</v>
          </cell>
          <cell r="K12" t="e">
            <v>#VALUE!</v>
          </cell>
          <cell r="L12" t="e">
            <v>#VALUE!</v>
          </cell>
        </row>
        <row r="13">
          <cell r="B13" t="e">
            <v>#REF!</v>
          </cell>
          <cell r="C13" t="e">
            <v>#REF!</v>
          </cell>
          <cell r="D13" t="e">
            <v>#VALUE!</v>
          </cell>
          <cell r="E13" t="e">
            <v>#VALUE!</v>
          </cell>
          <cell r="F13" t="e">
            <v>#VALUE!</v>
          </cell>
          <cell r="G13" t="e">
            <v>#VALUE!</v>
          </cell>
          <cell r="H13" t="e">
            <v>#VALUE!</v>
          </cell>
          <cell r="I13" t="e">
            <v>#VALUE!</v>
          </cell>
          <cell r="J13" t="e">
            <v>#VALUE!</v>
          </cell>
          <cell r="K13" t="e">
            <v>#VALUE!</v>
          </cell>
          <cell r="L13" t="e">
            <v>#VALUE!</v>
          </cell>
        </row>
        <row r="14">
          <cell r="B14" t="e">
            <v>#REF!</v>
          </cell>
          <cell r="C14" t="e">
            <v>#REF!</v>
          </cell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</row>
        <row r="15">
          <cell r="B15" t="e">
            <v>#REF!</v>
          </cell>
          <cell r="C15" t="e">
            <v>#REF!</v>
          </cell>
          <cell r="D15" t="e">
            <v>#VALUE!</v>
          </cell>
          <cell r="E15" t="e">
            <v>#VALUE!</v>
          </cell>
          <cell r="F15" t="e">
            <v>#VALUE!</v>
          </cell>
          <cell r="G15" t="e">
            <v>#VALUE!</v>
          </cell>
          <cell r="H15" t="e">
            <v>#VALUE!</v>
          </cell>
          <cell r="I15" t="e">
            <v>#VALUE!</v>
          </cell>
          <cell r="J15" t="e">
            <v>#VALUE!</v>
          </cell>
          <cell r="K15" t="e">
            <v>#VALUE!</v>
          </cell>
          <cell r="L15" t="e">
            <v>#VALUE!</v>
          </cell>
        </row>
        <row r="16">
          <cell r="B16" t="e">
            <v>#REF!</v>
          </cell>
          <cell r="C16" t="e">
            <v>#REF!</v>
          </cell>
          <cell r="D16" t="e">
            <v>#VALUE!</v>
          </cell>
          <cell r="E16" t="e">
            <v>#VALUE!</v>
          </cell>
          <cell r="F16" t="e">
            <v>#VALUE!</v>
          </cell>
          <cell r="G16" t="e">
            <v>#VALUE!</v>
          </cell>
          <cell r="H16" t="e">
            <v>#VALUE!</v>
          </cell>
          <cell r="I16" t="e">
            <v>#VALUE!</v>
          </cell>
          <cell r="J16" t="e">
            <v>#VALUE!</v>
          </cell>
          <cell r="K16" t="e">
            <v>#VALUE!</v>
          </cell>
          <cell r="L16" t="e">
            <v>#VALUE!</v>
          </cell>
        </row>
        <row r="17">
          <cell r="B17" t="e">
            <v>#REF!</v>
          </cell>
          <cell r="C17" t="e">
            <v>#REF!</v>
          </cell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</row>
        <row r="18">
          <cell r="B18" t="e">
            <v>#REF!</v>
          </cell>
          <cell r="C18" t="e">
            <v>#REF!</v>
          </cell>
          <cell r="D18" t="e">
            <v>#VALUE!</v>
          </cell>
          <cell r="E18" t="e">
            <v>#VALUE!</v>
          </cell>
          <cell r="F18" t="e">
            <v>#VALUE!</v>
          </cell>
          <cell r="G18" t="e">
            <v>#VALUE!</v>
          </cell>
          <cell r="H18" t="e">
            <v>#VALUE!</v>
          </cell>
          <cell r="I18" t="e">
            <v>#VALUE!</v>
          </cell>
          <cell r="J18" t="e">
            <v>#VALUE!</v>
          </cell>
          <cell r="K18" t="e">
            <v>#VALUE!</v>
          </cell>
          <cell r="L18" t="e">
            <v>#VALUE!</v>
          </cell>
        </row>
        <row r="19">
          <cell r="B19" t="e">
            <v>#REF!</v>
          </cell>
          <cell r="C19" t="e">
            <v>#REF!</v>
          </cell>
          <cell r="D19" t="e">
            <v>#VALUE!</v>
          </cell>
          <cell r="E19" t="e">
            <v>#VALUE!</v>
          </cell>
          <cell r="F19" t="e">
            <v>#VALUE!</v>
          </cell>
          <cell r="G19" t="e">
            <v>#VALUE!</v>
          </cell>
          <cell r="H19" t="e">
            <v>#VALUE!</v>
          </cell>
          <cell r="I19" t="e">
            <v>#VALUE!</v>
          </cell>
          <cell r="J19" t="e">
            <v>#VALUE!</v>
          </cell>
          <cell r="K19" t="e">
            <v>#VALUE!</v>
          </cell>
          <cell r="L19" t="e">
            <v>#VALUE!</v>
          </cell>
        </row>
        <row r="20">
          <cell r="B20" t="e">
            <v>#REF!</v>
          </cell>
          <cell r="C20" t="e">
            <v>#REF!</v>
          </cell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</row>
        <row r="21">
          <cell r="B21" t="e">
            <v>#REF!</v>
          </cell>
          <cell r="C21" t="e">
            <v>#REF!</v>
          </cell>
          <cell r="D21" t="e">
            <v>#VALUE!</v>
          </cell>
          <cell r="E21" t="e">
            <v>#VALUE!</v>
          </cell>
          <cell r="F21" t="e">
            <v>#VALUE!</v>
          </cell>
          <cell r="G21" t="e">
            <v>#VALUE!</v>
          </cell>
          <cell r="H21" t="e">
            <v>#VALUE!</v>
          </cell>
          <cell r="I21" t="e">
            <v>#VALUE!</v>
          </cell>
          <cell r="J21" t="e">
            <v>#VALUE!</v>
          </cell>
          <cell r="K21" t="e">
            <v>#VALUE!</v>
          </cell>
          <cell r="L21" t="e">
            <v>#VALUE!</v>
          </cell>
        </row>
        <row r="22">
          <cell r="B22" t="e">
            <v>#REF!</v>
          </cell>
          <cell r="C22" t="e">
            <v>#REF!</v>
          </cell>
          <cell r="D22" t="e">
            <v>#VALUE!</v>
          </cell>
          <cell r="E22" t="e">
            <v>#VALUE!</v>
          </cell>
          <cell r="F22" t="e">
            <v>#VALUE!</v>
          </cell>
          <cell r="G22" t="e">
            <v>#VALUE!</v>
          </cell>
          <cell r="H22" t="e">
            <v>#VALUE!</v>
          </cell>
          <cell r="I22" t="e">
            <v>#VALUE!</v>
          </cell>
          <cell r="J22" t="e">
            <v>#VALUE!</v>
          </cell>
          <cell r="K22" t="e">
            <v>#VALUE!</v>
          </cell>
          <cell r="L22" t="e">
            <v>#VALUE!</v>
          </cell>
        </row>
        <row r="23">
          <cell r="B23" t="e">
            <v>#REF!</v>
          </cell>
          <cell r="C23" t="e">
            <v>#REF!</v>
          </cell>
          <cell r="D23" t="e">
            <v>#VALUE!</v>
          </cell>
          <cell r="E23" t="e">
            <v>#VALUE!</v>
          </cell>
          <cell r="F23" t="e">
            <v>#VALUE!</v>
          </cell>
          <cell r="G23" t="e">
            <v>#VALUE!</v>
          </cell>
          <cell r="H23" t="e">
            <v>#VALUE!</v>
          </cell>
          <cell r="I23" t="e">
            <v>#VALUE!</v>
          </cell>
          <cell r="J23" t="e">
            <v>#VALUE!</v>
          </cell>
          <cell r="K23" t="e">
            <v>#VALUE!</v>
          </cell>
          <cell r="L23" t="e">
            <v>#VALUE!</v>
          </cell>
        </row>
        <row r="24">
          <cell r="B24" t="e">
            <v>#REF!</v>
          </cell>
          <cell r="C24" t="e">
            <v>#REF!</v>
          </cell>
          <cell r="D24" t="e">
            <v>#VALUE!</v>
          </cell>
          <cell r="E24" t="e">
            <v>#VALUE!</v>
          </cell>
          <cell r="F24" t="e">
            <v>#VALUE!</v>
          </cell>
          <cell r="G24" t="e">
            <v>#VALUE!</v>
          </cell>
          <cell r="H24" t="e">
            <v>#VALUE!</v>
          </cell>
          <cell r="I24" t="e">
            <v>#VALUE!</v>
          </cell>
          <cell r="J24" t="e">
            <v>#VALUE!</v>
          </cell>
          <cell r="K24" t="e">
            <v>#VALUE!</v>
          </cell>
          <cell r="L24" t="e">
            <v>#VALUE!</v>
          </cell>
        </row>
        <row r="25">
          <cell r="B25" t="e">
            <v>#REF!</v>
          </cell>
          <cell r="C25" t="e">
            <v>#REF!</v>
          </cell>
          <cell r="D25" t="e">
            <v>#VALUE!</v>
          </cell>
          <cell r="E25" t="e">
            <v>#VALUE!</v>
          </cell>
          <cell r="F25" t="e">
            <v>#VALUE!</v>
          </cell>
          <cell r="G25" t="e">
            <v>#VALUE!</v>
          </cell>
          <cell r="H25" t="e">
            <v>#VALUE!</v>
          </cell>
          <cell r="I25" t="e">
            <v>#VALUE!</v>
          </cell>
          <cell r="J25" t="e">
            <v>#VALUE!</v>
          </cell>
          <cell r="K25" t="e">
            <v>#VALUE!</v>
          </cell>
          <cell r="L25" t="e">
            <v>#VALUE!</v>
          </cell>
        </row>
        <row r="26">
          <cell r="B26" t="e">
            <v>#REF!</v>
          </cell>
          <cell r="C26" t="e">
            <v>#REF!</v>
          </cell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</row>
        <row r="27">
          <cell r="B27" t="e">
            <v>#REF!</v>
          </cell>
          <cell r="C27" t="e">
            <v>#REF!</v>
          </cell>
          <cell r="D27" t="e">
            <v>#VALUE!</v>
          </cell>
          <cell r="E27" t="e">
            <v>#VALUE!</v>
          </cell>
          <cell r="F27" t="e">
            <v>#VALUE!</v>
          </cell>
          <cell r="G27" t="e">
            <v>#VALUE!</v>
          </cell>
          <cell r="H27" t="e">
            <v>#VALUE!</v>
          </cell>
          <cell r="I27" t="e">
            <v>#VALUE!</v>
          </cell>
          <cell r="J27" t="e">
            <v>#VALUE!</v>
          </cell>
          <cell r="K27" t="e">
            <v>#VALUE!</v>
          </cell>
          <cell r="L27" t="e">
            <v>#VALUE!</v>
          </cell>
        </row>
        <row r="28">
          <cell r="B28" t="e">
            <v>#REF!</v>
          </cell>
          <cell r="C28" t="e">
            <v>#REF!</v>
          </cell>
          <cell r="D28" t="e">
            <v>#VALUE!</v>
          </cell>
          <cell r="E28" t="e">
            <v>#VALUE!</v>
          </cell>
          <cell r="F28" t="e">
            <v>#VALUE!</v>
          </cell>
          <cell r="G28" t="e">
            <v>#VALUE!</v>
          </cell>
          <cell r="H28" t="e">
            <v>#VALUE!</v>
          </cell>
          <cell r="I28" t="e">
            <v>#VALUE!</v>
          </cell>
          <cell r="J28" t="e">
            <v>#VALUE!</v>
          </cell>
          <cell r="K28" t="e">
            <v>#VALUE!</v>
          </cell>
          <cell r="L28" t="e">
            <v>#VALUE!</v>
          </cell>
        </row>
        <row r="29">
          <cell r="B29" t="e">
            <v>#REF!</v>
          </cell>
          <cell r="C29" t="e">
            <v>#REF!</v>
          </cell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</row>
        <row r="30">
          <cell r="B30" t="e">
            <v>#REF!</v>
          </cell>
          <cell r="C30" t="e">
            <v>#REF!</v>
          </cell>
          <cell r="D30" t="e">
            <v>#VALUE!</v>
          </cell>
          <cell r="E30" t="e">
            <v>#VALUE!</v>
          </cell>
          <cell r="F30" t="e">
            <v>#VALUE!</v>
          </cell>
          <cell r="G30" t="e">
            <v>#VALUE!</v>
          </cell>
          <cell r="H30" t="e">
            <v>#VALUE!</v>
          </cell>
          <cell r="I30" t="e">
            <v>#VALUE!</v>
          </cell>
          <cell r="J30" t="e">
            <v>#VALUE!</v>
          </cell>
          <cell r="K30" t="e">
            <v>#VALUE!</v>
          </cell>
          <cell r="L30" t="e">
            <v>#VALUE!</v>
          </cell>
        </row>
        <row r="31">
          <cell r="B31" t="e">
            <v>#REF!</v>
          </cell>
          <cell r="C31" t="e">
            <v>#REF!</v>
          </cell>
          <cell r="D31" t="e">
            <v>#VALUE!</v>
          </cell>
          <cell r="E31" t="e">
            <v>#VALUE!</v>
          </cell>
          <cell r="F31" t="e">
            <v>#VALUE!</v>
          </cell>
          <cell r="G31" t="e">
            <v>#VALUE!</v>
          </cell>
          <cell r="H31" t="e">
            <v>#VALUE!</v>
          </cell>
          <cell r="I31" t="e">
            <v>#VALUE!</v>
          </cell>
          <cell r="J31" t="e">
            <v>#VALUE!</v>
          </cell>
          <cell r="K31" t="e">
            <v>#VALUE!</v>
          </cell>
          <cell r="L31" t="e">
            <v>#VALUE!</v>
          </cell>
        </row>
        <row r="32">
          <cell r="B32" t="e">
            <v>#REF!</v>
          </cell>
          <cell r="C32" t="e">
            <v>#REF!</v>
          </cell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</row>
        <row r="33">
          <cell r="B33" t="e">
            <v>#REF!</v>
          </cell>
          <cell r="C33" t="e">
            <v>#REF!</v>
          </cell>
          <cell r="D33" t="e">
            <v>#VALUE!</v>
          </cell>
          <cell r="E33" t="e">
            <v>#VALUE!</v>
          </cell>
          <cell r="F33" t="e">
            <v>#VALUE!</v>
          </cell>
          <cell r="G33" t="e">
            <v>#VALUE!</v>
          </cell>
          <cell r="H33" t="e">
            <v>#VALUE!</v>
          </cell>
          <cell r="I33" t="e">
            <v>#VALUE!</v>
          </cell>
          <cell r="J33" t="e">
            <v>#VALUE!</v>
          </cell>
          <cell r="K33" t="e">
            <v>#VALUE!</v>
          </cell>
          <cell r="L33" t="e">
            <v>#VALUE!</v>
          </cell>
        </row>
        <row r="34">
          <cell r="B34" t="e">
            <v>#REF!</v>
          </cell>
          <cell r="C34" t="e">
            <v>#REF!</v>
          </cell>
          <cell r="D34" t="e">
            <v>#VALUE!</v>
          </cell>
          <cell r="E34" t="e">
            <v>#VALUE!</v>
          </cell>
          <cell r="F34" t="e">
            <v>#VALUE!</v>
          </cell>
          <cell r="G34" t="e">
            <v>#VALUE!</v>
          </cell>
          <cell r="H34" t="e">
            <v>#VALUE!</v>
          </cell>
          <cell r="I34" t="e">
            <v>#VALUE!</v>
          </cell>
          <cell r="J34" t="e">
            <v>#VALUE!</v>
          </cell>
          <cell r="K34" t="e">
            <v>#VALUE!</v>
          </cell>
          <cell r="L34" t="e">
            <v>#VALUE!</v>
          </cell>
        </row>
        <row r="35">
          <cell r="B35" t="e">
            <v>#REF!</v>
          </cell>
          <cell r="C35" t="e">
            <v>#REF!</v>
          </cell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</row>
        <row r="36">
          <cell r="B36" t="e">
            <v>#REF!</v>
          </cell>
          <cell r="C36" t="e">
            <v>#REF!</v>
          </cell>
          <cell r="D36" t="e">
            <v>#VALUE!</v>
          </cell>
          <cell r="E36" t="e">
            <v>#VALUE!</v>
          </cell>
          <cell r="F36" t="e">
            <v>#VALUE!</v>
          </cell>
          <cell r="G36" t="e">
            <v>#VALUE!</v>
          </cell>
          <cell r="H36" t="e">
            <v>#VALUE!</v>
          </cell>
          <cell r="I36" t="e">
            <v>#VALUE!</v>
          </cell>
          <cell r="J36" t="e">
            <v>#VALUE!</v>
          </cell>
          <cell r="K36" t="e">
            <v>#VALUE!</v>
          </cell>
          <cell r="L36" t="e">
            <v>#VALUE!</v>
          </cell>
        </row>
        <row r="37">
          <cell r="B37" t="e">
            <v>#REF!</v>
          </cell>
          <cell r="C37" t="e">
            <v>#REF!</v>
          </cell>
          <cell r="D37" t="e">
            <v>#VALUE!</v>
          </cell>
          <cell r="E37" t="e">
            <v>#VALUE!</v>
          </cell>
          <cell r="F37" t="e">
            <v>#VALUE!</v>
          </cell>
          <cell r="G37" t="e">
            <v>#VALUE!</v>
          </cell>
          <cell r="H37" t="e">
            <v>#VALUE!</v>
          </cell>
          <cell r="I37" t="e">
            <v>#VALUE!</v>
          </cell>
          <cell r="J37" t="e">
            <v>#VALUE!</v>
          </cell>
          <cell r="K37" t="e">
            <v>#VALUE!</v>
          </cell>
          <cell r="L37" t="e">
            <v>#VALUE!</v>
          </cell>
        </row>
        <row r="38">
          <cell r="B38" t="e">
            <v>#REF!</v>
          </cell>
          <cell r="C38" t="e">
            <v>#REF!</v>
          </cell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</row>
        <row r="39">
          <cell r="B39" t="e">
            <v>#REF!</v>
          </cell>
          <cell r="C39" t="e">
            <v>#REF!</v>
          </cell>
          <cell r="D39" t="e">
            <v>#VALUE!</v>
          </cell>
          <cell r="E39" t="e">
            <v>#VALUE!</v>
          </cell>
          <cell r="F39" t="e">
            <v>#VALUE!</v>
          </cell>
          <cell r="G39" t="e">
            <v>#VALUE!</v>
          </cell>
          <cell r="H39" t="e">
            <v>#VALUE!</v>
          </cell>
          <cell r="I39" t="e">
            <v>#VALUE!</v>
          </cell>
          <cell r="J39" t="e">
            <v>#VALUE!</v>
          </cell>
          <cell r="K39" t="e">
            <v>#VALUE!</v>
          </cell>
          <cell r="L39" t="e">
            <v>#VALUE!</v>
          </cell>
        </row>
        <row r="40">
          <cell r="B40" t="e">
            <v>#REF!</v>
          </cell>
          <cell r="C40" t="e">
            <v>#REF!</v>
          </cell>
          <cell r="D40" t="e">
            <v>#VALUE!</v>
          </cell>
          <cell r="E40" t="e">
            <v>#VALUE!</v>
          </cell>
          <cell r="F40" t="e">
            <v>#VALUE!</v>
          </cell>
          <cell r="G40" t="e">
            <v>#VALUE!</v>
          </cell>
          <cell r="H40" t="e">
            <v>#VALUE!</v>
          </cell>
          <cell r="I40" t="e">
            <v>#VALUE!</v>
          </cell>
          <cell r="J40" t="e">
            <v>#VALUE!</v>
          </cell>
          <cell r="K40" t="e">
            <v>#VALUE!</v>
          </cell>
          <cell r="L40" t="e">
            <v>#VALUE!</v>
          </cell>
        </row>
        <row r="41">
          <cell r="B41" t="e">
            <v>#REF!</v>
          </cell>
          <cell r="C41" t="e">
            <v>#REF!</v>
          </cell>
          <cell r="D41" t="e">
            <v>#VALUE!</v>
          </cell>
          <cell r="E41" t="e">
            <v>#VALUE!</v>
          </cell>
          <cell r="F41" t="e">
            <v>#VALUE!</v>
          </cell>
          <cell r="G41" t="e">
            <v>#VALUE!</v>
          </cell>
          <cell r="H41" t="e">
            <v>#VALUE!</v>
          </cell>
          <cell r="I41" t="e">
            <v>#VALUE!</v>
          </cell>
          <cell r="J41" t="e">
            <v>#VALUE!</v>
          </cell>
          <cell r="K41" t="e">
            <v>#VALUE!</v>
          </cell>
          <cell r="L41" t="e">
            <v>#VALUE!</v>
          </cell>
        </row>
        <row r="42">
          <cell r="B42" t="e">
            <v>#REF!</v>
          </cell>
          <cell r="C42" t="e">
            <v>#REF!</v>
          </cell>
          <cell r="D42" t="e">
            <v>#VALUE!</v>
          </cell>
          <cell r="E42" t="e">
            <v>#VALUE!</v>
          </cell>
          <cell r="F42" t="e">
            <v>#VALUE!</v>
          </cell>
          <cell r="G42" t="e">
            <v>#VALUE!</v>
          </cell>
          <cell r="H42" t="e">
            <v>#VALUE!</v>
          </cell>
          <cell r="I42" t="e">
            <v>#VALUE!</v>
          </cell>
          <cell r="J42" t="e">
            <v>#VALUE!</v>
          </cell>
          <cell r="K42" t="e">
            <v>#VALUE!</v>
          </cell>
          <cell r="L42" t="e">
            <v>#VALUE!</v>
          </cell>
        </row>
        <row r="43">
          <cell r="B43" t="e">
            <v>#REF!</v>
          </cell>
          <cell r="C43" t="e">
            <v>#REF!</v>
          </cell>
          <cell r="D43" t="e">
            <v>#VALUE!</v>
          </cell>
          <cell r="E43" t="e">
            <v>#VALUE!</v>
          </cell>
          <cell r="F43" t="e">
            <v>#VALUE!</v>
          </cell>
          <cell r="G43" t="e">
            <v>#VALUE!</v>
          </cell>
          <cell r="H43" t="e">
            <v>#VALUE!</v>
          </cell>
          <cell r="I43" t="e">
            <v>#VALUE!</v>
          </cell>
          <cell r="J43" t="e">
            <v>#VALUE!</v>
          </cell>
          <cell r="K43" t="e">
            <v>#VALUE!</v>
          </cell>
          <cell r="L43" t="e">
            <v>#VALUE!</v>
          </cell>
        </row>
        <row r="44">
          <cell r="B44" t="e">
            <v>#REF!</v>
          </cell>
          <cell r="C44" t="e">
            <v>#REF!</v>
          </cell>
          <cell r="D44" t="e">
            <v>#VALUE!</v>
          </cell>
          <cell r="E44" t="e">
            <v>#VALUE!</v>
          </cell>
          <cell r="F44" t="e">
            <v>#VALUE!</v>
          </cell>
          <cell r="G44" t="e">
            <v>#VALUE!</v>
          </cell>
          <cell r="H44" t="e">
            <v>#VALUE!</v>
          </cell>
          <cell r="I44" t="e">
            <v>#VALUE!</v>
          </cell>
          <cell r="J44" t="e">
            <v>#VALUE!</v>
          </cell>
          <cell r="K44" t="e">
            <v>#VALUE!</v>
          </cell>
          <cell r="L44" t="e">
            <v>#VALUE!</v>
          </cell>
        </row>
        <row r="45">
          <cell r="B45" t="e">
            <v>#REF!</v>
          </cell>
          <cell r="C45" t="e">
            <v>#REF!</v>
          </cell>
          <cell r="D45" t="e">
            <v>#VALUE!</v>
          </cell>
          <cell r="E45" t="e">
            <v>#VALUE!</v>
          </cell>
          <cell r="F45" t="e">
            <v>#VALUE!</v>
          </cell>
          <cell r="G45" t="e">
            <v>#VALUE!</v>
          </cell>
          <cell r="H45" t="e">
            <v>#VALUE!</v>
          </cell>
          <cell r="I45" t="e">
            <v>#VALUE!</v>
          </cell>
          <cell r="J45" t="e">
            <v>#VALUE!</v>
          </cell>
          <cell r="K45" t="e">
            <v>#VALUE!</v>
          </cell>
          <cell r="L45" t="e">
            <v>#VALUE!</v>
          </cell>
        </row>
        <row r="46">
          <cell r="B46" t="e">
            <v>#REF!</v>
          </cell>
          <cell r="C46" t="e">
            <v>#REF!</v>
          </cell>
          <cell r="D46" t="e">
            <v>#VALUE!</v>
          </cell>
          <cell r="E46" t="e">
            <v>#VALUE!</v>
          </cell>
          <cell r="F46" t="e">
            <v>#VALUE!</v>
          </cell>
          <cell r="G46" t="e">
            <v>#VALUE!</v>
          </cell>
          <cell r="H46" t="e">
            <v>#VALUE!</v>
          </cell>
          <cell r="I46" t="e">
            <v>#VALUE!</v>
          </cell>
          <cell r="J46" t="e">
            <v>#VALUE!</v>
          </cell>
          <cell r="K46" t="e">
            <v>#VALUE!</v>
          </cell>
          <cell r="L46" t="e">
            <v>#VALUE!</v>
          </cell>
        </row>
        <row r="47">
          <cell r="B47" t="e">
            <v>#REF!</v>
          </cell>
          <cell r="C47" t="e">
            <v>#REF!</v>
          </cell>
          <cell r="D47" t="e">
            <v>#VALUE!</v>
          </cell>
          <cell r="E47" t="e">
            <v>#VALUE!</v>
          </cell>
          <cell r="F47" t="e">
            <v>#VALUE!</v>
          </cell>
          <cell r="G47" t="e">
            <v>#VALUE!</v>
          </cell>
          <cell r="H47" t="e">
            <v>#VALUE!</v>
          </cell>
          <cell r="I47" t="e">
            <v>#VALUE!</v>
          </cell>
          <cell r="J47" t="e">
            <v>#VALUE!</v>
          </cell>
          <cell r="K47" t="e">
            <v>#VALUE!</v>
          </cell>
          <cell r="L47" t="e">
            <v>#VALUE!</v>
          </cell>
        </row>
        <row r="48">
          <cell r="B48" t="e">
            <v>#REF!</v>
          </cell>
          <cell r="C48" t="e">
            <v>#REF!</v>
          </cell>
          <cell r="D48" t="e">
            <v>#VALUE!</v>
          </cell>
          <cell r="E48" t="e">
            <v>#VALUE!</v>
          </cell>
          <cell r="F48" t="e">
            <v>#VALUE!</v>
          </cell>
          <cell r="G48" t="e">
            <v>#VALUE!</v>
          </cell>
          <cell r="H48" t="e">
            <v>#VALUE!</v>
          </cell>
          <cell r="I48" t="e">
            <v>#VALUE!</v>
          </cell>
          <cell r="J48" t="e">
            <v>#VALUE!</v>
          </cell>
          <cell r="K48" t="e">
            <v>#VALUE!</v>
          </cell>
          <cell r="L48" t="e">
            <v>#VALUE!</v>
          </cell>
        </row>
        <row r="49">
          <cell r="B49" t="e">
            <v>#REF!</v>
          </cell>
          <cell r="C49" t="e">
            <v>#REF!</v>
          </cell>
          <cell r="D49" t="e">
            <v>#VALUE!</v>
          </cell>
          <cell r="E49" t="e">
            <v>#VALUE!</v>
          </cell>
          <cell r="F49" t="e">
            <v>#VALUE!</v>
          </cell>
          <cell r="G49" t="e">
            <v>#VALUE!</v>
          </cell>
          <cell r="H49" t="e">
            <v>#VALUE!</v>
          </cell>
          <cell r="I49" t="e">
            <v>#VALUE!</v>
          </cell>
          <cell r="J49" t="e">
            <v>#VALUE!</v>
          </cell>
          <cell r="K49" t="e">
            <v>#VALUE!</v>
          </cell>
          <cell r="L49" t="e">
            <v>#VALUE!</v>
          </cell>
        </row>
        <row r="50">
          <cell r="B50" t="e">
            <v>#REF!</v>
          </cell>
          <cell r="C50" t="e">
            <v>#REF!</v>
          </cell>
          <cell r="D50" t="e">
            <v>#VALUE!</v>
          </cell>
          <cell r="E50" t="e">
            <v>#VALUE!</v>
          </cell>
          <cell r="F50" t="e">
            <v>#VALUE!</v>
          </cell>
          <cell r="G50" t="e">
            <v>#VALUE!</v>
          </cell>
          <cell r="H50" t="e">
            <v>#VALUE!</v>
          </cell>
          <cell r="I50" t="e">
            <v>#VALUE!</v>
          </cell>
          <cell r="J50" t="e">
            <v>#VALUE!</v>
          </cell>
          <cell r="K50" t="e">
            <v>#VALUE!</v>
          </cell>
          <cell r="L50" t="e">
            <v>#VALUE!</v>
          </cell>
        </row>
        <row r="51">
          <cell r="B51" t="e">
            <v>#REF!</v>
          </cell>
          <cell r="C51" t="e">
            <v>#REF!</v>
          </cell>
          <cell r="D51" t="e">
            <v>#VALUE!</v>
          </cell>
          <cell r="E51" t="e">
            <v>#VALUE!</v>
          </cell>
          <cell r="F51" t="e">
            <v>#VALUE!</v>
          </cell>
          <cell r="G51" t="e">
            <v>#VALUE!</v>
          </cell>
          <cell r="H51" t="e">
            <v>#VALUE!</v>
          </cell>
          <cell r="I51" t="e">
            <v>#VALUE!</v>
          </cell>
          <cell r="J51" t="e">
            <v>#VALUE!</v>
          </cell>
          <cell r="K51" t="e">
            <v>#VALUE!</v>
          </cell>
          <cell r="L51" t="e">
            <v>#VALUE!</v>
          </cell>
        </row>
        <row r="52">
          <cell r="B52" t="e">
            <v>#REF!</v>
          </cell>
          <cell r="C52" t="e">
            <v>#REF!</v>
          </cell>
          <cell r="D52" t="e">
            <v>#VALUE!</v>
          </cell>
          <cell r="E52" t="e">
            <v>#VALUE!</v>
          </cell>
          <cell r="F52" t="e">
            <v>#VALUE!</v>
          </cell>
          <cell r="G52" t="e">
            <v>#VALUE!</v>
          </cell>
          <cell r="H52" t="e">
            <v>#VALUE!</v>
          </cell>
          <cell r="I52" t="e">
            <v>#VALUE!</v>
          </cell>
          <cell r="J52" t="e">
            <v>#VALUE!</v>
          </cell>
          <cell r="K52" t="e">
            <v>#VALUE!</v>
          </cell>
          <cell r="L52" t="e">
            <v>#VALUE!</v>
          </cell>
        </row>
        <row r="53">
          <cell r="B53" t="e">
            <v>#REF!</v>
          </cell>
          <cell r="C53" t="e">
            <v>#REF!</v>
          </cell>
          <cell r="D53" t="e">
            <v>#VALUE!</v>
          </cell>
          <cell r="E53" t="e">
            <v>#VALUE!</v>
          </cell>
          <cell r="F53" t="e">
            <v>#VALUE!</v>
          </cell>
          <cell r="G53" t="e">
            <v>#VALUE!</v>
          </cell>
          <cell r="H53" t="e">
            <v>#VALUE!</v>
          </cell>
          <cell r="I53" t="e">
            <v>#VALUE!</v>
          </cell>
          <cell r="J53" t="e">
            <v>#VALUE!</v>
          </cell>
          <cell r="K53" t="e">
            <v>#VALUE!</v>
          </cell>
          <cell r="L53" t="e">
            <v>#VALUE!</v>
          </cell>
        </row>
        <row r="54">
          <cell r="B54" t="e">
            <v>#REF!</v>
          </cell>
          <cell r="C54" t="e">
            <v>#REF!</v>
          </cell>
          <cell r="D54" t="e">
            <v>#VALUE!</v>
          </cell>
          <cell r="E54" t="e">
            <v>#VALUE!</v>
          </cell>
          <cell r="F54" t="e">
            <v>#VALUE!</v>
          </cell>
          <cell r="G54" t="e">
            <v>#VALUE!</v>
          </cell>
          <cell r="H54" t="e">
            <v>#VALUE!</v>
          </cell>
          <cell r="I54" t="e">
            <v>#VALUE!</v>
          </cell>
          <cell r="J54" t="e">
            <v>#VALUE!</v>
          </cell>
          <cell r="K54" t="e">
            <v>#VALUE!</v>
          </cell>
          <cell r="L54" t="e">
            <v>#VALUE!</v>
          </cell>
        </row>
        <row r="55">
          <cell r="B55" t="e">
            <v>#REF!</v>
          </cell>
          <cell r="C55" t="e">
            <v>#REF!</v>
          </cell>
          <cell r="D55" t="e">
            <v>#VALUE!</v>
          </cell>
          <cell r="E55" t="e">
            <v>#VALUE!</v>
          </cell>
          <cell r="F55" t="e">
            <v>#VALUE!</v>
          </cell>
          <cell r="G55" t="e">
            <v>#VALUE!</v>
          </cell>
          <cell r="H55" t="e">
            <v>#VALUE!</v>
          </cell>
          <cell r="I55" t="e">
            <v>#VALUE!</v>
          </cell>
          <cell r="J55" t="e">
            <v>#VALUE!</v>
          </cell>
          <cell r="K55" t="e">
            <v>#VALUE!</v>
          </cell>
          <cell r="L55" t="e">
            <v>#VALUE!</v>
          </cell>
        </row>
        <row r="56">
          <cell r="B56" t="e">
            <v>#REF!</v>
          </cell>
          <cell r="C56" t="e">
            <v>#REF!</v>
          </cell>
          <cell r="D56" t="e">
            <v>#VALUE!</v>
          </cell>
          <cell r="E56" t="e">
            <v>#VALUE!</v>
          </cell>
          <cell r="F56" t="e">
            <v>#VALUE!</v>
          </cell>
          <cell r="G56" t="e">
            <v>#VALUE!</v>
          </cell>
          <cell r="H56" t="e">
            <v>#VALUE!</v>
          </cell>
          <cell r="I56" t="e">
            <v>#VALUE!</v>
          </cell>
          <cell r="J56" t="e">
            <v>#VALUE!</v>
          </cell>
          <cell r="K56" t="e">
            <v>#VALUE!</v>
          </cell>
          <cell r="L56" t="e">
            <v>#VALUE!</v>
          </cell>
        </row>
        <row r="57">
          <cell r="B57" t="e">
            <v>#REF!</v>
          </cell>
          <cell r="C57" t="e">
            <v>#REF!</v>
          </cell>
          <cell r="D57" t="e">
            <v>#VALUE!</v>
          </cell>
          <cell r="E57" t="e">
            <v>#VALUE!</v>
          </cell>
          <cell r="F57" t="e">
            <v>#VALUE!</v>
          </cell>
          <cell r="G57" t="e">
            <v>#VALUE!</v>
          </cell>
          <cell r="H57" t="e">
            <v>#VALUE!</v>
          </cell>
          <cell r="I57" t="e">
            <v>#VALUE!</v>
          </cell>
          <cell r="J57" t="e">
            <v>#VALUE!</v>
          </cell>
          <cell r="K57" t="e">
            <v>#VALUE!</v>
          </cell>
          <cell r="L57" t="e">
            <v>#VALUE!</v>
          </cell>
        </row>
        <row r="58">
          <cell r="B58" t="e">
            <v>#REF!</v>
          </cell>
          <cell r="C58" t="e">
            <v>#REF!</v>
          </cell>
          <cell r="D58" t="e">
            <v>#VALUE!</v>
          </cell>
          <cell r="E58" t="e">
            <v>#VALUE!</v>
          </cell>
          <cell r="F58" t="e">
            <v>#VALUE!</v>
          </cell>
          <cell r="G58" t="e">
            <v>#VALUE!</v>
          </cell>
          <cell r="H58" t="e">
            <v>#VALUE!</v>
          </cell>
          <cell r="I58" t="e">
            <v>#VALUE!</v>
          </cell>
          <cell r="J58" t="e">
            <v>#VALUE!</v>
          </cell>
          <cell r="K58" t="e">
            <v>#VALUE!</v>
          </cell>
          <cell r="L58" t="e">
            <v>#VALUE!</v>
          </cell>
        </row>
        <row r="59">
          <cell r="B59" t="e">
            <v>#REF!</v>
          </cell>
          <cell r="C59" t="e">
            <v>#REF!</v>
          </cell>
          <cell r="D59" t="e">
            <v>#VALUE!</v>
          </cell>
          <cell r="E59" t="e">
            <v>#VALUE!</v>
          </cell>
          <cell r="F59" t="e">
            <v>#VALUE!</v>
          </cell>
          <cell r="G59" t="e">
            <v>#VALUE!</v>
          </cell>
          <cell r="H59" t="e">
            <v>#VALUE!</v>
          </cell>
          <cell r="I59" t="e">
            <v>#VALUE!</v>
          </cell>
          <cell r="J59" t="e">
            <v>#VALUE!</v>
          </cell>
          <cell r="K59" t="e">
            <v>#VALUE!</v>
          </cell>
          <cell r="L59" t="e">
            <v>#VALUE!</v>
          </cell>
        </row>
        <row r="60">
          <cell r="B60" t="e">
            <v>#REF!</v>
          </cell>
          <cell r="C60" t="e">
            <v>#REF!</v>
          </cell>
          <cell r="D60" t="e">
            <v>#VALUE!</v>
          </cell>
          <cell r="E60" t="e">
            <v>#VALUE!</v>
          </cell>
          <cell r="F60" t="e">
            <v>#VALUE!</v>
          </cell>
          <cell r="G60" t="e">
            <v>#VALUE!</v>
          </cell>
          <cell r="H60" t="e">
            <v>#VALUE!</v>
          </cell>
          <cell r="I60" t="e">
            <v>#VALUE!</v>
          </cell>
          <cell r="J60" t="e">
            <v>#VALUE!</v>
          </cell>
          <cell r="K60" t="e">
            <v>#VALUE!</v>
          </cell>
          <cell r="L60" t="e">
            <v>#VALUE!</v>
          </cell>
        </row>
        <row r="61">
          <cell r="B61" t="e">
            <v>#REF!</v>
          </cell>
          <cell r="C61" t="e">
            <v>#REF!</v>
          </cell>
          <cell r="D61" t="e">
            <v>#VALUE!</v>
          </cell>
          <cell r="E61" t="e">
            <v>#VALUE!</v>
          </cell>
          <cell r="F61" t="e">
            <v>#VALUE!</v>
          </cell>
          <cell r="G61" t="e">
            <v>#VALUE!</v>
          </cell>
          <cell r="H61" t="e">
            <v>#VALUE!</v>
          </cell>
          <cell r="I61" t="e">
            <v>#VALUE!</v>
          </cell>
          <cell r="J61" t="e">
            <v>#VALUE!</v>
          </cell>
          <cell r="K61" t="e">
            <v>#VALUE!</v>
          </cell>
          <cell r="L61" t="e">
            <v>#VALUE!</v>
          </cell>
        </row>
        <row r="62">
          <cell r="B62" t="e">
            <v>#REF!</v>
          </cell>
          <cell r="C62" t="e">
            <v>#REF!</v>
          </cell>
          <cell r="D62" t="e">
            <v>#VALUE!</v>
          </cell>
          <cell r="E62" t="e">
            <v>#VALUE!</v>
          </cell>
          <cell r="F62" t="e">
            <v>#VALUE!</v>
          </cell>
          <cell r="G62" t="e">
            <v>#VALUE!</v>
          </cell>
          <cell r="H62" t="e">
            <v>#VALUE!</v>
          </cell>
          <cell r="I62" t="e">
            <v>#VALUE!</v>
          </cell>
          <cell r="J62" t="e">
            <v>#VALUE!</v>
          </cell>
          <cell r="K62" t="e">
            <v>#VALUE!</v>
          </cell>
          <cell r="L62" t="e">
            <v>#VALUE!</v>
          </cell>
        </row>
        <row r="63">
          <cell r="B63" t="e">
            <v>#REF!</v>
          </cell>
          <cell r="C63" t="e">
            <v>#REF!</v>
          </cell>
          <cell r="D63" t="e">
            <v>#VALUE!</v>
          </cell>
          <cell r="E63" t="e">
            <v>#VALUE!</v>
          </cell>
          <cell r="F63" t="e">
            <v>#VALUE!</v>
          </cell>
          <cell r="G63" t="e">
            <v>#VALUE!</v>
          </cell>
          <cell r="H63" t="e">
            <v>#VALUE!</v>
          </cell>
          <cell r="I63" t="e">
            <v>#VALUE!</v>
          </cell>
          <cell r="J63" t="e">
            <v>#VALUE!</v>
          </cell>
          <cell r="K63" t="e">
            <v>#VALUE!</v>
          </cell>
          <cell r="L63" t="e">
            <v>#VALUE!</v>
          </cell>
        </row>
        <row r="64">
          <cell r="B64" t="e">
            <v>#REF!</v>
          </cell>
          <cell r="C64" t="e">
            <v>#REF!</v>
          </cell>
          <cell r="D64" t="e">
            <v>#VALUE!</v>
          </cell>
          <cell r="E64" t="e">
            <v>#VALUE!</v>
          </cell>
          <cell r="F64" t="e">
            <v>#VALUE!</v>
          </cell>
          <cell r="G64" t="e">
            <v>#VALUE!</v>
          </cell>
          <cell r="H64" t="e">
            <v>#VALUE!</v>
          </cell>
          <cell r="I64" t="e">
            <v>#VALUE!</v>
          </cell>
          <cell r="J64" t="e">
            <v>#VALUE!</v>
          </cell>
          <cell r="K64" t="e">
            <v>#VALUE!</v>
          </cell>
          <cell r="L64" t="e">
            <v>#VALUE!</v>
          </cell>
        </row>
        <row r="65">
          <cell r="B65" t="e">
            <v>#REF!</v>
          </cell>
          <cell r="C65" t="e">
            <v>#REF!</v>
          </cell>
          <cell r="D65" t="e">
            <v>#VALUE!</v>
          </cell>
          <cell r="E65" t="e">
            <v>#VALUE!</v>
          </cell>
          <cell r="F65" t="e">
            <v>#VALUE!</v>
          </cell>
          <cell r="G65" t="e">
            <v>#VALUE!</v>
          </cell>
          <cell r="H65" t="e">
            <v>#VALUE!</v>
          </cell>
          <cell r="I65" t="e">
            <v>#VALUE!</v>
          </cell>
          <cell r="J65" t="e">
            <v>#VALUE!</v>
          </cell>
          <cell r="K65" t="e">
            <v>#VALUE!</v>
          </cell>
          <cell r="L65" t="e">
            <v>#VALUE!</v>
          </cell>
        </row>
        <row r="66">
          <cell r="B66" t="e">
            <v>#REF!</v>
          </cell>
          <cell r="C66" t="e">
            <v>#REF!</v>
          </cell>
          <cell r="D66" t="e">
            <v>#VALUE!</v>
          </cell>
          <cell r="E66" t="e">
            <v>#VALUE!</v>
          </cell>
          <cell r="F66" t="e">
            <v>#VALUE!</v>
          </cell>
          <cell r="G66" t="e">
            <v>#VALUE!</v>
          </cell>
          <cell r="H66" t="e">
            <v>#VALUE!</v>
          </cell>
          <cell r="I66" t="e">
            <v>#VALUE!</v>
          </cell>
          <cell r="J66" t="e">
            <v>#VALUE!</v>
          </cell>
          <cell r="K66" t="e">
            <v>#VALUE!</v>
          </cell>
          <cell r="L66" t="e">
            <v>#VALUE!</v>
          </cell>
        </row>
        <row r="67">
          <cell r="B67" t="e">
            <v>#REF!</v>
          </cell>
          <cell r="C67" t="e">
            <v>#REF!</v>
          </cell>
          <cell r="D67" t="e">
            <v>#VALUE!</v>
          </cell>
          <cell r="E67" t="e">
            <v>#VALUE!</v>
          </cell>
          <cell r="F67" t="e">
            <v>#VALUE!</v>
          </cell>
          <cell r="G67" t="e">
            <v>#VALUE!</v>
          </cell>
          <cell r="H67" t="e">
            <v>#VALUE!</v>
          </cell>
          <cell r="I67" t="e">
            <v>#VALUE!</v>
          </cell>
          <cell r="J67" t="e">
            <v>#VALUE!</v>
          </cell>
          <cell r="K67" t="e">
            <v>#VALUE!</v>
          </cell>
          <cell r="L67" t="e">
            <v>#VALUE!</v>
          </cell>
        </row>
        <row r="68">
          <cell r="B68" t="e">
            <v>#REF!</v>
          </cell>
          <cell r="C68" t="e">
            <v>#REF!</v>
          </cell>
          <cell r="D68" t="e">
            <v>#VALUE!</v>
          </cell>
          <cell r="E68" t="e">
            <v>#VALUE!</v>
          </cell>
          <cell r="F68" t="e">
            <v>#VALUE!</v>
          </cell>
          <cell r="G68" t="e">
            <v>#VALUE!</v>
          </cell>
          <cell r="H68" t="e">
            <v>#VALUE!</v>
          </cell>
          <cell r="I68" t="e">
            <v>#VALUE!</v>
          </cell>
          <cell r="J68" t="e">
            <v>#VALUE!</v>
          </cell>
          <cell r="K68" t="e">
            <v>#VALUE!</v>
          </cell>
          <cell r="L68" t="e">
            <v>#VALUE!</v>
          </cell>
        </row>
        <row r="69">
          <cell r="B69" t="e">
            <v>#REF!</v>
          </cell>
          <cell r="C69" t="e">
            <v>#REF!</v>
          </cell>
          <cell r="D69" t="e">
            <v>#VALUE!</v>
          </cell>
          <cell r="E69" t="e">
            <v>#VALUE!</v>
          </cell>
          <cell r="F69" t="e">
            <v>#VALUE!</v>
          </cell>
          <cell r="G69" t="e">
            <v>#VALUE!</v>
          </cell>
          <cell r="H69" t="e">
            <v>#VALUE!</v>
          </cell>
          <cell r="I69" t="e">
            <v>#VALUE!</v>
          </cell>
          <cell r="J69" t="e">
            <v>#VALUE!</v>
          </cell>
          <cell r="K69" t="e">
            <v>#VALUE!</v>
          </cell>
          <cell r="L69" t="e">
            <v>#VALUE!</v>
          </cell>
        </row>
        <row r="70">
          <cell r="B70" t="e">
            <v>#REF!</v>
          </cell>
          <cell r="C70" t="e">
            <v>#REF!</v>
          </cell>
          <cell r="D70" t="e">
            <v>#VALUE!</v>
          </cell>
          <cell r="E70" t="e">
            <v>#VALUE!</v>
          </cell>
          <cell r="F70" t="e">
            <v>#VALUE!</v>
          </cell>
          <cell r="G70" t="e">
            <v>#VALUE!</v>
          </cell>
          <cell r="H70" t="e">
            <v>#VALUE!</v>
          </cell>
          <cell r="I70" t="e">
            <v>#VALUE!</v>
          </cell>
          <cell r="J70" t="e">
            <v>#VALUE!</v>
          </cell>
          <cell r="K70" t="e">
            <v>#VALUE!</v>
          </cell>
          <cell r="L70" t="e">
            <v>#VALUE!</v>
          </cell>
        </row>
        <row r="71">
          <cell r="B71" t="e">
            <v>#REF!</v>
          </cell>
          <cell r="C71" t="e">
            <v>#REF!</v>
          </cell>
          <cell r="D71" t="e">
            <v>#VALUE!</v>
          </cell>
          <cell r="E71" t="e">
            <v>#VALUE!</v>
          </cell>
          <cell r="F71" t="e">
            <v>#VALUE!</v>
          </cell>
          <cell r="G71" t="e">
            <v>#VALUE!</v>
          </cell>
          <cell r="H71" t="e">
            <v>#VALUE!</v>
          </cell>
          <cell r="I71" t="e">
            <v>#VALUE!</v>
          </cell>
          <cell r="J71" t="e">
            <v>#VALUE!</v>
          </cell>
          <cell r="K71" t="e">
            <v>#VALUE!</v>
          </cell>
          <cell r="L71" t="e">
            <v>#VALUE!</v>
          </cell>
        </row>
        <row r="72">
          <cell r="B72" t="e">
            <v>#REF!</v>
          </cell>
          <cell r="C72" t="e">
            <v>#REF!</v>
          </cell>
          <cell r="D72" t="e">
            <v>#VALUE!</v>
          </cell>
          <cell r="E72" t="e">
            <v>#VALUE!</v>
          </cell>
          <cell r="F72" t="e">
            <v>#VALUE!</v>
          </cell>
          <cell r="G72" t="e">
            <v>#VALUE!</v>
          </cell>
          <cell r="H72" t="e">
            <v>#VALUE!</v>
          </cell>
          <cell r="I72" t="e">
            <v>#VALUE!</v>
          </cell>
          <cell r="J72" t="e">
            <v>#VALUE!</v>
          </cell>
          <cell r="K72" t="e">
            <v>#VALUE!</v>
          </cell>
          <cell r="L72" t="e">
            <v>#VALUE!</v>
          </cell>
        </row>
        <row r="73">
          <cell r="B73" t="e">
            <v>#REF!</v>
          </cell>
          <cell r="C73" t="e">
            <v>#REF!</v>
          </cell>
          <cell r="D73" t="e">
            <v>#VALUE!</v>
          </cell>
          <cell r="E73" t="e">
            <v>#VALUE!</v>
          </cell>
          <cell r="F73" t="e">
            <v>#VALUE!</v>
          </cell>
          <cell r="G73" t="e">
            <v>#VALUE!</v>
          </cell>
          <cell r="H73" t="e">
            <v>#VALUE!</v>
          </cell>
          <cell r="I73" t="e">
            <v>#VALUE!</v>
          </cell>
          <cell r="J73" t="e">
            <v>#VALUE!</v>
          </cell>
          <cell r="K73" t="e">
            <v>#VALUE!</v>
          </cell>
          <cell r="L73" t="e">
            <v>#VALUE!</v>
          </cell>
        </row>
        <row r="74">
          <cell r="B74" t="e">
            <v>#REF!</v>
          </cell>
          <cell r="C74" t="e">
            <v>#REF!</v>
          </cell>
          <cell r="D74" t="e">
            <v>#VALUE!</v>
          </cell>
          <cell r="E74" t="e">
            <v>#VALUE!</v>
          </cell>
          <cell r="F74" t="e">
            <v>#VALUE!</v>
          </cell>
          <cell r="G74" t="e">
            <v>#VALUE!</v>
          </cell>
          <cell r="H74" t="e">
            <v>#VALUE!</v>
          </cell>
          <cell r="I74" t="e">
            <v>#VALUE!</v>
          </cell>
          <cell r="J74" t="e">
            <v>#VALUE!</v>
          </cell>
          <cell r="K74" t="e">
            <v>#VALUE!</v>
          </cell>
          <cell r="L74" t="e">
            <v>#VALUE!</v>
          </cell>
        </row>
        <row r="75">
          <cell r="B75" t="e">
            <v>#REF!</v>
          </cell>
          <cell r="C75" t="e">
            <v>#REF!</v>
          </cell>
          <cell r="D75" t="e">
            <v>#VALUE!</v>
          </cell>
          <cell r="E75" t="e">
            <v>#VALUE!</v>
          </cell>
          <cell r="F75" t="e">
            <v>#VALUE!</v>
          </cell>
          <cell r="G75" t="e">
            <v>#VALUE!</v>
          </cell>
          <cell r="H75" t="e">
            <v>#VALUE!</v>
          </cell>
          <cell r="I75" t="e">
            <v>#VALUE!</v>
          </cell>
          <cell r="J75" t="e">
            <v>#VALUE!</v>
          </cell>
          <cell r="K75" t="e">
            <v>#VALUE!</v>
          </cell>
          <cell r="L75" t="e">
            <v>#VALUE!</v>
          </cell>
        </row>
        <row r="76">
          <cell r="B76" t="e">
            <v>#REF!</v>
          </cell>
          <cell r="C76" t="e">
            <v>#REF!</v>
          </cell>
          <cell r="D76" t="e">
            <v>#VALUE!</v>
          </cell>
          <cell r="E76" t="e">
            <v>#VALUE!</v>
          </cell>
          <cell r="F76" t="e">
            <v>#VALUE!</v>
          </cell>
          <cell r="G76" t="e">
            <v>#VALUE!</v>
          </cell>
          <cell r="H76" t="e">
            <v>#VALUE!</v>
          </cell>
          <cell r="I76" t="e">
            <v>#VALUE!</v>
          </cell>
          <cell r="J76" t="e">
            <v>#VALUE!</v>
          </cell>
          <cell r="K76" t="e">
            <v>#VALUE!</v>
          </cell>
          <cell r="L76" t="e">
            <v>#VALUE!</v>
          </cell>
        </row>
        <row r="77">
          <cell r="B77" t="e">
            <v>#REF!</v>
          </cell>
          <cell r="C77" t="e">
            <v>#REF!</v>
          </cell>
          <cell r="D77" t="e">
            <v>#VALUE!</v>
          </cell>
          <cell r="E77" t="e">
            <v>#VALUE!</v>
          </cell>
          <cell r="F77" t="e">
            <v>#VALUE!</v>
          </cell>
          <cell r="G77" t="e">
            <v>#VALUE!</v>
          </cell>
          <cell r="H77" t="e">
            <v>#VALUE!</v>
          </cell>
          <cell r="I77" t="e">
            <v>#VALUE!</v>
          </cell>
          <cell r="J77" t="e">
            <v>#VALUE!</v>
          </cell>
          <cell r="K77" t="e">
            <v>#VALUE!</v>
          </cell>
          <cell r="L77" t="e">
            <v>#VALUE!</v>
          </cell>
        </row>
        <row r="78">
          <cell r="B78" t="e">
            <v>#REF!</v>
          </cell>
          <cell r="C78" t="e">
            <v>#REF!</v>
          </cell>
          <cell r="D78" t="e">
            <v>#VALUE!</v>
          </cell>
          <cell r="E78" t="e">
            <v>#VALUE!</v>
          </cell>
          <cell r="F78" t="e">
            <v>#VALUE!</v>
          </cell>
          <cell r="G78" t="e">
            <v>#VALUE!</v>
          </cell>
          <cell r="H78" t="e">
            <v>#VALUE!</v>
          </cell>
          <cell r="I78" t="e">
            <v>#VALUE!</v>
          </cell>
          <cell r="J78" t="e">
            <v>#VALUE!</v>
          </cell>
          <cell r="K78" t="e">
            <v>#VALUE!</v>
          </cell>
          <cell r="L78" t="e">
            <v>#VALUE!</v>
          </cell>
        </row>
        <row r="79">
          <cell r="B79" t="e">
            <v>#REF!</v>
          </cell>
          <cell r="C79" t="e">
            <v>#REF!</v>
          </cell>
          <cell r="D79" t="e">
            <v>#VALUE!</v>
          </cell>
          <cell r="E79" t="e">
            <v>#VALUE!</v>
          </cell>
          <cell r="F79" t="e">
            <v>#VALUE!</v>
          </cell>
          <cell r="G79" t="e">
            <v>#VALUE!</v>
          </cell>
          <cell r="H79" t="e">
            <v>#VALUE!</v>
          </cell>
          <cell r="I79" t="e">
            <v>#VALUE!</v>
          </cell>
          <cell r="J79" t="e">
            <v>#VALUE!</v>
          </cell>
          <cell r="K79" t="e">
            <v>#VALUE!</v>
          </cell>
          <cell r="L79" t="e">
            <v>#VALUE!</v>
          </cell>
        </row>
        <row r="80">
          <cell r="B80" t="e">
            <v>#REF!</v>
          </cell>
          <cell r="C80" t="e">
            <v>#REF!</v>
          </cell>
          <cell r="D80" t="e">
            <v>#VALUE!</v>
          </cell>
          <cell r="E80" t="e">
            <v>#VALUE!</v>
          </cell>
          <cell r="F80" t="e">
            <v>#VALUE!</v>
          </cell>
          <cell r="G80" t="e">
            <v>#VALUE!</v>
          </cell>
          <cell r="H80" t="e">
            <v>#VALUE!</v>
          </cell>
          <cell r="I80" t="e">
            <v>#VALUE!</v>
          </cell>
          <cell r="J80" t="e">
            <v>#VALUE!</v>
          </cell>
          <cell r="K80" t="e">
            <v>#VALUE!</v>
          </cell>
          <cell r="L80" t="e">
            <v>#VALUE!</v>
          </cell>
        </row>
        <row r="81">
          <cell r="B81" t="e">
            <v>#REF!</v>
          </cell>
          <cell r="C81" t="e">
            <v>#REF!</v>
          </cell>
          <cell r="D81" t="e">
            <v>#VALUE!</v>
          </cell>
          <cell r="E81" t="e">
            <v>#VALUE!</v>
          </cell>
          <cell r="F81" t="e">
            <v>#VALUE!</v>
          </cell>
          <cell r="G81" t="e">
            <v>#VALUE!</v>
          </cell>
          <cell r="H81" t="e">
            <v>#VALUE!</v>
          </cell>
          <cell r="I81" t="e">
            <v>#VALUE!</v>
          </cell>
          <cell r="J81" t="e">
            <v>#VALUE!</v>
          </cell>
          <cell r="K81" t="e">
            <v>#VALUE!</v>
          </cell>
          <cell r="L81" t="e">
            <v>#VALUE!</v>
          </cell>
        </row>
        <row r="82">
          <cell r="B82" t="e">
            <v>#REF!</v>
          </cell>
          <cell r="C82" t="e">
            <v>#REF!</v>
          </cell>
          <cell r="D82" t="e">
            <v>#VALUE!</v>
          </cell>
          <cell r="E82" t="e">
            <v>#VALUE!</v>
          </cell>
          <cell r="F82" t="e">
            <v>#VALUE!</v>
          </cell>
          <cell r="G82" t="e">
            <v>#VALUE!</v>
          </cell>
          <cell r="H82" t="e">
            <v>#VALUE!</v>
          </cell>
          <cell r="I82" t="e">
            <v>#VALUE!</v>
          </cell>
          <cell r="J82" t="e">
            <v>#VALUE!</v>
          </cell>
          <cell r="K82" t="e">
            <v>#VALUE!</v>
          </cell>
          <cell r="L82" t="e">
            <v>#VALUE!</v>
          </cell>
        </row>
        <row r="83">
          <cell r="B83" t="e">
            <v>#REF!</v>
          </cell>
          <cell r="C83" t="e">
            <v>#REF!</v>
          </cell>
          <cell r="D83" t="e">
            <v>#VALUE!</v>
          </cell>
          <cell r="E83" t="e">
            <v>#VALUE!</v>
          </cell>
          <cell r="F83" t="e">
            <v>#VALUE!</v>
          </cell>
          <cell r="G83" t="e">
            <v>#VALUE!</v>
          </cell>
          <cell r="H83" t="e">
            <v>#VALUE!</v>
          </cell>
          <cell r="I83" t="e">
            <v>#VALUE!</v>
          </cell>
          <cell r="J83" t="e">
            <v>#VALUE!</v>
          </cell>
          <cell r="K83" t="e">
            <v>#VALUE!</v>
          </cell>
          <cell r="L83" t="e">
            <v>#VALUE!</v>
          </cell>
        </row>
        <row r="84">
          <cell r="B84" t="e">
            <v>#REF!</v>
          </cell>
          <cell r="C84" t="e">
            <v>#REF!</v>
          </cell>
          <cell r="D84" t="e">
            <v>#VALUE!</v>
          </cell>
          <cell r="E84" t="e">
            <v>#VALUE!</v>
          </cell>
          <cell r="F84" t="e">
            <v>#VALUE!</v>
          </cell>
          <cell r="G84" t="e">
            <v>#VALUE!</v>
          </cell>
          <cell r="H84" t="e">
            <v>#VALUE!</v>
          </cell>
          <cell r="I84" t="e">
            <v>#VALUE!</v>
          </cell>
          <cell r="J84" t="e">
            <v>#VALUE!</v>
          </cell>
          <cell r="K84" t="e">
            <v>#VALUE!</v>
          </cell>
          <cell r="L84" t="e">
            <v>#VALUE!</v>
          </cell>
        </row>
        <row r="85">
          <cell r="B85" t="e">
            <v>#REF!</v>
          </cell>
          <cell r="C85" t="e">
            <v>#REF!</v>
          </cell>
          <cell r="D85" t="e">
            <v>#VALUE!</v>
          </cell>
          <cell r="E85" t="e">
            <v>#VALUE!</v>
          </cell>
          <cell r="F85" t="e">
            <v>#VALUE!</v>
          </cell>
          <cell r="G85" t="e">
            <v>#VALUE!</v>
          </cell>
          <cell r="H85" t="e">
            <v>#VALUE!</v>
          </cell>
          <cell r="I85" t="e">
            <v>#VALUE!</v>
          </cell>
          <cell r="J85" t="e">
            <v>#VALUE!</v>
          </cell>
          <cell r="K85" t="e">
            <v>#VALUE!</v>
          </cell>
          <cell r="L85" t="e">
            <v>#VALUE!</v>
          </cell>
        </row>
        <row r="86">
          <cell r="B86" t="e">
            <v>#REF!</v>
          </cell>
          <cell r="C86" t="e">
            <v>#REF!</v>
          </cell>
          <cell r="D86" t="e">
            <v>#VALUE!</v>
          </cell>
          <cell r="E86" t="e">
            <v>#VALUE!</v>
          </cell>
          <cell r="F86" t="e">
            <v>#VALUE!</v>
          </cell>
          <cell r="G86" t="e">
            <v>#VALUE!</v>
          </cell>
          <cell r="H86" t="e">
            <v>#VALUE!</v>
          </cell>
          <cell r="I86" t="e">
            <v>#VALUE!</v>
          </cell>
          <cell r="J86" t="e">
            <v>#VALUE!</v>
          </cell>
          <cell r="K86" t="e">
            <v>#VALUE!</v>
          </cell>
          <cell r="L86" t="e">
            <v>#VALUE!</v>
          </cell>
        </row>
        <row r="87">
          <cell r="B87" t="e">
            <v>#REF!</v>
          </cell>
          <cell r="C87" t="e">
            <v>#REF!</v>
          </cell>
          <cell r="D87" t="e">
            <v>#VALUE!</v>
          </cell>
          <cell r="E87" t="e">
            <v>#VALUE!</v>
          </cell>
          <cell r="F87" t="e">
            <v>#VALUE!</v>
          </cell>
          <cell r="G87" t="e">
            <v>#VALUE!</v>
          </cell>
          <cell r="H87" t="e">
            <v>#VALUE!</v>
          </cell>
          <cell r="I87" t="e">
            <v>#VALUE!</v>
          </cell>
          <cell r="J87" t="e">
            <v>#VALUE!</v>
          </cell>
          <cell r="K87" t="e">
            <v>#VALUE!</v>
          </cell>
          <cell r="L87" t="e">
            <v>#VALUE!</v>
          </cell>
        </row>
        <row r="88">
          <cell r="B88" t="e">
            <v>#REF!</v>
          </cell>
          <cell r="C88" t="e">
            <v>#REF!</v>
          </cell>
          <cell r="D88" t="e">
            <v>#VALUE!</v>
          </cell>
          <cell r="E88" t="e">
            <v>#VALUE!</v>
          </cell>
          <cell r="F88" t="e">
            <v>#VALUE!</v>
          </cell>
          <cell r="G88" t="e">
            <v>#VALUE!</v>
          </cell>
          <cell r="H88" t="e">
            <v>#VALUE!</v>
          </cell>
          <cell r="I88" t="e">
            <v>#VALUE!</v>
          </cell>
          <cell r="J88" t="e">
            <v>#VALUE!</v>
          </cell>
          <cell r="K88" t="e">
            <v>#VALUE!</v>
          </cell>
          <cell r="L88" t="e">
            <v>#VALUE!</v>
          </cell>
        </row>
        <row r="89">
          <cell r="B89" t="e">
            <v>#REF!</v>
          </cell>
          <cell r="C89" t="e">
            <v>#REF!</v>
          </cell>
          <cell r="D89" t="e">
            <v>#VALUE!</v>
          </cell>
          <cell r="E89" t="e">
            <v>#VALUE!</v>
          </cell>
          <cell r="F89" t="e">
            <v>#VALUE!</v>
          </cell>
          <cell r="G89" t="e">
            <v>#VALUE!</v>
          </cell>
          <cell r="H89" t="e">
            <v>#VALUE!</v>
          </cell>
          <cell r="I89" t="e">
            <v>#VALUE!</v>
          </cell>
          <cell r="J89" t="e">
            <v>#VALUE!</v>
          </cell>
          <cell r="K89" t="e">
            <v>#VALUE!</v>
          </cell>
          <cell r="L89" t="e">
            <v>#VALUE!</v>
          </cell>
        </row>
        <row r="90">
          <cell r="B90" t="e">
            <v>#REF!</v>
          </cell>
          <cell r="C90" t="e">
            <v>#REF!</v>
          </cell>
          <cell r="D90" t="e">
            <v>#VALUE!</v>
          </cell>
          <cell r="E90" t="e">
            <v>#VALUE!</v>
          </cell>
          <cell r="F90" t="e">
            <v>#VALUE!</v>
          </cell>
          <cell r="G90" t="e">
            <v>#VALUE!</v>
          </cell>
          <cell r="H90" t="e">
            <v>#VALUE!</v>
          </cell>
          <cell r="I90" t="e">
            <v>#VALUE!</v>
          </cell>
          <cell r="J90" t="e">
            <v>#VALUE!</v>
          </cell>
          <cell r="K90" t="e">
            <v>#VALUE!</v>
          </cell>
          <cell r="L90" t="e">
            <v>#VALUE!</v>
          </cell>
        </row>
        <row r="91">
          <cell r="B91" t="e">
            <v>#REF!</v>
          </cell>
          <cell r="C91" t="e">
            <v>#REF!</v>
          </cell>
          <cell r="D91" t="e">
            <v>#VALUE!</v>
          </cell>
          <cell r="E91" t="e">
            <v>#VALUE!</v>
          </cell>
          <cell r="F91" t="e">
            <v>#VALUE!</v>
          </cell>
          <cell r="G91" t="e">
            <v>#VALUE!</v>
          </cell>
          <cell r="H91" t="e">
            <v>#VALUE!</v>
          </cell>
          <cell r="I91" t="e">
            <v>#VALUE!</v>
          </cell>
          <cell r="J91" t="e">
            <v>#VALUE!</v>
          </cell>
          <cell r="K91" t="e">
            <v>#VALUE!</v>
          </cell>
          <cell r="L91" t="e">
            <v>#VALUE!</v>
          </cell>
        </row>
        <row r="92">
          <cell r="B92" t="e">
            <v>#REF!</v>
          </cell>
          <cell r="C92" t="e">
            <v>#REF!</v>
          </cell>
          <cell r="D92" t="e">
            <v>#VALUE!</v>
          </cell>
          <cell r="E92" t="e">
            <v>#VALUE!</v>
          </cell>
          <cell r="F92" t="e">
            <v>#VALUE!</v>
          </cell>
          <cell r="G92" t="e">
            <v>#VALUE!</v>
          </cell>
          <cell r="H92" t="e">
            <v>#VALUE!</v>
          </cell>
          <cell r="I92" t="e">
            <v>#VALUE!</v>
          </cell>
          <cell r="J92" t="e">
            <v>#VALUE!</v>
          </cell>
          <cell r="K92" t="e">
            <v>#VALUE!</v>
          </cell>
          <cell r="L92" t="e">
            <v>#VALUE!</v>
          </cell>
        </row>
        <row r="93">
          <cell r="B93" t="e">
            <v>#REF!</v>
          </cell>
          <cell r="C93" t="e">
            <v>#REF!</v>
          </cell>
          <cell r="D93" t="e">
            <v>#VALUE!</v>
          </cell>
          <cell r="E93" t="e">
            <v>#VALUE!</v>
          </cell>
          <cell r="F93" t="e">
            <v>#VALUE!</v>
          </cell>
          <cell r="G93" t="e">
            <v>#VALUE!</v>
          </cell>
          <cell r="H93" t="e">
            <v>#VALUE!</v>
          </cell>
          <cell r="I93" t="e">
            <v>#VALUE!</v>
          </cell>
          <cell r="J93" t="e">
            <v>#VALUE!</v>
          </cell>
          <cell r="K93" t="e">
            <v>#VALUE!</v>
          </cell>
          <cell r="L93" t="e">
            <v>#VALUE!</v>
          </cell>
        </row>
        <row r="94">
          <cell r="B94" t="e">
            <v>#REF!</v>
          </cell>
          <cell r="C94" t="e">
            <v>#REF!</v>
          </cell>
          <cell r="D94" t="e">
            <v>#VALUE!</v>
          </cell>
          <cell r="E94" t="e">
            <v>#VALUE!</v>
          </cell>
          <cell r="F94" t="e">
            <v>#VALUE!</v>
          </cell>
          <cell r="G94" t="e">
            <v>#VALUE!</v>
          </cell>
          <cell r="H94" t="e">
            <v>#VALUE!</v>
          </cell>
          <cell r="I94" t="e">
            <v>#VALUE!</v>
          </cell>
          <cell r="J94" t="e">
            <v>#VALUE!</v>
          </cell>
          <cell r="K94" t="e">
            <v>#VALUE!</v>
          </cell>
          <cell r="L94" t="e">
            <v>#VALUE!</v>
          </cell>
        </row>
        <row r="95">
          <cell r="B95" t="e">
            <v>#REF!</v>
          </cell>
          <cell r="C95" t="e">
            <v>#REF!</v>
          </cell>
          <cell r="D95" t="e">
            <v>#VALUE!</v>
          </cell>
          <cell r="E95" t="e">
            <v>#VALUE!</v>
          </cell>
          <cell r="F95" t="e">
            <v>#VALUE!</v>
          </cell>
          <cell r="G95" t="e">
            <v>#VALUE!</v>
          </cell>
          <cell r="H95" t="e">
            <v>#VALUE!</v>
          </cell>
          <cell r="I95" t="e">
            <v>#VALUE!</v>
          </cell>
          <cell r="J95" t="e">
            <v>#VALUE!</v>
          </cell>
          <cell r="K95" t="e">
            <v>#VALUE!</v>
          </cell>
          <cell r="L95" t="e">
            <v>#VALUE!</v>
          </cell>
        </row>
        <row r="96">
          <cell r="B96" t="e">
            <v>#REF!</v>
          </cell>
          <cell r="C96" t="e">
            <v>#REF!</v>
          </cell>
          <cell r="D96" t="e">
            <v>#VALUE!</v>
          </cell>
          <cell r="E96" t="e">
            <v>#VALUE!</v>
          </cell>
          <cell r="F96" t="e">
            <v>#VALUE!</v>
          </cell>
          <cell r="G96" t="e">
            <v>#VALUE!</v>
          </cell>
          <cell r="H96" t="e">
            <v>#VALUE!</v>
          </cell>
          <cell r="I96" t="e">
            <v>#VALUE!</v>
          </cell>
          <cell r="J96" t="e">
            <v>#VALUE!</v>
          </cell>
          <cell r="K96" t="e">
            <v>#VALUE!</v>
          </cell>
          <cell r="L96" t="e">
            <v>#VALUE!</v>
          </cell>
        </row>
        <row r="97">
          <cell r="B97" t="e">
            <v>#REF!</v>
          </cell>
          <cell r="C97" t="e">
            <v>#REF!</v>
          </cell>
          <cell r="D97" t="e">
            <v>#VALUE!</v>
          </cell>
          <cell r="E97" t="e">
            <v>#VALUE!</v>
          </cell>
          <cell r="F97" t="e">
            <v>#VALUE!</v>
          </cell>
          <cell r="G97" t="e">
            <v>#VALUE!</v>
          </cell>
          <cell r="H97" t="e">
            <v>#VALUE!</v>
          </cell>
          <cell r="I97" t="e">
            <v>#VALUE!</v>
          </cell>
          <cell r="J97" t="e">
            <v>#VALUE!</v>
          </cell>
          <cell r="K97" t="e">
            <v>#VALUE!</v>
          </cell>
          <cell r="L97" t="e">
            <v>#VALUE!</v>
          </cell>
        </row>
        <row r="98">
          <cell r="B98" t="e">
            <v>#REF!</v>
          </cell>
          <cell r="C98" t="e">
            <v>#REF!</v>
          </cell>
          <cell r="D98" t="e">
            <v>#VALUE!</v>
          </cell>
          <cell r="E98" t="e">
            <v>#VALUE!</v>
          </cell>
          <cell r="F98" t="e">
            <v>#VALUE!</v>
          </cell>
          <cell r="G98" t="e">
            <v>#VALUE!</v>
          </cell>
          <cell r="H98" t="e">
            <v>#VALUE!</v>
          </cell>
          <cell r="I98" t="e">
            <v>#VALUE!</v>
          </cell>
          <cell r="J98" t="e">
            <v>#VALUE!</v>
          </cell>
          <cell r="K98" t="e">
            <v>#VALUE!</v>
          </cell>
          <cell r="L98" t="e">
            <v>#VALUE!</v>
          </cell>
        </row>
        <row r="99">
          <cell r="B99" t="e">
            <v>#REF!</v>
          </cell>
          <cell r="C99" t="e">
            <v>#REF!</v>
          </cell>
          <cell r="D99" t="e">
            <v>#VALUE!</v>
          </cell>
          <cell r="E99" t="e">
            <v>#VALUE!</v>
          </cell>
          <cell r="F99" t="e">
            <v>#VALUE!</v>
          </cell>
          <cell r="G99" t="e">
            <v>#VALUE!</v>
          </cell>
          <cell r="H99" t="e">
            <v>#VALUE!</v>
          </cell>
          <cell r="I99" t="e">
            <v>#VALUE!</v>
          </cell>
          <cell r="J99" t="e">
            <v>#VALUE!</v>
          </cell>
          <cell r="K99" t="e">
            <v>#VALUE!</v>
          </cell>
          <cell r="L99" t="e">
            <v>#VALUE!</v>
          </cell>
        </row>
        <row r="100">
          <cell r="B100" t="e">
            <v>#REF!</v>
          </cell>
          <cell r="C100" t="e">
            <v>#REF!</v>
          </cell>
          <cell r="D100" t="e">
            <v>#VALUE!</v>
          </cell>
          <cell r="E100" t="e">
            <v>#VALUE!</v>
          </cell>
          <cell r="F100" t="e">
            <v>#VALUE!</v>
          </cell>
          <cell r="G100" t="e">
            <v>#VALUE!</v>
          </cell>
          <cell r="H100" t="e">
            <v>#VALUE!</v>
          </cell>
          <cell r="I100" t="e">
            <v>#VALUE!</v>
          </cell>
          <cell r="J100" t="e">
            <v>#VALUE!</v>
          </cell>
          <cell r="K100" t="e">
            <v>#VALUE!</v>
          </cell>
          <cell r="L100" t="e">
            <v>#VALUE!</v>
          </cell>
        </row>
        <row r="101">
          <cell r="B101" t="e">
            <v>#REF!</v>
          </cell>
          <cell r="C101" t="e">
            <v>#REF!</v>
          </cell>
          <cell r="D101" t="e">
            <v>#VALUE!</v>
          </cell>
          <cell r="E101" t="e">
            <v>#VALUE!</v>
          </cell>
          <cell r="F101" t="e">
            <v>#VALUE!</v>
          </cell>
          <cell r="G101" t="e">
            <v>#VALUE!</v>
          </cell>
          <cell r="H101" t="e">
            <v>#VALUE!</v>
          </cell>
          <cell r="I101" t="e">
            <v>#VALUE!</v>
          </cell>
          <cell r="J101" t="e">
            <v>#VALUE!</v>
          </cell>
          <cell r="K101" t="e">
            <v>#VALUE!</v>
          </cell>
          <cell r="L101" t="e">
            <v>#VALUE!</v>
          </cell>
        </row>
        <row r="102">
          <cell r="B102" t="e">
            <v>#REF!</v>
          </cell>
          <cell r="C102" t="e">
            <v>#REF!</v>
          </cell>
          <cell r="D102" t="e">
            <v>#VALUE!</v>
          </cell>
          <cell r="E102" t="e">
            <v>#VALUE!</v>
          </cell>
          <cell r="F102" t="e">
            <v>#VALUE!</v>
          </cell>
          <cell r="G102" t="e">
            <v>#VALUE!</v>
          </cell>
          <cell r="H102" t="e">
            <v>#VALUE!</v>
          </cell>
          <cell r="I102" t="e">
            <v>#VALUE!</v>
          </cell>
          <cell r="J102" t="e">
            <v>#VALUE!</v>
          </cell>
          <cell r="K102" t="e">
            <v>#VALUE!</v>
          </cell>
          <cell r="L102" t="e">
            <v>#VALUE!</v>
          </cell>
        </row>
        <row r="103">
          <cell r="B103" t="e">
            <v>#REF!</v>
          </cell>
          <cell r="C103" t="e">
            <v>#REF!</v>
          </cell>
          <cell r="D103" t="e">
            <v>#VALUE!</v>
          </cell>
          <cell r="E103" t="e">
            <v>#VALUE!</v>
          </cell>
          <cell r="F103" t="e">
            <v>#VALUE!</v>
          </cell>
          <cell r="G103" t="e">
            <v>#VALUE!</v>
          </cell>
          <cell r="H103" t="e">
            <v>#VALUE!</v>
          </cell>
          <cell r="I103" t="e">
            <v>#VALUE!</v>
          </cell>
          <cell r="J103" t="e">
            <v>#VALUE!</v>
          </cell>
          <cell r="K103" t="e">
            <v>#VALUE!</v>
          </cell>
          <cell r="L103" t="e">
            <v>#VALUE!</v>
          </cell>
        </row>
        <row r="104">
          <cell r="B104" t="e">
            <v>#REF!</v>
          </cell>
          <cell r="C104" t="e">
            <v>#REF!</v>
          </cell>
          <cell r="D104" t="e">
            <v>#VALUE!</v>
          </cell>
          <cell r="E104" t="e">
            <v>#VALUE!</v>
          </cell>
          <cell r="F104" t="e">
            <v>#VALUE!</v>
          </cell>
          <cell r="G104" t="e">
            <v>#VALUE!</v>
          </cell>
          <cell r="H104" t="e">
            <v>#VALUE!</v>
          </cell>
          <cell r="I104" t="e">
            <v>#VALUE!</v>
          </cell>
          <cell r="J104" t="e">
            <v>#VALUE!</v>
          </cell>
          <cell r="K104" t="e">
            <v>#VALUE!</v>
          </cell>
          <cell r="L104" t="e">
            <v>#VALUE!</v>
          </cell>
        </row>
        <row r="105">
          <cell r="B105" t="e">
            <v>#REF!</v>
          </cell>
          <cell r="C105" t="e">
            <v>#REF!</v>
          </cell>
          <cell r="D105" t="e">
            <v>#VALUE!</v>
          </cell>
          <cell r="E105" t="e">
            <v>#VALUE!</v>
          </cell>
          <cell r="F105" t="e">
            <v>#VALUE!</v>
          </cell>
          <cell r="G105" t="e">
            <v>#VALUE!</v>
          </cell>
          <cell r="H105" t="e">
            <v>#VALUE!</v>
          </cell>
          <cell r="I105" t="e">
            <v>#VALUE!</v>
          </cell>
          <cell r="J105" t="e">
            <v>#VALUE!</v>
          </cell>
          <cell r="K105" t="e">
            <v>#VALUE!</v>
          </cell>
          <cell r="L105" t="e">
            <v>#VALUE!</v>
          </cell>
        </row>
        <row r="106">
          <cell r="B106" t="e">
            <v>#REF!</v>
          </cell>
          <cell r="C106" t="e">
            <v>#REF!</v>
          </cell>
          <cell r="D106" t="e">
            <v>#VALUE!</v>
          </cell>
          <cell r="E106" t="e">
            <v>#VALUE!</v>
          </cell>
          <cell r="F106" t="e">
            <v>#VALUE!</v>
          </cell>
          <cell r="G106" t="e">
            <v>#VALUE!</v>
          </cell>
          <cell r="H106" t="e">
            <v>#VALUE!</v>
          </cell>
          <cell r="I106" t="e">
            <v>#VALUE!</v>
          </cell>
          <cell r="J106" t="e">
            <v>#VALUE!</v>
          </cell>
          <cell r="K106" t="e">
            <v>#VALUE!</v>
          </cell>
          <cell r="L106" t="e">
            <v>#VALUE!</v>
          </cell>
        </row>
        <row r="107">
          <cell r="B107" t="e">
            <v>#REF!</v>
          </cell>
          <cell r="C107" t="e">
            <v>#REF!</v>
          </cell>
          <cell r="D107" t="e">
            <v>#VALUE!</v>
          </cell>
          <cell r="E107" t="e">
            <v>#VALUE!</v>
          </cell>
          <cell r="F107" t="e">
            <v>#VALUE!</v>
          </cell>
          <cell r="G107" t="e">
            <v>#VALUE!</v>
          </cell>
          <cell r="H107" t="e">
            <v>#VALUE!</v>
          </cell>
          <cell r="I107" t="e">
            <v>#VALUE!</v>
          </cell>
          <cell r="J107" t="e">
            <v>#VALUE!</v>
          </cell>
          <cell r="K107" t="e">
            <v>#VALUE!</v>
          </cell>
          <cell r="L107" t="e">
            <v>#VALUE!</v>
          </cell>
        </row>
        <row r="108">
          <cell r="B108" t="e">
            <v>#REF!</v>
          </cell>
          <cell r="C108" t="e">
            <v>#REF!</v>
          </cell>
          <cell r="D108" t="e">
            <v>#VALUE!</v>
          </cell>
          <cell r="E108" t="e">
            <v>#VALUE!</v>
          </cell>
          <cell r="F108" t="e">
            <v>#VALUE!</v>
          </cell>
          <cell r="G108" t="e">
            <v>#VALUE!</v>
          </cell>
          <cell r="H108" t="e">
            <v>#VALUE!</v>
          </cell>
          <cell r="I108" t="e">
            <v>#VALUE!</v>
          </cell>
          <cell r="J108" t="e">
            <v>#VALUE!</v>
          </cell>
          <cell r="K108" t="e">
            <v>#VALUE!</v>
          </cell>
          <cell r="L108" t="e">
            <v>#VALUE!</v>
          </cell>
        </row>
        <row r="109">
          <cell r="B109" t="e">
            <v>#REF!</v>
          </cell>
          <cell r="C109" t="e">
            <v>#REF!</v>
          </cell>
          <cell r="D109" t="e">
            <v>#VALUE!</v>
          </cell>
          <cell r="E109" t="e">
            <v>#VALUE!</v>
          </cell>
          <cell r="F109" t="e">
            <v>#VALUE!</v>
          </cell>
          <cell r="G109" t="e">
            <v>#VALUE!</v>
          </cell>
          <cell r="H109" t="e">
            <v>#VALUE!</v>
          </cell>
          <cell r="I109" t="e">
            <v>#VALUE!</v>
          </cell>
          <cell r="J109" t="e">
            <v>#VALUE!</v>
          </cell>
          <cell r="K109" t="e">
            <v>#VALUE!</v>
          </cell>
          <cell r="L109" t="e">
            <v>#VALUE!</v>
          </cell>
        </row>
        <row r="110">
          <cell r="B110" t="e">
            <v>#REF!</v>
          </cell>
          <cell r="C110" t="e">
            <v>#REF!</v>
          </cell>
          <cell r="D110" t="e">
            <v>#VALUE!</v>
          </cell>
          <cell r="E110" t="e">
            <v>#VALUE!</v>
          </cell>
          <cell r="F110" t="e">
            <v>#VALUE!</v>
          </cell>
          <cell r="G110" t="e">
            <v>#VALUE!</v>
          </cell>
          <cell r="H110" t="e">
            <v>#VALUE!</v>
          </cell>
          <cell r="I110" t="e">
            <v>#VALUE!</v>
          </cell>
          <cell r="J110" t="e">
            <v>#VALUE!</v>
          </cell>
          <cell r="K110" t="e">
            <v>#VALUE!</v>
          </cell>
          <cell r="L110" t="e">
            <v>#VALUE!</v>
          </cell>
        </row>
        <row r="111">
          <cell r="B111" t="e">
            <v>#REF!</v>
          </cell>
          <cell r="C111" t="e">
            <v>#REF!</v>
          </cell>
          <cell r="D111" t="e">
            <v>#VALUE!</v>
          </cell>
          <cell r="E111" t="e">
            <v>#VALUE!</v>
          </cell>
          <cell r="F111" t="e">
            <v>#VALUE!</v>
          </cell>
          <cell r="G111" t="e">
            <v>#VALUE!</v>
          </cell>
          <cell r="H111" t="e">
            <v>#VALUE!</v>
          </cell>
          <cell r="I111" t="e">
            <v>#VALUE!</v>
          </cell>
          <cell r="J111" t="e">
            <v>#VALUE!</v>
          </cell>
          <cell r="K111" t="e">
            <v>#VALUE!</v>
          </cell>
          <cell r="L111" t="e">
            <v>#VALUE!</v>
          </cell>
        </row>
        <row r="112">
          <cell r="B112" t="e">
            <v>#REF!</v>
          </cell>
          <cell r="C112" t="e">
            <v>#REF!</v>
          </cell>
          <cell r="D112" t="e">
            <v>#VALUE!</v>
          </cell>
          <cell r="E112" t="e">
            <v>#VALUE!</v>
          </cell>
          <cell r="F112" t="e">
            <v>#VALUE!</v>
          </cell>
          <cell r="G112" t="e">
            <v>#VALUE!</v>
          </cell>
          <cell r="H112" t="e">
            <v>#VALUE!</v>
          </cell>
          <cell r="I112" t="e">
            <v>#VALUE!</v>
          </cell>
          <cell r="J112" t="e">
            <v>#VALUE!</v>
          </cell>
          <cell r="K112" t="e">
            <v>#VALUE!</v>
          </cell>
          <cell r="L112" t="e">
            <v>#VALUE!</v>
          </cell>
        </row>
        <row r="113">
          <cell r="B113" t="e">
            <v>#REF!</v>
          </cell>
          <cell r="C113" t="e">
            <v>#REF!</v>
          </cell>
          <cell r="D113" t="e">
            <v>#VALUE!</v>
          </cell>
          <cell r="E113" t="e">
            <v>#VALUE!</v>
          </cell>
          <cell r="F113" t="e">
            <v>#VALUE!</v>
          </cell>
          <cell r="G113" t="e">
            <v>#VALUE!</v>
          </cell>
          <cell r="H113" t="e">
            <v>#VALUE!</v>
          </cell>
          <cell r="I113" t="e">
            <v>#VALUE!</v>
          </cell>
          <cell r="J113" t="e">
            <v>#VALUE!</v>
          </cell>
          <cell r="K113" t="e">
            <v>#VALUE!</v>
          </cell>
          <cell r="L113" t="e">
            <v>#VALUE!</v>
          </cell>
        </row>
        <row r="114">
          <cell r="B114" t="e">
            <v>#REF!</v>
          </cell>
          <cell r="C114" t="e">
            <v>#REF!</v>
          </cell>
          <cell r="D114" t="e">
            <v>#VALUE!</v>
          </cell>
          <cell r="E114" t="e">
            <v>#VALUE!</v>
          </cell>
          <cell r="F114" t="e">
            <v>#VALUE!</v>
          </cell>
          <cell r="G114" t="e">
            <v>#VALUE!</v>
          </cell>
          <cell r="H114" t="e">
            <v>#VALUE!</v>
          </cell>
          <cell r="I114" t="e">
            <v>#VALUE!</v>
          </cell>
          <cell r="J114" t="e">
            <v>#VALUE!</v>
          </cell>
          <cell r="K114" t="e">
            <v>#VALUE!</v>
          </cell>
          <cell r="L114" t="e">
            <v>#VALUE!</v>
          </cell>
        </row>
        <row r="115">
          <cell r="B115" t="e">
            <v>#REF!</v>
          </cell>
          <cell r="C115" t="e">
            <v>#REF!</v>
          </cell>
          <cell r="D115" t="e">
            <v>#VALUE!</v>
          </cell>
          <cell r="E115" t="e">
            <v>#VALUE!</v>
          </cell>
          <cell r="F115" t="e">
            <v>#VALUE!</v>
          </cell>
          <cell r="G115" t="e">
            <v>#VALUE!</v>
          </cell>
          <cell r="H115" t="e">
            <v>#VALUE!</v>
          </cell>
          <cell r="I115" t="e">
            <v>#VALUE!</v>
          </cell>
          <cell r="J115" t="e">
            <v>#VALUE!</v>
          </cell>
          <cell r="K115" t="e">
            <v>#VALUE!</v>
          </cell>
          <cell r="L115" t="e">
            <v>#VALUE!</v>
          </cell>
        </row>
        <row r="116">
          <cell r="B116" t="e">
            <v>#REF!</v>
          </cell>
          <cell r="C116" t="e">
            <v>#REF!</v>
          </cell>
          <cell r="D116" t="e">
            <v>#VALUE!</v>
          </cell>
          <cell r="E116" t="e">
            <v>#VALUE!</v>
          </cell>
          <cell r="F116" t="e">
            <v>#VALUE!</v>
          </cell>
          <cell r="G116" t="e">
            <v>#VALUE!</v>
          </cell>
          <cell r="H116" t="e">
            <v>#VALUE!</v>
          </cell>
          <cell r="I116" t="e">
            <v>#VALUE!</v>
          </cell>
          <cell r="J116" t="e">
            <v>#VALUE!</v>
          </cell>
          <cell r="K116" t="e">
            <v>#VALUE!</v>
          </cell>
          <cell r="L116" t="e">
            <v>#VALUE!</v>
          </cell>
        </row>
        <row r="117">
          <cell r="B117" t="e">
            <v>#REF!</v>
          </cell>
          <cell r="C117" t="e">
            <v>#REF!</v>
          </cell>
          <cell r="D117" t="e">
            <v>#VALUE!</v>
          </cell>
          <cell r="E117" t="e">
            <v>#VALUE!</v>
          </cell>
          <cell r="F117" t="e">
            <v>#VALUE!</v>
          </cell>
          <cell r="G117" t="e">
            <v>#VALUE!</v>
          </cell>
          <cell r="H117" t="e">
            <v>#VALUE!</v>
          </cell>
          <cell r="I117" t="e">
            <v>#VALUE!</v>
          </cell>
          <cell r="J117" t="e">
            <v>#VALUE!</v>
          </cell>
          <cell r="K117" t="e">
            <v>#VALUE!</v>
          </cell>
          <cell r="L117" t="e">
            <v>#VALUE!</v>
          </cell>
        </row>
        <row r="118">
          <cell r="B118" t="e">
            <v>#REF!</v>
          </cell>
          <cell r="C118" t="e">
            <v>#REF!</v>
          </cell>
          <cell r="D118" t="e">
            <v>#VALUE!</v>
          </cell>
          <cell r="E118" t="e">
            <v>#VALUE!</v>
          </cell>
          <cell r="F118" t="e">
            <v>#VALUE!</v>
          </cell>
          <cell r="G118" t="e">
            <v>#VALUE!</v>
          </cell>
          <cell r="H118" t="e">
            <v>#VALUE!</v>
          </cell>
          <cell r="I118" t="e">
            <v>#VALUE!</v>
          </cell>
          <cell r="J118" t="e">
            <v>#VALUE!</v>
          </cell>
          <cell r="K118" t="e">
            <v>#VALUE!</v>
          </cell>
          <cell r="L118" t="e">
            <v>#VALUE!</v>
          </cell>
        </row>
        <row r="119">
          <cell r="B119" t="e">
            <v>#REF!</v>
          </cell>
          <cell r="C119" t="e">
            <v>#REF!</v>
          </cell>
          <cell r="D119" t="e">
            <v>#VALUE!</v>
          </cell>
          <cell r="E119" t="e">
            <v>#VALUE!</v>
          </cell>
          <cell r="F119" t="e">
            <v>#VALUE!</v>
          </cell>
          <cell r="G119" t="e">
            <v>#VALUE!</v>
          </cell>
          <cell r="H119" t="e">
            <v>#VALUE!</v>
          </cell>
          <cell r="I119" t="e">
            <v>#VALUE!</v>
          </cell>
          <cell r="J119" t="e">
            <v>#VALUE!</v>
          </cell>
          <cell r="K119" t="e">
            <v>#VALUE!</v>
          </cell>
          <cell r="L119" t="e">
            <v>#VALUE!</v>
          </cell>
        </row>
        <row r="120">
          <cell r="B120" t="e">
            <v>#REF!</v>
          </cell>
          <cell r="C120" t="e">
            <v>#REF!</v>
          </cell>
          <cell r="D120" t="e">
            <v>#VALUE!</v>
          </cell>
          <cell r="E120" t="e">
            <v>#VALUE!</v>
          </cell>
          <cell r="F120" t="e">
            <v>#VALUE!</v>
          </cell>
          <cell r="G120" t="e">
            <v>#VALUE!</v>
          </cell>
          <cell r="H120" t="e">
            <v>#VALUE!</v>
          </cell>
          <cell r="I120" t="e">
            <v>#VALUE!</v>
          </cell>
          <cell r="J120" t="e">
            <v>#VALUE!</v>
          </cell>
          <cell r="K120" t="e">
            <v>#VALUE!</v>
          </cell>
          <cell r="L120" t="e">
            <v>#VALUE!</v>
          </cell>
        </row>
        <row r="121">
          <cell r="B121" t="e">
            <v>#REF!</v>
          </cell>
          <cell r="C121" t="e">
            <v>#REF!</v>
          </cell>
          <cell r="D121" t="e">
            <v>#VALUE!</v>
          </cell>
          <cell r="E121" t="e">
            <v>#VALUE!</v>
          </cell>
          <cell r="F121" t="e">
            <v>#VALUE!</v>
          </cell>
          <cell r="G121" t="e">
            <v>#VALUE!</v>
          </cell>
          <cell r="H121" t="e">
            <v>#VALUE!</v>
          </cell>
          <cell r="I121" t="e">
            <v>#VALUE!</v>
          </cell>
          <cell r="J121" t="e">
            <v>#VALUE!</v>
          </cell>
          <cell r="K121" t="e">
            <v>#VALUE!</v>
          </cell>
          <cell r="L121" t="e">
            <v>#VALUE!</v>
          </cell>
        </row>
        <row r="122">
          <cell r="B122" t="e">
            <v>#REF!</v>
          </cell>
          <cell r="C122" t="e">
            <v>#REF!</v>
          </cell>
          <cell r="D122" t="e">
            <v>#VALUE!</v>
          </cell>
          <cell r="E122" t="e">
            <v>#VALUE!</v>
          </cell>
          <cell r="F122" t="e">
            <v>#VALUE!</v>
          </cell>
          <cell r="G122" t="e">
            <v>#VALUE!</v>
          </cell>
          <cell r="H122" t="e">
            <v>#VALUE!</v>
          </cell>
          <cell r="I122" t="e">
            <v>#VALUE!</v>
          </cell>
          <cell r="J122" t="e">
            <v>#VALUE!</v>
          </cell>
          <cell r="K122" t="e">
            <v>#VALUE!</v>
          </cell>
          <cell r="L122" t="e">
            <v>#VALUE!</v>
          </cell>
        </row>
        <row r="123">
          <cell r="B123" t="e">
            <v>#REF!</v>
          </cell>
          <cell r="C123" t="e">
            <v>#REF!</v>
          </cell>
          <cell r="D123" t="e">
            <v>#VALUE!</v>
          </cell>
          <cell r="E123" t="e">
            <v>#VALUE!</v>
          </cell>
          <cell r="F123" t="e">
            <v>#VALUE!</v>
          </cell>
          <cell r="G123" t="e">
            <v>#VALUE!</v>
          </cell>
          <cell r="H123" t="e">
            <v>#VALUE!</v>
          </cell>
          <cell r="I123" t="e">
            <v>#VALUE!</v>
          </cell>
          <cell r="J123" t="e">
            <v>#VALUE!</v>
          </cell>
          <cell r="K123" t="e">
            <v>#VALUE!</v>
          </cell>
          <cell r="L123" t="e">
            <v>#VALUE!</v>
          </cell>
        </row>
        <row r="124">
          <cell r="B124" t="e">
            <v>#REF!</v>
          </cell>
          <cell r="C124" t="e">
            <v>#REF!</v>
          </cell>
          <cell r="D124" t="e">
            <v>#VALUE!</v>
          </cell>
          <cell r="E124" t="e">
            <v>#VALUE!</v>
          </cell>
          <cell r="F124" t="e">
            <v>#VALUE!</v>
          </cell>
          <cell r="G124" t="e">
            <v>#VALUE!</v>
          </cell>
          <cell r="H124" t="e">
            <v>#VALUE!</v>
          </cell>
          <cell r="I124" t="e">
            <v>#VALUE!</v>
          </cell>
          <cell r="J124" t="e">
            <v>#VALUE!</v>
          </cell>
          <cell r="K124" t="e">
            <v>#VALUE!</v>
          </cell>
          <cell r="L124" t="e">
            <v>#VALUE!</v>
          </cell>
        </row>
        <row r="125">
          <cell r="B125" t="e">
            <v>#REF!</v>
          </cell>
          <cell r="C125" t="e">
            <v>#REF!</v>
          </cell>
          <cell r="D125" t="e">
            <v>#VALUE!</v>
          </cell>
          <cell r="E125" t="e">
            <v>#VALUE!</v>
          </cell>
          <cell r="F125" t="e">
            <v>#VALUE!</v>
          </cell>
          <cell r="G125" t="e">
            <v>#VALUE!</v>
          </cell>
          <cell r="H125" t="e">
            <v>#VALUE!</v>
          </cell>
          <cell r="I125" t="e">
            <v>#VALUE!</v>
          </cell>
          <cell r="J125" t="e">
            <v>#VALUE!</v>
          </cell>
          <cell r="K125" t="e">
            <v>#VALUE!</v>
          </cell>
          <cell r="L125" t="e">
            <v>#VALUE!</v>
          </cell>
        </row>
        <row r="126">
          <cell r="B126" t="e">
            <v>#REF!</v>
          </cell>
          <cell r="C126" t="e">
            <v>#REF!</v>
          </cell>
          <cell r="D126" t="e">
            <v>#VALUE!</v>
          </cell>
          <cell r="E126" t="e">
            <v>#VALUE!</v>
          </cell>
          <cell r="F126" t="e">
            <v>#VALUE!</v>
          </cell>
          <cell r="G126" t="e">
            <v>#VALUE!</v>
          </cell>
          <cell r="H126" t="e">
            <v>#VALUE!</v>
          </cell>
          <cell r="I126" t="e">
            <v>#VALUE!</v>
          </cell>
          <cell r="J126" t="e">
            <v>#VALUE!</v>
          </cell>
          <cell r="K126" t="e">
            <v>#VALUE!</v>
          </cell>
          <cell r="L126" t="e">
            <v>#VALUE!</v>
          </cell>
        </row>
        <row r="127">
          <cell r="B127" t="e">
            <v>#REF!</v>
          </cell>
          <cell r="C127" t="e">
            <v>#REF!</v>
          </cell>
          <cell r="D127" t="e">
            <v>#VALUE!</v>
          </cell>
          <cell r="E127" t="e">
            <v>#VALUE!</v>
          </cell>
          <cell r="F127" t="e">
            <v>#VALUE!</v>
          </cell>
          <cell r="G127" t="e">
            <v>#VALUE!</v>
          </cell>
          <cell r="H127" t="e">
            <v>#VALUE!</v>
          </cell>
          <cell r="I127" t="e">
            <v>#VALUE!</v>
          </cell>
          <cell r="J127" t="e">
            <v>#VALUE!</v>
          </cell>
          <cell r="K127" t="e">
            <v>#VALUE!</v>
          </cell>
          <cell r="L127" t="e">
            <v>#VALUE!</v>
          </cell>
        </row>
        <row r="128">
          <cell r="B128" t="e">
            <v>#REF!</v>
          </cell>
          <cell r="C128" t="e">
            <v>#REF!</v>
          </cell>
          <cell r="D128" t="e">
            <v>#VALUE!</v>
          </cell>
          <cell r="E128" t="e">
            <v>#VALUE!</v>
          </cell>
          <cell r="F128" t="e">
            <v>#VALUE!</v>
          </cell>
          <cell r="G128" t="e">
            <v>#VALUE!</v>
          </cell>
          <cell r="H128" t="e">
            <v>#VALUE!</v>
          </cell>
          <cell r="I128" t="e">
            <v>#VALUE!</v>
          </cell>
          <cell r="J128" t="e">
            <v>#VALUE!</v>
          </cell>
          <cell r="K128" t="e">
            <v>#VALUE!</v>
          </cell>
          <cell r="L128" t="e">
            <v>#VALUE!</v>
          </cell>
        </row>
        <row r="129">
          <cell r="B129" t="e">
            <v>#REF!</v>
          </cell>
          <cell r="C129" t="e">
            <v>#REF!</v>
          </cell>
          <cell r="D129" t="e">
            <v>#VALUE!</v>
          </cell>
          <cell r="E129" t="e">
            <v>#VALUE!</v>
          </cell>
          <cell r="F129" t="e">
            <v>#VALUE!</v>
          </cell>
          <cell r="G129" t="e">
            <v>#VALUE!</v>
          </cell>
          <cell r="H129" t="e">
            <v>#VALUE!</v>
          </cell>
          <cell r="I129" t="e">
            <v>#VALUE!</v>
          </cell>
          <cell r="J129" t="e">
            <v>#VALUE!</v>
          </cell>
          <cell r="K129" t="e">
            <v>#VALUE!</v>
          </cell>
          <cell r="L129" t="e">
            <v>#VALUE!</v>
          </cell>
        </row>
        <row r="130">
          <cell r="B130" t="e">
            <v>#REF!</v>
          </cell>
          <cell r="C130" t="e">
            <v>#REF!</v>
          </cell>
          <cell r="D130" t="e">
            <v>#VALUE!</v>
          </cell>
          <cell r="E130" t="e">
            <v>#VALUE!</v>
          </cell>
          <cell r="F130" t="e">
            <v>#VALUE!</v>
          </cell>
          <cell r="G130" t="e">
            <v>#VALUE!</v>
          </cell>
          <cell r="H130" t="e">
            <v>#VALUE!</v>
          </cell>
          <cell r="I130" t="e">
            <v>#VALUE!</v>
          </cell>
          <cell r="J130" t="e">
            <v>#VALUE!</v>
          </cell>
          <cell r="K130" t="e">
            <v>#VALUE!</v>
          </cell>
          <cell r="L130" t="e">
            <v>#VALUE!</v>
          </cell>
        </row>
        <row r="131">
          <cell r="B131" t="e">
            <v>#REF!</v>
          </cell>
          <cell r="C131" t="e">
            <v>#REF!</v>
          </cell>
          <cell r="D131" t="e">
            <v>#VALUE!</v>
          </cell>
          <cell r="E131" t="e">
            <v>#VALUE!</v>
          </cell>
          <cell r="F131" t="e">
            <v>#VALUE!</v>
          </cell>
          <cell r="G131" t="e">
            <v>#VALUE!</v>
          </cell>
          <cell r="H131" t="e">
            <v>#VALUE!</v>
          </cell>
          <cell r="I131" t="e">
            <v>#VALUE!</v>
          </cell>
          <cell r="J131" t="e">
            <v>#VALUE!</v>
          </cell>
          <cell r="K131" t="e">
            <v>#VALUE!</v>
          </cell>
          <cell r="L131" t="e">
            <v>#VALUE!</v>
          </cell>
        </row>
        <row r="132">
          <cell r="B132" t="e">
            <v>#REF!</v>
          </cell>
          <cell r="C132" t="e">
            <v>#REF!</v>
          </cell>
          <cell r="D132" t="e">
            <v>#VALUE!</v>
          </cell>
          <cell r="E132" t="e">
            <v>#VALUE!</v>
          </cell>
          <cell r="F132" t="e">
            <v>#VALUE!</v>
          </cell>
          <cell r="G132" t="e">
            <v>#VALUE!</v>
          </cell>
          <cell r="H132" t="e">
            <v>#VALUE!</v>
          </cell>
          <cell r="I132" t="e">
            <v>#VALUE!</v>
          </cell>
          <cell r="J132" t="e">
            <v>#VALUE!</v>
          </cell>
          <cell r="K132" t="e">
            <v>#VALUE!</v>
          </cell>
          <cell r="L132" t="e">
            <v>#VALUE!</v>
          </cell>
        </row>
        <row r="133">
          <cell r="B133" t="e">
            <v>#REF!</v>
          </cell>
          <cell r="C133" t="e">
            <v>#REF!</v>
          </cell>
          <cell r="D133" t="e">
            <v>#VALUE!</v>
          </cell>
          <cell r="E133" t="e">
            <v>#VALUE!</v>
          </cell>
          <cell r="F133" t="e">
            <v>#VALUE!</v>
          </cell>
          <cell r="G133" t="e">
            <v>#VALUE!</v>
          </cell>
          <cell r="H133" t="e">
            <v>#VALUE!</v>
          </cell>
          <cell r="I133" t="e">
            <v>#VALUE!</v>
          </cell>
          <cell r="J133" t="e">
            <v>#VALUE!</v>
          </cell>
          <cell r="K133" t="e">
            <v>#VALUE!</v>
          </cell>
          <cell r="L133" t="e">
            <v>#VALUE!</v>
          </cell>
        </row>
        <row r="134">
          <cell r="B134" t="e">
            <v>#REF!</v>
          </cell>
          <cell r="C134" t="e">
            <v>#REF!</v>
          </cell>
          <cell r="D134" t="e">
            <v>#VALUE!</v>
          </cell>
          <cell r="E134" t="e">
            <v>#VALUE!</v>
          </cell>
          <cell r="F134" t="e">
            <v>#VALUE!</v>
          </cell>
          <cell r="G134" t="e">
            <v>#VALUE!</v>
          </cell>
          <cell r="H134" t="e">
            <v>#VALUE!</v>
          </cell>
          <cell r="I134" t="e">
            <v>#VALUE!</v>
          </cell>
          <cell r="J134" t="e">
            <v>#VALUE!</v>
          </cell>
          <cell r="K134" t="e">
            <v>#VALUE!</v>
          </cell>
          <cell r="L134" t="e">
            <v>#VALUE!</v>
          </cell>
        </row>
        <row r="135">
          <cell r="B135" t="e">
            <v>#REF!</v>
          </cell>
          <cell r="C135" t="e">
            <v>#REF!</v>
          </cell>
          <cell r="D135" t="e">
            <v>#VALUE!</v>
          </cell>
          <cell r="E135" t="e">
            <v>#VALUE!</v>
          </cell>
          <cell r="F135" t="e">
            <v>#VALUE!</v>
          </cell>
          <cell r="G135" t="e">
            <v>#VALUE!</v>
          </cell>
          <cell r="H135" t="e">
            <v>#VALUE!</v>
          </cell>
          <cell r="I135" t="e">
            <v>#VALUE!</v>
          </cell>
          <cell r="J135" t="e">
            <v>#VALUE!</v>
          </cell>
          <cell r="K135" t="e">
            <v>#VALUE!</v>
          </cell>
          <cell r="L135" t="e">
            <v>#VALUE!</v>
          </cell>
        </row>
        <row r="136">
          <cell r="B136" t="e">
            <v>#REF!</v>
          </cell>
          <cell r="C136" t="e">
            <v>#REF!</v>
          </cell>
          <cell r="D136" t="e">
            <v>#VALUE!</v>
          </cell>
          <cell r="E136" t="e">
            <v>#VALUE!</v>
          </cell>
          <cell r="F136" t="e">
            <v>#VALUE!</v>
          </cell>
          <cell r="G136" t="e">
            <v>#VALUE!</v>
          </cell>
          <cell r="H136" t="e">
            <v>#VALUE!</v>
          </cell>
          <cell r="I136" t="e">
            <v>#VALUE!</v>
          </cell>
          <cell r="J136" t="e">
            <v>#VALUE!</v>
          </cell>
          <cell r="K136" t="e">
            <v>#VALUE!</v>
          </cell>
          <cell r="L136" t="e">
            <v>#VALUE!</v>
          </cell>
        </row>
        <row r="137">
          <cell r="B137" t="e">
            <v>#REF!</v>
          </cell>
          <cell r="C137" t="e">
            <v>#REF!</v>
          </cell>
          <cell r="D137" t="e">
            <v>#VALUE!</v>
          </cell>
          <cell r="E137" t="e">
            <v>#VALUE!</v>
          </cell>
          <cell r="F137" t="e">
            <v>#VALUE!</v>
          </cell>
          <cell r="G137" t="e">
            <v>#VALUE!</v>
          </cell>
          <cell r="H137" t="e">
            <v>#VALUE!</v>
          </cell>
          <cell r="I137" t="e">
            <v>#VALUE!</v>
          </cell>
          <cell r="J137" t="e">
            <v>#VALUE!</v>
          </cell>
          <cell r="K137" t="e">
            <v>#VALUE!</v>
          </cell>
          <cell r="L137" t="e">
            <v>#VALUE!</v>
          </cell>
        </row>
        <row r="138">
          <cell r="B138" t="e">
            <v>#REF!</v>
          </cell>
          <cell r="C138" t="e">
            <v>#REF!</v>
          </cell>
          <cell r="D138" t="e">
            <v>#VALUE!</v>
          </cell>
          <cell r="E138" t="e">
            <v>#VALUE!</v>
          </cell>
          <cell r="F138" t="e">
            <v>#VALUE!</v>
          </cell>
          <cell r="G138" t="e">
            <v>#VALUE!</v>
          </cell>
          <cell r="H138" t="e">
            <v>#VALUE!</v>
          </cell>
          <cell r="I138" t="e">
            <v>#VALUE!</v>
          </cell>
          <cell r="J138" t="e">
            <v>#VALUE!</v>
          </cell>
          <cell r="K138" t="e">
            <v>#VALUE!</v>
          </cell>
          <cell r="L138" t="e">
            <v>#VALUE!</v>
          </cell>
        </row>
        <row r="139">
          <cell r="B139" t="e">
            <v>#REF!</v>
          </cell>
          <cell r="C139" t="e">
            <v>#REF!</v>
          </cell>
          <cell r="D139" t="e">
            <v>#VALUE!</v>
          </cell>
          <cell r="E139" t="e">
            <v>#VALUE!</v>
          </cell>
          <cell r="F139" t="e">
            <v>#VALUE!</v>
          </cell>
          <cell r="G139" t="e">
            <v>#VALUE!</v>
          </cell>
          <cell r="H139" t="e">
            <v>#VALUE!</v>
          </cell>
          <cell r="I139" t="e">
            <v>#VALUE!</v>
          </cell>
          <cell r="J139" t="e">
            <v>#VALUE!</v>
          </cell>
          <cell r="K139" t="e">
            <v>#VALUE!</v>
          </cell>
          <cell r="L139" t="e">
            <v>#VALUE!</v>
          </cell>
        </row>
        <row r="140">
          <cell r="B140" t="e">
            <v>#REF!</v>
          </cell>
          <cell r="C140" t="e">
            <v>#REF!</v>
          </cell>
          <cell r="D140" t="e">
            <v>#VALUE!</v>
          </cell>
          <cell r="E140" t="e">
            <v>#VALUE!</v>
          </cell>
          <cell r="F140" t="e">
            <v>#VALUE!</v>
          </cell>
          <cell r="G140" t="e">
            <v>#VALUE!</v>
          </cell>
          <cell r="H140" t="e">
            <v>#VALUE!</v>
          </cell>
          <cell r="I140" t="e">
            <v>#VALUE!</v>
          </cell>
          <cell r="J140" t="e">
            <v>#VALUE!</v>
          </cell>
          <cell r="K140" t="e">
            <v>#VALUE!</v>
          </cell>
          <cell r="L140" t="e">
            <v>#VALUE!</v>
          </cell>
        </row>
        <row r="141">
          <cell r="B141" t="e">
            <v>#REF!</v>
          </cell>
          <cell r="C141" t="e">
            <v>#REF!</v>
          </cell>
          <cell r="D141" t="e">
            <v>#VALUE!</v>
          </cell>
          <cell r="E141" t="e">
            <v>#VALUE!</v>
          </cell>
          <cell r="F141" t="e">
            <v>#VALUE!</v>
          </cell>
          <cell r="G141" t="e">
            <v>#VALUE!</v>
          </cell>
          <cell r="H141" t="e">
            <v>#VALUE!</v>
          </cell>
          <cell r="I141" t="e">
            <v>#VALUE!</v>
          </cell>
          <cell r="J141" t="e">
            <v>#VALUE!</v>
          </cell>
          <cell r="K141" t="e">
            <v>#VALUE!</v>
          </cell>
          <cell r="L141" t="e">
            <v>#VALUE!</v>
          </cell>
        </row>
        <row r="142">
          <cell r="B142" t="e">
            <v>#REF!</v>
          </cell>
          <cell r="C142" t="e">
            <v>#REF!</v>
          </cell>
          <cell r="D142" t="e">
            <v>#VALUE!</v>
          </cell>
          <cell r="E142" t="e">
            <v>#VALUE!</v>
          </cell>
          <cell r="F142" t="e">
            <v>#VALUE!</v>
          </cell>
          <cell r="G142" t="e">
            <v>#VALUE!</v>
          </cell>
          <cell r="H142" t="e">
            <v>#VALUE!</v>
          </cell>
          <cell r="I142" t="e">
            <v>#VALUE!</v>
          </cell>
          <cell r="J142" t="e">
            <v>#VALUE!</v>
          </cell>
          <cell r="K142" t="e">
            <v>#VALUE!</v>
          </cell>
          <cell r="L142" t="e">
            <v>#VALUE!</v>
          </cell>
        </row>
        <row r="143">
          <cell r="B143" t="e">
            <v>#REF!</v>
          </cell>
          <cell r="C143" t="e">
            <v>#REF!</v>
          </cell>
          <cell r="D143" t="e">
            <v>#VALUE!</v>
          </cell>
          <cell r="E143" t="e">
            <v>#VALUE!</v>
          </cell>
          <cell r="F143" t="e">
            <v>#VALUE!</v>
          </cell>
          <cell r="G143" t="e">
            <v>#VALUE!</v>
          </cell>
          <cell r="H143" t="e">
            <v>#VALUE!</v>
          </cell>
          <cell r="I143" t="e">
            <v>#VALUE!</v>
          </cell>
          <cell r="J143" t="e">
            <v>#VALUE!</v>
          </cell>
          <cell r="K143" t="e">
            <v>#VALUE!</v>
          </cell>
          <cell r="L143" t="e">
            <v>#VALUE!</v>
          </cell>
        </row>
        <row r="144">
          <cell r="B144" t="e">
            <v>#REF!</v>
          </cell>
          <cell r="C144" t="e">
            <v>#REF!</v>
          </cell>
          <cell r="D144" t="e">
            <v>#VALUE!</v>
          </cell>
          <cell r="E144" t="e">
            <v>#VALUE!</v>
          </cell>
          <cell r="F144" t="e">
            <v>#VALUE!</v>
          </cell>
          <cell r="G144" t="e">
            <v>#VALUE!</v>
          </cell>
          <cell r="H144" t="e">
            <v>#VALUE!</v>
          </cell>
          <cell r="I144" t="e">
            <v>#VALUE!</v>
          </cell>
          <cell r="J144" t="e">
            <v>#VALUE!</v>
          </cell>
          <cell r="K144" t="e">
            <v>#VALUE!</v>
          </cell>
          <cell r="L144" t="e">
            <v>#VALUE!</v>
          </cell>
        </row>
        <row r="145">
          <cell r="B145" t="e">
            <v>#REF!</v>
          </cell>
          <cell r="C145" t="e">
            <v>#REF!</v>
          </cell>
          <cell r="D145" t="e">
            <v>#VALUE!</v>
          </cell>
          <cell r="E145" t="e">
            <v>#VALUE!</v>
          </cell>
          <cell r="F145" t="e">
            <v>#VALUE!</v>
          </cell>
          <cell r="G145" t="e">
            <v>#VALUE!</v>
          </cell>
          <cell r="H145" t="e">
            <v>#VALUE!</v>
          </cell>
          <cell r="I145" t="e">
            <v>#VALUE!</v>
          </cell>
          <cell r="J145" t="e">
            <v>#VALUE!</v>
          </cell>
          <cell r="K145" t="e">
            <v>#VALUE!</v>
          </cell>
          <cell r="L145" t="e">
            <v>#VALUE!</v>
          </cell>
        </row>
        <row r="146">
          <cell r="B146" t="e">
            <v>#REF!</v>
          </cell>
          <cell r="C146" t="e">
            <v>#REF!</v>
          </cell>
          <cell r="D146" t="e">
            <v>#VALUE!</v>
          </cell>
          <cell r="E146" t="e">
            <v>#VALUE!</v>
          </cell>
          <cell r="F146" t="e">
            <v>#VALUE!</v>
          </cell>
          <cell r="G146" t="e">
            <v>#VALUE!</v>
          </cell>
          <cell r="H146" t="e">
            <v>#VALUE!</v>
          </cell>
          <cell r="I146" t="e">
            <v>#VALUE!</v>
          </cell>
          <cell r="J146" t="e">
            <v>#VALUE!</v>
          </cell>
          <cell r="K146" t="e">
            <v>#VALUE!</v>
          </cell>
          <cell r="L146" t="e">
            <v>#VALUE!</v>
          </cell>
        </row>
        <row r="147">
          <cell r="B147" t="e">
            <v>#REF!</v>
          </cell>
          <cell r="C147" t="e">
            <v>#REF!</v>
          </cell>
          <cell r="D147" t="e">
            <v>#VALUE!</v>
          </cell>
          <cell r="E147" t="e">
            <v>#VALUE!</v>
          </cell>
          <cell r="F147" t="e">
            <v>#VALUE!</v>
          </cell>
          <cell r="G147" t="e">
            <v>#VALUE!</v>
          </cell>
          <cell r="H147" t="e">
            <v>#VALUE!</v>
          </cell>
          <cell r="I147" t="e">
            <v>#VALUE!</v>
          </cell>
          <cell r="J147" t="e">
            <v>#VALUE!</v>
          </cell>
          <cell r="K147" t="e">
            <v>#VALUE!</v>
          </cell>
          <cell r="L147" t="e">
            <v>#VALUE!</v>
          </cell>
        </row>
        <row r="148">
          <cell r="B148" t="e">
            <v>#REF!</v>
          </cell>
          <cell r="C148" t="e">
            <v>#REF!</v>
          </cell>
          <cell r="D148" t="e">
            <v>#VALUE!</v>
          </cell>
          <cell r="E148" t="e">
            <v>#VALUE!</v>
          </cell>
          <cell r="F148" t="e">
            <v>#VALUE!</v>
          </cell>
          <cell r="G148" t="e">
            <v>#VALUE!</v>
          </cell>
          <cell r="H148" t="e">
            <v>#VALUE!</v>
          </cell>
          <cell r="I148" t="e">
            <v>#VALUE!</v>
          </cell>
          <cell r="J148" t="e">
            <v>#VALUE!</v>
          </cell>
          <cell r="K148" t="e">
            <v>#VALUE!</v>
          </cell>
          <cell r="L148" t="e">
            <v>#VALUE!</v>
          </cell>
        </row>
        <row r="149">
          <cell r="B149" t="e">
            <v>#REF!</v>
          </cell>
          <cell r="C149" t="e">
            <v>#REF!</v>
          </cell>
          <cell r="D149" t="e">
            <v>#VALUE!</v>
          </cell>
          <cell r="E149" t="e">
            <v>#VALUE!</v>
          </cell>
          <cell r="F149" t="e">
            <v>#VALUE!</v>
          </cell>
          <cell r="G149" t="e">
            <v>#VALUE!</v>
          </cell>
          <cell r="H149" t="e">
            <v>#VALUE!</v>
          </cell>
          <cell r="I149" t="e">
            <v>#VALUE!</v>
          </cell>
          <cell r="J149" t="e">
            <v>#VALUE!</v>
          </cell>
          <cell r="K149" t="e">
            <v>#VALUE!</v>
          </cell>
          <cell r="L149" t="e">
            <v>#VALUE!</v>
          </cell>
        </row>
        <row r="150">
          <cell r="B150" t="e">
            <v>#REF!</v>
          </cell>
          <cell r="C150" t="e">
            <v>#REF!</v>
          </cell>
          <cell r="D150" t="e">
            <v>#VALUE!</v>
          </cell>
          <cell r="E150" t="e">
            <v>#VALUE!</v>
          </cell>
          <cell r="F150" t="e">
            <v>#VALUE!</v>
          </cell>
          <cell r="G150" t="e">
            <v>#VALUE!</v>
          </cell>
          <cell r="H150" t="e">
            <v>#VALUE!</v>
          </cell>
          <cell r="I150" t="e">
            <v>#VALUE!</v>
          </cell>
          <cell r="J150" t="e">
            <v>#VALUE!</v>
          </cell>
          <cell r="K150" t="e">
            <v>#VALUE!</v>
          </cell>
          <cell r="L150" t="e">
            <v>#VALUE!</v>
          </cell>
        </row>
        <row r="151">
          <cell r="B151" t="e">
            <v>#REF!</v>
          </cell>
          <cell r="C151" t="e">
            <v>#REF!</v>
          </cell>
          <cell r="D151" t="e">
            <v>#VALUE!</v>
          </cell>
          <cell r="E151" t="e">
            <v>#VALUE!</v>
          </cell>
          <cell r="F151" t="e">
            <v>#VALUE!</v>
          </cell>
          <cell r="G151" t="e">
            <v>#VALUE!</v>
          </cell>
          <cell r="H151" t="e">
            <v>#VALUE!</v>
          </cell>
          <cell r="I151" t="e">
            <v>#VALUE!</v>
          </cell>
          <cell r="J151" t="e">
            <v>#VALUE!</v>
          </cell>
          <cell r="K151" t="e">
            <v>#VALUE!</v>
          </cell>
          <cell r="L151" t="e">
            <v>#VALUE!</v>
          </cell>
        </row>
        <row r="152">
          <cell r="B152" t="e">
            <v>#REF!</v>
          </cell>
          <cell r="C152" t="e">
            <v>#REF!</v>
          </cell>
          <cell r="D152" t="e">
            <v>#VALUE!</v>
          </cell>
          <cell r="E152" t="e">
            <v>#VALUE!</v>
          </cell>
          <cell r="F152" t="e">
            <v>#VALUE!</v>
          </cell>
          <cell r="G152" t="e">
            <v>#VALUE!</v>
          </cell>
          <cell r="H152" t="e">
            <v>#VALUE!</v>
          </cell>
          <cell r="I152" t="e">
            <v>#VALUE!</v>
          </cell>
          <cell r="J152" t="e">
            <v>#VALUE!</v>
          </cell>
          <cell r="K152" t="e">
            <v>#VALUE!</v>
          </cell>
          <cell r="L152" t="e">
            <v>#VALUE!</v>
          </cell>
        </row>
      </sheetData>
      <sheetData sheetId="11" refreshError="1">
        <row r="2">
          <cell r="P2" t="e">
            <v>#N/A</v>
          </cell>
          <cell r="Q2" t="e">
            <v>#N/A</v>
          </cell>
          <cell r="R2" t="e">
            <v>#N/A</v>
          </cell>
          <cell r="S2" t="e">
            <v>#VALUE!</v>
          </cell>
          <cell r="T2" t="e">
            <v>#VALUE!</v>
          </cell>
          <cell r="U2" t="e">
            <v>#VALUE!</v>
          </cell>
          <cell r="V2" t="e">
            <v>#VALUE!</v>
          </cell>
          <cell r="W2" t="e">
            <v>#VALUE!</v>
          </cell>
          <cell r="X2" t="e">
            <v>#VALUE!</v>
          </cell>
        </row>
        <row r="3">
          <cell r="C3">
            <v>500</v>
          </cell>
        </row>
        <row r="4">
          <cell r="P4">
            <v>0</v>
          </cell>
          <cell r="Q4">
            <v>0</v>
          </cell>
          <cell r="R4">
            <v>0</v>
          </cell>
          <cell r="S4" t="e">
            <v>#VALUE!</v>
          </cell>
          <cell r="T4" t="e">
            <v>#VALUE!</v>
          </cell>
          <cell r="U4" t="e">
            <v>#VALUE!</v>
          </cell>
          <cell r="V4" t="e">
            <v>#VALUE!</v>
          </cell>
          <cell r="W4" t="e">
            <v>#VALUE!</v>
          </cell>
          <cell r="X4" t="e">
            <v>#VALUE!</v>
          </cell>
        </row>
        <row r="5">
          <cell r="A5" t="e">
            <v>#REF!</v>
          </cell>
          <cell r="B5">
            <v>1</v>
          </cell>
          <cell r="C5" t="e">
            <v>#REF!</v>
          </cell>
          <cell r="D5" t="e">
            <v>#VALUE!</v>
          </cell>
          <cell r="E5" t="e">
            <v>#VALUE!</v>
          </cell>
          <cell r="F5" t="e">
            <v>#VALUE!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</row>
        <row r="6">
          <cell r="A6" t="e">
            <v>#REF!</v>
          </cell>
          <cell r="B6">
            <v>2</v>
          </cell>
          <cell r="C6" t="e">
            <v>#REF!</v>
          </cell>
          <cell r="D6" t="e">
            <v>#VALUE!</v>
          </cell>
          <cell r="E6" t="e">
            <v>#VALUE!</v>
          </cell>
          <cell r="F6" t="e">
            <v>#VALUE!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</row>
        <row r="7">
          <cell r="A7" t="e">
            <v>#REF!</v>
          </cell>
          <cell r="B7">
            <v>3</v>
          </cell>
          <cell r="C7" t="e">
            <v>#REF!</v>
          </cell>
          <cell r="D7" t="e">
            <v>#VALUE!</v>
          </cell>
          <cell r="E7" t="e">
            <v>#VALUE!</v>
          </cell>
          <cell r="F7" t="e">
            <v>#VALUE!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</row>
        <row r="8">
          <cell r="A8" t="e">
            <v>#REF!</v>
          </cell>
          <cell r="B8">
            <v>4</v>
          </cell>
          <cell r="C8" t="e">
            <v>#REF!</v>
          </cell>
          <cell r="D8" t="e">
            <v>#VALUE!</v>
          </cell>
          <cell r="E8" t="e">
            <v>#VALUE!</v>
          </cell>
          <cell r="F8" t="e">
            <v>#VALUE!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</row>
        <row r="9">
          <cell r="A9" t="e">
            <v>#REF!</v>
          </cell>
          <cell r="B9">
            <v>5</v>
          </cell>
          <cell r="C9" t="e">
            <v>#REF!</v>
          </cell>
          <cell r="D9" t="e">
            <v>#VALUE!</v>
          </cell>
          <cell r="E9" t="e">
            <v>#VALUE!</v>
          </cell>
          <cell r="F9" t="e">
            <v>#VALUE!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</row>
        <row r="10">
          <cell r="A10" t="e">
            <v>#REF!</v>
          </cell>
          <cell r="B10">
            <v>6</v>
          </cell>
          <cell r="C10" t="e">
            <v>#REF!</v>
          </cell>
          <cell r="D10" t="e">
            <v>#VALUE!</v>
          </cell>
          <cell r="E10" t="e">
            <v>#VALUE!</v>
          </cell>
          <cell r="F10" t="e">
            <v>#VALUE!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</row>
        <row r="11">
          <cell r="A11" t="e">
            <v>#REF!</v>
          </cell>
          <cell r="B11">
            <v>7</v>
          </cell>
          <cell r="C11" t="e">
            <v>#REF!</v>
          </cell>
          <cell r="D11" t="e">
            <v>#VALUE!</v>
          </cell>
          <cell r="E11" t="e">
            <v>#VALUE!</v>
          </cell>
          <cell r="F11" t="e">
            <v>#VALUE!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e">
            <v>#REF!</v>
          </cell>
          <cell r="B12">
            <v>8</v>
          </cell>
          <cell r="C12" t="e">
            <v>#REF!</v>
          </cell>
          <cell r="D12" t="e">
            <v>#VALUE!</v>
          </cell>
          <cell r="E12" t="e">
            <v>#VALUE!</v>
          </cell>
          <cell r="F12" t="e">
            <v>#VALUE!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</row>
        <row r="13">
          <cell r="A13" t="e">
            <v>#REF!</v>
          </cell>
          <cell r="B13">
            <v>9</v>
          </cell>
          <cell r="C13" t="e">
            <v>#REF!</v>
          </cell>
          <cell r="D13" t="e">
            <v>#VALUE!</v>
          </cell>
          <cell r="E13" t="e">
            <v>#VALUE!</v>
          </cell>
          <cell r="F13" t="e">
            <v>#VALUE!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</row>
        <row r="14">
          <cell r="A14" t="e">
            <v>#REF!</v>
          </cell>
          <cell r="B14">
            <v>10</v>
          </cell>
          <cell r="C14" t="e">
            <v>#REF!</v>
          </cell>
          <cell r="D14" t="e">
            <v>#VALUE!</v>
          </cell>
          <cell r="E14" t="e">
            <v>#VALUE!</v>
          </cell>
          <cell r="F14" t="e">
            <v>#VALUE!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</row>
        <row r="15">
          <cell r="A15" t="e">
            <v>#REF!</v>
          </cell>
          <cell r="B15">
            <v>11</v>
          </cell>
          <cell r="C15" t="e">
            <v>#REF!</v>
          </cell>
          <cell r="D15" t="e">
            <v>#VALUE!</v>
          </cell>
          <cell r="E15" t="e">
            <v>#VALUE!</v>
          </cell>
          <cell r="F15" t="e">
            <v>#VALUE!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</row>
        <row r="16">
          <cell r="A16" t="e">
            <v>#REF!</v>
          </cell>
          <cell r="B16">
            <v>12</v>
          </cell>
          <cell r="C16" t="e">
            <v>#REF!</v>
          </cell>
          <cell r="D16" t="e">
            <v>#VALUE!</v>
          </cell>
          <cell r="E16" t="e">
            <v>#VALUE!</v>
          </cell>
          <cell r="F16" t="e">
            <v>#VALUE!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</row>
        <row r="17">
          <cell r="A17" t="e">
            <v>#REF!</v>
          </cell>
          <cell r="B17">
            <v>13</v>
          </cell>
          <cell r="C17" t="e">
            <v>#REF!</v>
          </cell>
          <cell r="D17" t="e">
            <v>#VALUE!</v>
          </cell>
          <cell r="E17" t="e">
            <v>#VALUE!</v>
          </cell>
          <cell r="F17" t="e">
            <v>#VALUE!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</row>
        <row r="18">
          <cell r="A18" t="e">
            <v>#REF!</v>
          </cell>
          <cell r="B18">
            <v>14</v>
          </cell>
          <cell r="C18" t="e">
            <v>#REF!</v>
          </cell>
          <cell r="D18" t="e">
            <v>#VALUE!</v>
          </cell>
          <cell r="E18" t="e">
            <v>#VALUE!</v>
          </cell>
          <cell r="F18" t="e">
            <v>#VALUE!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</row>
        <row r="19">
          <cell r="A19" t="e">
            <v>#REF!</v>
          </cell>
          <cell r="B19">
            <v>15</v>
          </cell>
          <cell r="C19" t="e">
            <v>#REF!</v>
          </cell>
          <cell r="D19" t="e">
            <v>#VALUE!</v>
          </cell>
          <cell r="E19" t="e">
            <v>#VALUE!</v>
          </cell>
          <cell r="F19" t="e">
            <v>#VALUE!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</row>
        <row r="20">
          <cell r="A20" t="e">
            <v>#REF!</v>
          </cell>
          <cell r="B20">
            <v>16</v>
          </cell>
          <cell r="C20" t="e">
            <v>#REF!</v>
          </cell>
          <cell r="D20" t="e">
            <v>#VALUE!</v>
          </cell>
          <cell r="E20" t="e">
            <v>#VALUE!</v>
          </cell>
          <cell r="F20" t="e">
            <v>#VALUE!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</row>
        <row r="21">
          <cell r="A21" t="e">
            <v>#REF!</v>
          </cell>
          <cell r="B21">
            <v>17</v>
          </cell>
          <cell r="C21" t="e">
            <v>#REF!</v>
          </cell>
          <cell r="D21" t="e">
            <v>#VALUE!</v>
          </cell>
          <cell r="E21" t="e">
            <v>#VALUE!</v>
          </cell>
          <cell r="F21" t="e">
            <v>#VALUE!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</row>
        <row r="22">
          <cell r="A22" t="e">
            <v>#REF!</v>
          </cell>
          <cell r="B22">
            <v>18</v>
          </cell>
          <cell r="C22" t="e">
            <v>#REF!</v>
          </cell>
          <cell r="D22" t="e">
            <v>#VALUE!</v>
          </cell>
          <cell r="E22" t="e">
            <v>#VALUE!</v>
          </cell>
          <cell r="F22" t="e">
            <v>#VALUE!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</row>
        <row r="23">
          <cell r="A23" t="e">
            <v>#REF!</v>
          </cell>
          <cell r="B23">
            <v>19</v>
          </cell>
          <cell r="C23" t="e">
            <v>#REF!</v>
          </cell>
          <cell r="D23" t="e">
            <v>#VALUE!</v>
          </cell>
          <cell r="E23" t="e">
            <v>#VALUE!</v>
          </cell>
          <cell r="F23" t="e">
            <v>#VALUE!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</row>
        <row r="24">
          <cell r="A24" t="e">
            <v>#REF!</v>
          </cell>
          <cell r="B24">
            <v>20</v>
          </cell>
          <cell r="C24" t="e">
            <v>#REF!</v>
          </cell>
          <cell r="D24" t="e">
            <v>#VALUE!</v>
          </cell>
          <cell r="E24" t="e">
            <v>#VALUE!</v>
          </cell>
          <cell r="F24" t="e">
            <v>#VALUE!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</row>
        <row r="25">
          <cell r="A25" t="e">
            <v>#REF!</v>
          </cell>
          <cell r="B25">
            <v>21</v>
          </cell>
          <cell r="C25" t="e">
            <v>#REF!</v>
          </cell>
          <cell r="D25" t="e">
            <v>#VALUE!</v>
          </cell>
          <cell r="E25" t="e">
            <v>#VALUE!</v>
          </cell>
          <cell r="F25" t="e">
            <v>#VALUE!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</row>
        <row r="26">
          <cell r="A26" t="e">
            <v>#REF!</v>
          </cell>
          <cell r="B26">
            <v>22</v>
          </cell>
          <cell r="C26" t="e">
            <v>#REF!</v>
          </cell>
          <cell r="D26" t="e">
            <v>#VALUE!</v>
          </cell>
          <cell r="E26" t="e">
            <v>#VALUE!</v>
          </cell>
          <cell r="F26" t="e">
            <v>#VALUE!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</row>
        <row r="27">
          <cell r="A27" t="e">
            <v>#REF!</v>
          </cell>
          <cell r="B27">
            <v>23</v>
          </cell>
          <cell r="C27" t="e">
            <v>#REF!</v>
          </cell>
          <cell r="D27" t="e">
            <v>#VALUE!</v>
          </cell>
          <cell r="E27" t="e">
            <v>#VALUE!</v>
          </cell>
          <cell r="F27" t="e">
            <v>#VALUE!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</row>
        <row r="28">
          <cell r="A28" t="e">
            <v>#REF!</v>
          </cell>
          <cell r="B28">
            <v>24</v>
          </cell>
          <cell r="C28" t="e">
            <v>#REF!</v>
          </cell>
          <cell r="D28" t="e">
            <v>#VALUE!</v>
          </cell>
          <cell r="E28" t="e">
            <v>#VALUE!</v>
          </cell>
          <cell r="F28" t="e">
            <v>#VALUE!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</row>
        <row r="29">
          <cell r="A29" t="e">
            <v>#REF!</v>
          </cell>
          <cell r="B29">
            <v>25</v>
          </cell>
          <cell r="C29" t="e">
            <v>#REF!</v>
          </cell>
          <cell r="D29" t="e">
            <v>#VALUE!</v>
          </cell>
          <cell r="E29" t="e">
            <v>#VALUE!</v>
          </cell>
          <cell r="F29" t="e">
            <v>#VALUE!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</row>
        <row r="30">
          <cell r="A30" t="e">
            <v>#REF!</v>
          </cell>
          <cell r="B30">
            <v>26</v>
          </cell>
          <cell r="C30" t="e">
            <v>#REF!</v>
          </cell>
          <cell r="D30" t="e">
            <v>#VALUE!</v>
          </cell>
          <cell r="E30" t="e">
            <v>#VALUE!</v>
          </cell>
          <cell r="F30" t="e">
            <v>#VALUE!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</row>
        <row r="31">
          <cell r="A31" t="e">
            <v>#REF!</v>
          </cell>
          <cell r="B31">
            <v>27</v>
          </cell>
          <cell r="C31" t="e">
            <v>#REF!</v>
          </cell>
          <cell r="D31" t="e">
            <v>#VALUE!</v>
          </cell>
          <cell r="E31" t="e">
            <v>#VALUE!</v>
          </cell>
          <cell r="F31" t="e">
            <v>#VALUE!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</row>
        <row r="32">
          <cell r="A32" t="e">
            <v>#REF!</v>
          </cell>
          <cell r="B32">
            <v>28</v>
          </cell>
          <cell r="C32" t="e">
            <v>#REF!</v>
          </cell>
          <cell r="D32" t="e">
            <v>#VALUE!</v>
          </cell>
          <cell r="E32" t="e">
            <v>#VALUE!</v>
          </cell>
          <cell r="F32" t="e">
            <v>#VALUE!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</row>
        <row r="33">
          <cell r="A33" t="e">
            <v>#REF!</v>
          </cell>
          <cell r="B33">
            <v>29</v>
          </cell>
          <cell r="C33" t="e">
            <v>#REF!</v>
          </cell>
          <cell r="D33" t="e">
            <v>#VALUE!</v>
          </cell>
          <cell r="E33" t="e">
            <v>#VALUE!</v>
          </cell>
          <cell r="F33" t="e">
            <v>#VALUE!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</row>
        <row r="34">
          <cell r="A34" t="e">
            <v>#REF!</v>
          </cell>
          <cell r="B34">
            <v>30</v>
          </cell>
          <cell r="C34" t="e">
            <v>#REF!</v>
          </cell>
          <cell r="D34" t="e">
            <v>#VALUE!</v>
          </cell>
          <cell r="E34" t="e">
            <v>#VALUE!</v>
          </cell>
          <cell r="F34" t="e">
            <v>#VALUE!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</row>
        <row r="35">
          <cell r="A35" t="e">
            <v>#REF!</v>
          </cell>
          <cell r="B35">
            <v>31</v>
          </cell>
          <cell r="C35" t="e">
            <v>#REF!</v>
          </cell>
          <cell r="D35" t="e">
            <v>#VALUE!</v>
          </cell>
          <cell r="E35" t="e">
            <v>#VALUE!</v>
          </cell>
          <cell r="F35" t="e">
            <v>#VALUE!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</row>
        <row r="36">
          <cell r="A36" t="e">
            <v>#REF!</v>
          </cell>
          <cell r="B36">
            <v>32</v>
          </cell>
          <cell r="C36" t="e">
            <v>#REF!</v>
          </cell>
          <cell r="D36" t="e">
            <v>#VALUE!</v>
          </cell>
          <cell r="E36" t="e">
            <v>#VALUE!</v>
          </cell>
          <cell r="F36" t="e">
            <v>#VALUE!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</row>
        <row r="37">
          <cell r="A37" t="e">
            <v>#REF!</v>
          </cell>
          <cell r="B37">
            <v>33</v>
          </cell>
          <cell r="C37" t="e">
            <v>#REF!</v>
          </cell>
          <cell r="D37" t="e">
            <v>#VALUE!</v>
          </cell>
          <cell r="E37" t="e">
            <v>#VALUE!</v>
          </cell>
          <cell r="F37" t="e">
            <v>#VALUE!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</row>
        <row r="38">
          <cell r="A38" t="e">
            <v>#REF!</v>
          </cell>
          <cell r="B38">
            <v>34</v>
          </cell>
          <cell r="C38" t="e">
            <v>#REF!</v>
          </cell>
          <cell r="D38" t="e">
            <v>#VALUE!</v>
          </cell>
          <cell r="E38" t="e">
            <v>#VALUE!</v>
          </cell>
          <cell r="F38" t="e">
            <v>#VALUE!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</row>
        <row r="39">
          <cell r="A39" t="e">
            <v>#REF!</v>
          </cell>
          <cell r="B39">
            <v>35</v>
          </cell>
          <cell r="C39" t="e">
            <v>#REF!</v>
          </cell>
          <cell r="D39" t="e">
            <v>#VALUE!</v>
          </cell>
          <cell r="E39" t="e">
            <v>#VALUE!</v>
          </cell>
          <cell r="F39" t="e">
            <v>#VALUE!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</row>
        <row r="40">
          <cell r="A40" t="e">
            <v>#REF!</v>
          </cell>
          <cell r="B40">
            <v>36</v>
          </cell>
          <cell r="C40" t="e">
            <v>#REF!</v>
          </cell>
          <cell r="D40" t="e">
            <v>#VALUE!</v>
          </cell>
          <cell r="E40" t="e">
            <v>#VALUE!</v>
          </cell>
          <cell r="F40" t="e">
            <v>#VALUE!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</row>
        <row r="41">
          <cell r="A41" t="e">
            <v>#REF!</v>
          </cell>
          <cell r="B41">
            <v>37</v>
          </cell>
          <cell r="C41" t="e">
            <v>#REF!</v>
          </cell>
          <cell r="D41" t="e">
            <v>#VALUE!</v>
          </cell>
          <cell r="E41" t="e">
            <v>#VALUE!</v>
          </cell>
          <cell r="F41" t="e">
            <v>#VALUE!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</row>
        <row r="42">
          <cell r="A42" t="e">
            <v>#REF!</v>
          </cell>
          <cell r="B42">
            <v>38</v>
          </cell>
          <cell r="C42" t="e">
            <v>#REF!</v>
          </cell>
          <cell r="D42" t="e">
            <v>#VALUE!</v>
          </cell>
          <cell r="E42" t="e">
            <v>#VALUE!</v>
          </cell>
          <cell r="F42" t="e">
            <v>#VALUE!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</row>
        <row r="43">
          <cell r="A43" t="e">
            <v>#REF!</v>
          </cell>
          <cell r="B43">
            <v>39</v>
          </cell>
          <cell r="C43" t="e">
            <v>#REF!</v>
          </cell>
          <cell r="D43" t="e">
            <v>#VALUE!</v>
          </cell>
          <cell r="E43" t="e">
            <v>#VALUE!</v>
          </cell>
          <cell r="F43" t="e">
            <v>#VALUE!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</row>
        <row r="44">
          <cell r="A44" t="e">
            <v>#REF!</v>
          </cell>
          <cell r="B44">
            <v>40</v>
          </cell>
          <cell r="C44" t="e">
            <v>#REF!</v>
          </cell>
          <cell r="D44" t="e">
            <v>#VALUE!</v>
          </cell>
          <cell r="E44" t="e">
            <v>#VALUE!</v>
          </cell>
          <cell r="F44" t="e">
            <v>#VALUE!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</row>
        <row r="45">
          <cell r="A45" t="e">
            <v>#REF!</v>
          </cell>
          <cell r="B45">
            <v>41</v>
          </cell>
          <cell r="C45" t="e">
            <v>#REF!</v>
          </cell>
          <cell r="D45" t="e">
            <v>#VALUE!</v>
          </cell>
          <cell r="E45" t="e">
            <v>#VALUE!</v>
          </cell>
          <cell r="F45" t="e">
            <v>#VALUE!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</row>
        <row r="46">
          <cell r="A46" t="e">
            <v>#REF!</v>
          </cell>
          <cell r="B46">
            <v>42</v>
          </cell>
          <cell r="C46" t="e">
            <v>#REF!</v>
          </cell>
          <cell r="D46" t="e">
            <v>#VALUE!</v>
          </cell>
          <cell r="E46" t="e">
            <v>#VALUE!</v>
          </cell>
          <cell r="F46" t="e">
            <v>#VALUE!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</row>
        <row r="47">
          <cell r="A47" t="e">
            <v>#REF!</v>
          </cell>
          <cell r="B47">
            <v>43</v>
          </cell>
          <cell r="C47" t="e">
            <v>#REF!</v>
          </cell>
          <cell r="D47" t="e">
            <v>#VALUE!</v>
          </cell>
          <cell r="E47" t="e">
            <v>#VALUE!</v>
          </cell>
          <cell r="F47" t="e">
            <v>#VALUE!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</row>
        <row r="48">
          <cell r="A48" t="e">
            <v>#REF!</v>
          </cell>
          <cell r="B48">
            <v>44</v>
          </cell>
          <cell r="C48" t="e">
            <v>#REF!</v>
          </cell>
          <cell r="D48" t="e">
            <v>#VALUE!</v>
          </cell>
          <cell r="E48" t="e">
            <v>#VALUE!</v>
          </cell>
          <cell r="F48" t="e">
            <v>#VALUE!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</row>
        <row r="49">
          <cell r="A49" t="e">
            <v>#REF!</v>
          </cell>
          <cell r="B49">
            <v>45</v>
          </cell>
          <cell r="C49" t="e">
            <v>#REF!</v>
          </cell>
          <cell r="D49" t="e">
            <v>#VALUE!</v>
          </cell>
          <cell r="E49" t="e">
            <v>#VALUE!</v>
          </cell>
          <cell r="F49" t="e">
            <v>#VALUE!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</row>
        <row r="50">
          <cell r="A50" t="e">
            <v>#REF!</v>
          </cell>
          <cell r="B50">
            <v>46</v>
          </cell>
          <cell r="C50" t="e">
            <v>#REF!</v>
          </cell>
          <cell r="D50" t="e">
            <v>#VALUE!</v>
          </cell>
          <cell r="E50" t="e">
            <v>#VALUE!</v>
          </cell>
          <cell r="F50" t="e">
            <v>#VALUE!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</row>
        <row r="51">
          <cell r="A51" t="e">
            <v>#REF!</v>
          </cell>
          <cell r="B51">
            <v>47</v>
          </cell>
          <cell r="C51" t="e">
            <v>#REF!</v>
          </cell>
          <cell r="D51" t="e">
            <v>#VALUE!</v>
          </cell>
          <cell r="E51" t="e">
            <v>#VALUE!</v>
          </cell>
          <cell r="F51" t="e">
            <v>#VALUE!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</row>
        <row r="52">
          <cell r="A52" t="e">
            <v>#REF!</v>
          </cell>
          <cell r="B52">
            <v>48</v>
          </cell>
          <cell r="C52" t="e">
            <v>#REF!</v>
          </cell>
          <cell r="D52" t="e">
            <v>#VALUE!</v>
          </cell>
          <cell r="E52" t="e">
            <v>#VALUE!</v>
          </cell>
          <cell r="F52" t="e">
            <v>#VALUE!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</row>
        <row r="53">
          <cell r="A53" t="e">
            <v>#REF!</v>
          </cell>
          <cell r="B53">
            <v>49</v>
          </cell>
          <cell r="C53" t="e">
            <v>#REF!</v>
          </cell>
          <cell r="D53" t="e">
            <v>#VALUE!</v>
          </cell>
          <cell r="E53" t="e">
            <v>#VALUE!</v>
          </cell>
          <cell r="F53" t="e">
            <v>#VALUE!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</row>
        <row r="54">
          <cell r="A54" t="e">
            <v>#REF!</v>
          </cell>
          <cell r="B54">
            <v>50</v>
          </cell>
          <cell r="C54" t="e">
            <v>#REF!</v>
          </cell>
          <cell r="D54" t="e">
            <v>#VALUE!</v>
          </cell>
          <cell r="E54" t="e">
            <v>#VALUE!</v>
          </cell>
          <cell r="F54" t="e">
            <v>#VALUE!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</row>
        <row r="55">
          <cell r="A55" t="e">
            <v>#REF!</v>
          </cell>
          <cell r="B55">
            <v>51</v>
          </cell>
          <cell r="C55" t="e">
            <v>#REF!</v>
          </cell>
          <cell r="D55" t="e">
            <v>#VALUE!</v>
          </cell>
          <cell r="E55" t="e">
            <v>#VALUE!</v>
          </cell>
          <cell r="F55" t="e">
            <v>#VALUE!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</row>
        <row r="56">
          <cell r="A56" t="e">
            <v>#REF!</v>
          </cell>
          <cell r="B56">
            <v>52</v>
          </cell>
          <cell r="C56" t="e">
            <v>#REF!</v>
          </cell>
          <cell r="D56" t="e">
            <v>#VALUE!</v>
          </cell>
          <cell r="E56" t="e">
            <v>#VALUE!</v>
          </cell>
          <cell r="F56" t="e">
            <v>#VALUE!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</row>
        <row r="57">
          <cell r="A57" t="e">
            <v>#REF!</v>
          </cell>
          <cell r="B57">
            <v>53</v>
          </cell>
          <cell r="C57" t="e">
            <v>#REF!</v>
          </cell>
          <cell r="D57" t="e">
            <v>#VALUE!</v>
          </cell>
          <cell r="E57" t="e">
            <v>#VALUE!</v>
          </cell>
          <cell r="F57" t="e">
            <v>#VALUE!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</row>
        <row r="58">
          <cell r="A58" t="e">
            <v>#REF!</v>
          </cell>
          <cell r="B58">
            <v>54</v>
          </cell>
          <cell r="C58" t="e">
            <v>#REF!</v>
          </cell>
          <cell r="D58" t="e">
            <v>#VALUE!</v>
          </cell>
          <cell r="E58" t="e">
            <v>#VALUE!</v>
          </cell>
          <cell r="F58" t="e">
            <v>#VALUE!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</row>
        <row r="59">
          <cell r="A59" t="e">
            <v>#REF!</v>
          </cell>
          <cell r="B59">
            <v>55</v>
          </cell>
          <cell r="C59" t="e">
            <v>#REF!</v>
          </cell>
          <cell r="D59" t="e">
            <v>#VALUE!</v>
          </cell>
          <cell r="E59" t="e">
            <v>#VALUE!</v>
          </cell>
          <cell r="F59" t="e">
            <v>#VALUE!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</row>
        <row r="60">
          <cell r="A60" t="e">
            <v>#REF!</v>
          </cell>
          <cell r="B60">
            <v>56</v>
          </cell>
          <cell r="C60" t="e">
            <v>#REF!</v>
          </cell>
          <cell r="D60" t="e">
            <v>#VALUE!</v>
          </cell>
          <cell r="E60" t="e">
            <v>#VALUE!</v>
          </cell>
          <cell r="F60" t="e">
            <v>#VALUE!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</row>
        <row r="61">
          <cell r="A61" t="e">
            <v>#REF!</v>
          </cell>
          <cell r="B61">
            <v>57</v>
          </cell>
          <cell r="C61" t="e">
            <v>#REF!</v>
          </cell>
          <cell r="D61" t="e">
            <v>#VALUE!</v>
          </cell>
          <cell r="E61" t="e">
            <v>#VALUE!</v>
          </cell>
          <cell r="F61" t="e">
            <v>#VALUE!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</row>
        <row r="62">
          <cell r="A62" t="e">
            <v>#REF!</v>
          </cell>
          <cell r="B62">
            <v>58</v>
          </cell>
          <cell r="C62" t="e">
            <v>#REF!</v>
          </cell>
          <cell r="D62" t="e">
            <v>#VALUE!</v>
          </cell>
          <cell r="E62" t="e">
            <v>#VALUE!</v>
          </cell>
          <cell r="F62" t="e">
            <v>#VALUE!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</row>
        <row r="63">
          <cell r="A63" t="e">
            <v>#REF!</v>
          </cell>
          <cell r="B63">
            <v>59</v>
          </cell>
          <cell r="C63" t="e">
            <v>#REF!</v>
          </cell>
          <cell r="D63" t="e">
            <v>#VALUE!</v>
          </cell>
          <cell r="E63" t="e">
            <v>#VALUE!</v>
          </cell>
          <cell r="F63" t="e">
            <v>#VALUE!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</row>
        <row r="64">
          <cell r="A64" t="e">
            <v>#REF!</v>
          </cell>
          <cell r="B64">
            <v>60</v>
          </cell>
          <cell r="C64" t="e">
            <v>#REF!</v>
          </cell>
          <cell r="D64" t="e">
            <v>#VALUE!</v>
          </cell>
          <cell r="E64" t="e">
            <v>#VALUE!</v>
          </cell>
          <cell r="F64" t="e">
            <v>#VALUE!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</row>
        <row r="65">
          <cell r="A65" t="e">
            <v>#REF!</v>
          </cell>
          <cell r="B65">
            <v>61</v>
          </cell>
          <cell r="C65" t="e">
            <v>#REF!</v>
          </cell>
          <cell r="D65" t="e">
            <v>#VALUE!</v>
          </cell>
          <cell r="E65" t="e">
            <v>#VALUE!</v>
          </cell>
          <cell r="F65" t="e">
            <v>#VALUE!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</row>
        <row r="66">
          <cell r="A66" t="e">
            <v>#REF!</v>
          </cell>
          <cell r="B66">
            <v>62</v>
          </cell>
          <cell r="C66" t="e">
            <v>#REF!</v>
          </cell>
          <cell r="D66" t="e">
            <v>#VALUE!</v>
          </cell>
          <cell r="E66" t="e">
            <v>#VALUE!</v>
          </cell>
          <cell r="F66" t="e">
            <v>#VALUE!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</row>
        <row r="67">
          <cell r="A67" t="e">
            <v>#REF!</v>
          </cell>
          <cell r="B67">
            <v>63</v>
          </cell>
          <cell r="C67" t="e">
            <v>#REF!</v>
          </cell>
          <cell r="D67" t="e">
            <v>#VALUE!</v>
          </cell>
          <cell r="E67" t="e">
            <v>#VALUE!</v>
          </cell>
          <cell r="F67" t="e">
            <v>#VALUE!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</row>
        <row r="68">
          <cell r="A68" t="e">
            <v>#REF!</v>
          </cell>
          <cell r="B68">
            <v>64</v>
          </cell>
          <cell r="C68" t="e">
            <v>#REF!</v>
          </cell>
          <cell r="D68" t="e">
            <v>#VALUE!</v>
          </cell>
          <cell r="E68" t="e">
            <v>#VALUE!</v>
          </cell>
          <cell r="F68" t="e">
            <v>#VALUE!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</row>
        <row r="69">
          <cell r="A69" t="e">
            <v>#REF!</v>
          </cell>
          <cell r="B69">
            <v>65</v>
          </cell>
          <cell r="C69" t="e">
            <v>#REF!</v>
          </cell>
          <cell r="D69" t="e">
            <v>#VALUE!</v>
          </cell>
          <cell r="E69" t="e">
            <v>#VALUE!</v>
          </cell>
          <cell r="F69" t="e">
            <v>#VALUE!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</row>
        <row r="70">
          <cell r="A70" t="e">
            <v>#REF!</v>
          </cell>
          <cell r="B70">
            <v>66</v>
          </cell>
          <cell r="C70" t="e">
            <v>#REF!</v>
          </cell>
          <cell r="D70" t="e">
            <v>#VALUE!</v>
          </cell>
          <cell r="E70" t="e">
            <v>#VALUE!</v>
          </cell>
          <cell r="F70" t="e">
            <v>#VALUE!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</row>
        <row r="71">
          <cell r="A71" t="e">
            <v>#REF!</v>
          </cell>
          <cell r="B71">
            <v>67</v>
          </cell>
          <cell r="C71" t="e">
            <v>#REF!</v>
          </cell>
          <cell r="D71" t="e">
            <v>#VALUE!</v>
          </cell>
          <cell r="E71" t="e">
            <v>#VALUE!</v>
          </cell>
          <cell r="F71" t="e">
            <v>#VALUE!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</row>
        <row r="72">
          <cell r="A72" t="e">
            <v>#REF!</v>
          </cell>
          <cell r="B72">
            <v>68</v>
          </cell>
          <cell r="C72" t="e">
            <v>#REF!</v>
          </cell>
          <cell r="D72" t="e">
            <v>#VALUE!</v>
          </cell>
          <cell r="E72" t="e">
            <v>#VALUE!</v>
          </cell>
          <cell r="F72" t="e">
            <v>#VALUE!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</row>
        <row r="73">
          <cell r="A73" t="e">
            <v>#REF!</v>
          </cell>
          <cell r="B73">
            <v>69</v>
          </cell>
          <cell r="C73" t="e">
            <v>#REF!</v>
          </cell>
          <cell r="D73" t="e">
            <v>#VALUE!</v>
          </cell>
          <cell r="E73" t="e">
            <v>#VALUE!</v>
          </cell>
          <cell r="F73" t="e">
            <v>#VALUE!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</row>
        <row r="74">
          <cell r="A74" t="e">
            <v>#REF!</v>
          </cell>
          <cell r="B74">
            <v>70</v>
          </cell>
          <cell r="C74" t="e">
            <v>#REF!</v>
          </cell>
          <cell r="D74" t="e">
            <v>#VALUE!</v>
          </cell>
          <cell r="E74" t="e">
            <v>#VALUE!</v>
          </cell>
          <cell r="F74" t="e">
            <v>#VALUE!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</row>
        <row r="75">
          <cell r="A75" t="e">
            <v>#REF!</v>
          </cell>
          <cell r="B75">
            <v>71</v>
          </cell>
          <cell r="C75" t="e">
            <v>#REF!</v>
          </cell>
          <cell r="D75" t="e">
            <v>#VALUE!</v>
          </cell>
          <cell r="E75" t="e">
            <v>#VALUE!</v>
          </cell>
          <cell r="F75" t="e">
            <v>#VALUE!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</row>
        <row r="76">
          <cell r="A76" t="e">
            <v>#REF!</v>
          </cell>
          <cell r="B76">
            <v>72</v>
          </cell>
          <cell r="C76" t="e">
            <v>#REF!</v>
          </cell>
          <cell r="D76" t="e">
            <v>#VALUE!</v>
          </cell>
          <cell r="E76" t="e">
            <v>#VALUE!</v>
          </cell>
          <cell r="F76" t="e">
            <v>#VALUE!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</row>
        <row r="77">
          <cell r="A77" t="e">
            <v>#REF!</v>
          </cell>
          <cell r="B77">
            <v>73</v>
          </cell>
          <cell r="C77" t="e">
            <v>#REF!</v>
          </cell>
          <cell r="D77" t="e">
            <v>#VALUE!</v>
          </cell>
          <cell r="E77" t="e">
            <v>#VALUE!</v>
          </cell>
          <cell r="F77" t="e">
            <v>#VALUE!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</row>
        <row r="78">
          <cell r="A78" t="e">
            <v>#REF!</v>
          </cell>
          <cell r="B78">
            <v>74</v>
          </cell>
          <cell r="C78" t="e">
            <v>#REF!</v>
          </cell>
          <cell r="D78" t="e">
            <v>#VALUE!</v>
          </cell>
          <cell r="E78" t="e">
            <v>#VALUE!</v>
          </cell>
          <cell r="F78" t="e">
            <v>#VALUE!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</row>
        <row r="79">
          <cell r="A79" t="e">
            <v>#REF!</v>
          </cell>
          <cell r="B79">
            <v>75</v>
          </cell>
          <cell r="C79" t="e">
            <v>#REF!</v>
          </cell>
          <cell r="D79" t="e">
            <v>#VALUE!</v>
          </cell>
          <cell r="E79" t="e">
            <v>#VALUE!</v>
          </cell>
          <cell r="F79" t="e">
            <v>#VALUE!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</row>
        <row r="80">
          <cell r="A80" t="e">
            <v>#REF!</v>
          </cell>
          <cell r="B80">
            <v>76</v>
          </cell>
          <cell r="C80" t="e">
            <v>#REF!</v>
          </cell>
          <cell r="D80" t="e">
            <v>#VALUE!</v>
          </cell>
          <cell r="E80" t="e">
            <v>#VALUE!</v>
          </cell>
          <cell r="F80" t="e">
            <v>#VALUE!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</row>
        <row r="81">
          <cell r="A81" t="e">
            <v>#REF!</v>
          </cell>
          <cell r="B81">
            <v>77</v>
          </cell>
          <cell r="C81" t="e">
            <v>#REF!</v>
          </cell>
          <cell r="D81" t="e">
            <v>#VALUE!</v>
          </cell>
          <cell r="E81" t="e">
            <v>#VALUE!</v>
          </cell>
          <cell r="F81" t="e">
            <v>#VALUE!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</row>
        <row r="82">
          <cell r="A82" t="e">
            <v>#REF!</v>
          </cell>
          <cell r="B82">
            <v>78</v>
          </cell>
          <cell r="C82" t="e">
            <v>#REF!</v>
          </cell>
          <cell r="D82" t="e">
            <v>#VALUE!</v>
          </cell>
          <cell r="E82" t="e">
            <v>#VALUE!</v>
          </cell>
          <cell r="F82" t="e">
            <v>#VALUE!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</row>
        <row r="83">
          <cell r="A83" t="e">
            <v>#REF!</v>
          </cell>
          <cell r="B83">
            <v>79</v>
          </cell>
          <cell r="C83" t="e">
            <v>#REF!</v>
          </cell>
          <cell r="D83" t="e">
            <v>#VALUE!</v>
          </cell>
          <cell r="E83" t="e">
            <v>#VALUE!</v>
          </cell>
          <cell r="F83" t="e">
            <v>#VALUE!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</row>
        <row r="84">
          <cell r="A84" t="e">
            <v>#REF!</v>
          </cell>
          <cell r="B84">
            <v>80</v>
          </cell>
          <cell r="C84" t="e">
            <v>#REF!</v>
          </cell>
          <cell r="D84" t="e">
            <v>#VALUE!</v>
          </cell>
          <cell r="E84" t="e">
            <v>#VALUE!</v>
          </cell>
          <cell r="F84" t="e">
            <v>#VALUE!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</row>
        <row r="85">
          <cell r="A85" t="e">
            <v>#REF!</v>
          </cell>
          <cell r="B85">
            <v>81</v>
          </cell>
          <cell r="C85" t="e">
            <v>#REF!</v>
          </cell>
          <cell r="D85" t="e">
            <v>#VALUE!</v>
          </cell>
          <cell r="E85" t="e">
            <v>#VALUE!</v>
          </cell>
          <cell r="F85" t="e">
            <v>#VALUE!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</row>
        <row r="86">
          <cell r="A86" t="e">
            <v>#REF!</v>
          </cell>
          <cell r="B86">
            <v>82</v>
          </cell>
          <cell r="C86" t="e">
            <v>#REF!</v>
          </cell>
          <cell r="D86" t="e">
            <v>#VALUE!</v>
          </cell>
          <cell r="E86" t="e">
            <v>#VALUE!</v>
          </cell>
          <cell r="F86" t="e">
            <v>#VALUE!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</row>
        <row r="87">
          <cell r="A87" t="e">
            <v>#REF!</v>
          </cell>
          <cell r="B87">
            <v>83</v>
          </cell>
          <cell r="C87" t="e">
            <v>#REF!</v>
          </cell>
          <cell r="D87" t="e">
            <v>#VALUE!</v>
          </cell>
          <cell r="E87" t="e">
            <v>#VALUE!</v>
          </cell>
          <cell r="F87" t="e">
            <v>#VALUE!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</row>
        <row r="88">
          <cell r="A88" t="e">
            <v>#REF!</v>
          </cell>
          <cell r="B88">
            <v>84</v>
          </cell>
          <cell r="C88" t="e">
            <v>#REF!</v>
          </cell>
          <cell r="D88" t="e">
            <v>#VALUE!</v>
          </cell>
          <cell r="E88" t="e">
            <v>#VALUE!</v>
          </cell>
          <cell r="F88" t="e">
            <v>#VALUE!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</row>
        <row r="89">
          <cell r="A89" t="e">
            <v>#REF!</v>
          </cell>
          <cell r="B89">
            <v>85</v>
          </cell>
          <cell r="C89" t="e">
            <v>#REF!</v>
          </cell>
          <cell r="D89" t="e">
            <v>#VALUE!</v>
          </cell>
          <cell r="E89" t="e">
            <v>#VALUE!</v>
          </cell>
          <cell r="F89" t="e">
            <v>#VALUE!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</row>
        <row r="90">
          <cell r="A90" t="e">
            <v>#REF!</v>
          </cell>
          <cell r="B90">
            <v>86</v>
          </cell>
          <cell r="C90" t="e">
            <v>#REF!</v>
          </cell>
          <cell r="D90" t="e">
            <v>#VALUE!</v>
          </cell>
          <cell r="E90" t="e">
            <v>#VALUE!</v>
          </cell>
          <cell r="F90" t="e">
            <v>#VALUE!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</row>
        <row r="91">
          <cell r="A91" t="e">
            <v>#REF!</v>
          </cell>
          <cell r="B91">
            <v>87</v>
          </cell>
          <cell r="C91" t="e">
            <v>#REF!</v>
          </cell>
          <cell r="D91" t="e">
            <v>#VALUE!</v>
          </cell>
          <cell r="E91" t="e">
            <v>#VALUE!</v>
          </cell>
          <cell r="F91" t="e">
            <v>#VALUE!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</row>
        <row r="92">
          <cell r="A92" t="e">
            <v>#REF!</v>
          </cell>
          <cell r="B92">
            <v>88</v>
          </cell>
          <cell r="C92" t="e">
            <v>#REF!</v>
          </cell>
          <cell r="D92" t="e">
            <v>#VALUE!</v>
          </cell>
          <cell r="E92" t="e">
            <v>#VALUE!</v>
          </cell>
          <cell r="F92" t="e">
            <v>#VALUE!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</row>
        <row r="93">
          <cell r="A93" t="e">
            <v>#REF!</v>
          </cell>
          <cell r="B93">
            <v>89</v>
          </cell>
          <cell r="C93" t="e">
            <v>#REF!</v>
          </cell>
          <cell r="D93" t="e">
            <v>#VALUE!</v>
          </cell>
          <cell r="E93" t="e">
            <v>#VALUE!</v>
          </cell>
          <cell r="F93" t="e">
            <v>#VALUE!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</row>
        <row r="94">
          <cell r="A94" t="e">
            <v>#REF!</v>
          </cell>
          <cell r="B94">
            <v>90</v>
          </cell>
          <cell r="C94" t="e">
            <v>#REF!</v>
          </cell>
          <cell r="D94" t="e">
            <v>#VALUE!</v>
          </cell>
          <cell r="E94" t="e">
            <v>#VALUE!</v>
          </cell>
          <cell r="F94" t="e">
            <v>#VALUE!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</row>
        <row r="95">
          <cell r="A95" t="e">
            <v>#REF!</v>
          </cell>
          <cell r="B95">
            <v>91</v>
          </cell>
          <cell r="C95" t="e">
            <v>#REF!</v>
          </cell>
          <cell r="D95" t="e">
            <v>#VALUE!</v>
          </cell>
          <cell r="E95" t="e">
            <v>#VALUE!</v>
          </cell>
          <cell r="F95" t="e">
            <v>#VALUE!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</row>
        <row r="96">
          <cell r="A96" t="e">
            <v>#REF!</v>
          </cell>
          <cell r="B96">
            <v>92</v>
          </cell>
          <cell r="C96" t="e">
            <v>#REF!</v>
          </cell>
          <cell r="D96" t="e">
            <v>#VALUE!</v>
          </cell>
          <cell r="E96" t="e">
            <v>#VALUE!</v>
          </cell>
          <cell r="F96" t="e">
            <v>#VALUE!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</row>
        <row r="97">
          <cell r="A97" t="e">
            <v>#REF!</v>
          </cell>
          <cell r="B97">
            <v>93</v>
          </cell>
          <cell r="C97" t="e">
            <v>#REF!</v>
          </cell>
          <cell r="D97" t="e">
            <v>#VALUE!</v>
          </cell>
          <cell r="E97" t="e">
            <v>#VALUE!</v>
          </cell>
          <cell r="F97" t="e">
            <v>#VALUE!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</row>
        <row r="98">
          <cell r="A98" t="e">
            <v>#REF!</v>
          </cell>
          <cell r="B98">
            <v>94</v>
          </cell>
          <cell r="C98" t="e">
            <v>#REF!</v>
          </cell>
          <cell r="D98" t="e">
            <v>#VALUE!</v>
          </cell>
          <cell r="E98" t="e">
            <v>#VALUE!</v>
          </cell>
          <cell r="F98" t="e">
            <v>#VALUE!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</row>
        <row r="99">
          <cell r="A99" t="e">
            <v>#REF!</v>
          </cell>
          <cell r="B99">
            <v>95</v>
          </cell>
          <cell r="C99" t="e">
            <v>#REF!</v>
          </cell>
          <cell r="D99" t="e">
            <v>#VALUE!</v>
          </cell>
          <cell r="E99" t="e">
            <v>#VALUE!</v>
          </cell>
          <cell r="F99" t="e">
            <v>#VALUE!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</row>
        <row r="100">
          <cell r="A100" t="e">
            <v>#REF!</v>
          </cell>
          <cell r="B100">
            <v>96</v>
          </cell>
          <cell r="C100" t="e">
            <v>#REF!</v>
          </cell>
          <cell r="D100" t="e">
            <v>#VALUE!</v>
          </cell>
          <cell r="E100" t="e">
            <v>#VALUE!</v>
          </cell>
          <cell r="F100" t="e">
            <v>#VALUE!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</row>
        <row r="101">
          <cell r="A101" t="e">
            <v>#REF!</v>
          </cell>
          <cell r="B101">
            <v>97</v>
          </cell>
          <cell r="C101" t="e">
            <v>#REF!</v>
          </cell>
          <cell r="D101" t="e">
            <v>#VALUE!</v>
          </cell>
          <cell r="E101" t="e">
            <v>#VALUE!</v>
          </cell>
          <cell r="F101" t="e">
            <v>#VALUE!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</row>
        <row r="102">
          <cell r="A102" t="e">
            <v>#REF!</v>
          </cell>
          <cell r="B102">
            <v>98</v>
          </cell>
          <cell r="C102" t="e">
            <v>#REF!</v>
          </cell>
          <cell r="D102" t="e">
            <v>#VALUE!</v>
          </cell>
          <cell r="E102" t="e">
            <v>#VALUE!</v>
          </cell>
          <cell r="F102" t="e">
            <v>#VALUE!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</row>
        <row r="103">
          <cell r="A103" t="e">
            <v>#REF!</v>
          </cell>
          <cell r="B103">
            <v>99</v>
          </cell>
          <cell r="C103" t="e">
            <v>#REF!</v>
          </cell>
          <cell r="D103" t="e">
            <v>#VALUE!</v>
          </cell>
          <cell r="E103" t="e">
            <v>#VALUE!</v>
          </cell>
          <cell r="F103" t="e">
            <v>#VALUE!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</row>
        <row r="104">
          <cell r="A104" t="e">
            <v>#REF!</v>
          </cell>
          <cell r="B104">
            <v>100</v>
          </cell>
          <cell r="C104" t="e">
            <v>#REF!</v>
          </cell>
          <cell r="D104" t="e">
            <v>#VALUE!</v>
          </cell>
          <cell r="E104" t="e">
            <v>#VALUE!</v>
          </cell>
          <cell r="F104" t="e">
            <v>#VALUE!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</row>
        <row r="105">
          <cell r="A105" t="e">
            <v>#REF!</v>
          </cell>
          <cell r="B105">
            <v>101</v>
          </cell>
          <cell r="C105" t="e">
            <v>#REF!</v>
          </cell>
          <cell r="D105" t="e">
            <v>#VALUE!</v>
          </cell>
          <cell r="E105" t="e">
            <v>#VALUE!</v>
          </cell>
          <cell r="F105" t="e">
            <v>#VALUE!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</row>
        <row r="106">
          <cell r="A106" t="e">
            <v>#REF!</v>
          </cell>
          <cell r="B106">
            <v>102</v>
          </cell>
          <cell r="C106" t="e">
            <v>#REF!</v>
          </cell>
          <cell r="D106" t="e">
            <v>#VALUE!</v>
          </cell>
          <cell r="E106" t="e">
            <v>#VALUE!</v>
          </cell>
          <cell r="F106" t="e">
            <v>#VALUE!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</row>
        <row r="107">
          <cell r="A107" t="e">
            <v>#REF!</v>
          </cell>
          <cell r="B107">
            <v>103</v>
          </cell>
          <cell r="C107" t="e">
            <v>#REF!</v>
          </cell>
          <cell r="D107" t="e">
            <v>#VALUE!</v>
          </cell>
          <cell r="E107" t="e">
            <v>#VALUE!</v>
          </cell>
          <cell r="F107" t="e">
            <v>#VALUE!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</row>
        <row r="108">
          <cell r="A108" t="e">
            <v>#REF!</v>
          </cell>
          <cell r="B108">
            <v>104</v>
          </cell>
          <cell r="C108" t="e">
            <v>#REF!</v>
          </cell>
          <cell r="D108" t="e">
            <v>#VALUE!</v>
          </cell>
          <cell r="E108" t="e">
            <v>#VALUE!</v>
          </cell>
          <cell r="F108" t="e">
            <v>#VALUE!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</row>
        <row r="109">
          <cell r="A109" t="e">
            <v>#REF!</v>
          </cell>
          <cell r="B109">
            <v>105</v>
          </cell>
          <cell r="C109" t="e">
            <v>#REF!</v>
          </cell>
          <cell r="D109" t="e">
            <v>#VALUE!</v>
          </cell>
          <cell r="E109" t="e">
            <v>#VALUE!</v>
          </cell>
          <cell r="F109" t="e">
            <v>#VALUE!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</row>
        <row r="110">
          <cell r="A110" t="e">
            <v>#REF!</v>
          </cell>
          <cell r="B110">
            <v>106</v>
          </cell>
          <cell r="C110" t="e">
            <v>#REF!</v>
          </cell>
          <cell r="D110" t="e">
            <v>#VALUE!</v>
          </cell>
          <cell r="E110" t="e">
            <v>#VALUE!</v>
          </cell>
          <cell r="F110" t="e">
            <v>#VALUE!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</row>
        <row r="111">
          <cell r="A111" t="e">
            <v>#REF!</v>
          </cell>
          <cell r="B111">
            <v>107</v>
          </cell>
          <cell r="C111" t="e">
            <v>#REF!</v>
          </cell>
          <cell r="D111" t="e">
            <v>#VALUE!</v>
          </cell>
          <cell r="E111" t="e">
            <v>#VALUE!</v>
          </cell>
          <cell r="F111" t="e">
            <v>#VALUE!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</row>
        <row r="112">
          <cell r="A112" t="e">
            <v>#REF!</v>
          </cell>
          <cell r="B112">
            <v>108</v>
          </cell>
          <cell r="C112" t="e">
            <v>#REF!</v>
          </cell>
          <cell r="D112" t="e">
            <v>#VALUE!</v>
          </cell>
          <cell r="E112" t="e">
            <v>#VALUE!</v>
          </cell>
          <cell r="F112" t="e">
            <v>#VALUE!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</row>
        <row r="113">
          <cell r="A113" t="e">
            <v>#REF!</v>
          </cell>
          <cell r="B113">
            <v>109</v>
          </cell>
          <cell r="C113" t="e">
            <v>#REF!</v>
          </cell>
          <cell r="D113" t="e">
            <v>#VALUE!</v>
          </cell>
          <cell r="E113" t="e">
            <v>#VALUE!</v>
          </cell>
          <cell r="F113" t="e">
            <v>#VALUE!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</row>
        <row r="114">
          <cell r="A114" t="e">
            <v>#REF!</v>
          </cell>
          <cell r="B114">
            <v>110</v>
          </cell>
          <cell r="C114" t="e">
            <v>#REF!</v>
          </cell>
          <cell r="D114" t="e">
            <v>#VALUE!</v>
          </cell>
          <cell r="E114" t="e">
            <v>#VALUE!</v>
          </cell>
          <cell r="F114" t="e">
            <v>#VALUE!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</row>
        <row r="115">
          <cell r="A115" t="e">
            <v>#REF!</v>
          </cell>
          <cell r="B115">
            <v>111</v>
          </cell>
          <cell r="C115" t="e">
            <v>#REF!</v>
          </cell>
          <cell r="D115" t="e">
            <v>#VALUE!</v>
          </cell>
          <cell r="E115" t="e">
            <v>#VALUE!</v>
          </cell>
          <cell r="F115" t="e">
            <v>#VALUE!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</row>
        <row r="116">
          <cell r="A116" t="e">
            <v>#REF!</v>
          </cell>
          <cell r="B116">
            <v>112</v>
          </cell>
          <cell r="C116" t="e">
            <v>#REF!</v>
          </cell>
          <cell r="D116" t="e">
            <v>#VALUE!</v>
          </cell>
          <cell r="E116" t="e">
            <v>#VALUE!</v>
          </cell>
          <cell r="F116" t="e">
            <v>#VALUE!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</row>
        <row r="117">
          <cell r="A117" t="e">
            <v>#REF!</v>
          </cell>
          <cell r="B117">
            <v>113</v>
          </cell>
          <cell r="C117" t="e">
            <v>#REF!</v>
          </cell>
          <cell r="D117" t="e">
            <v>#VALUE!</v>
          </cell>
          <cell r="E117" t="e">
            <v>#VALUE!</v>
          </cell>
          <cell r="F117" t="e">
            <v>#VALUE!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</row>
        <row r="118">
          <cell r="A118" t="e">
            <v>#REF!</v>
          </cell>
          <cell r="B118">
            <v>114</v>
          </cell>
          <cell r="C118" t="e">
            <v>#REF!</v>
          </cell>
          <cell r="D118" t="e">
            <v>#VALUE!</v>
          </cell>
          <cell r="E118" t="e">
            <v>#VALUE!</v>
          </cell>
          <cell r="F118" t="e">
            <v>#VALUE!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</row>
        <row r="119">
          <cell r="A119" t="e">
            <v>#REF!</v>
          </cell>
          <cell r="B119">
            <v>115</v>
          </cell>
          <cell r="C119" t="e">
            <v>#REF!</v>
          </cell>
          <cell r="D119" t="e">
            <v>#VALUE!</v>
          </cell>
          <cell r="E119" t="e">
            <v>#VALUE!</v>
          </cell>
          <cell r="F119" t="e">
            <v>#VALUE!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</row>
        <row r="120">
          <cell r="A120" t="e">
            <v>#REF!</v>
          </cell>
          <cell r="B120">
            <v>116</v>
          </cell>
          <cell r="C120" t="e">
            <v>#REF!</v>
          </cell>
          <cell r="D120" t="e">
            <v>#VALUE!</v>
          </cell>
          <cell r="E120" t="e">
            <v>#VALUE!</v>
          </cell>
          <cell r="F120" t="e">
            <v>#VALUE!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</row>
        <row r="121">
          <cell r="A121" t="e">
            <v>#REF!</v>
          </cell>
          <cell r="B121">
            <v>117</v>
          </cell>
          <cell r="C121" t="e">
            <v>#REF!</v>
          </cell>
          <cell r="D121" t="e">
            <v>#VALUE!</v>
          </cell>
          <cell r="E121" t="e">
            <v>#VALUE!</v>
          </cell>
          <cell r="F121" t="e">
            <v>#VALUE!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</row>
        <row r="122">
          <cell r="A122" t="e">
            <v>#REF!</v>
          </cell>
          <cell r="B122">
            <v>118</v>
          </cell>
          <cell r="C122" t="e">
            <v>#REF!</v>
          </cell>
          <cell r="D122" t="e">
            <v>#VALUE!</v>
          </cell>
          <cell r="E122" t="e">
            <v>#VALUE!</v>
          </cell>
          <cell r="F122" t="e">
            <v>#VALUE!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</row>
        <row r="123">
          <cell r="A123" t="e">
            <v>#REF!</v>
          </cell>
          <cell r="B123">
            <v>119</v>
          </cell>
          <cell r="C123" t="e">
            <v>#REF!</v>
          </cell>
          <cell r="D123" t="e">
            <v>#VALUE!</v>
          </cell>
          <cell r="E123" t="e">
            <v>#VALUE!</v>
          </cell>
          <cell r="F123" t="e">
            <v>#VALUE!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</row>
        <row r="124">
          <cell r="A124" t="e">
            <v>#REF!</v>
          </cell>
          <cell r="B124">
            <v>120</v>
          </cell>
          <cell r="C124" t="e">
            <v>#REF!</v>
          </cell>
          <cell r="D124" t="e">
            <v>#VALUE!</v>
          </cell>
          <cell r="E124" t="e">
            <v>#VALUE!</v>
          </cell>
          <cell r="F124" t="e">
            <v>#VALUE!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</row>
        <row r="125">
          <cell r="A125" t="e">
            <v>#REF!</v>
          </cell>
          <cell r="B125">
            <v>121</v>
          </cell>
          <cell r="C125" t="e">
            <v>#REF!</v>
          </cell>
          <cell r="D125" t="e">
            <v>#VALUE!</v>
          </cell>
          <cell r="E125" t="e">
            <v>#VALUE!</v>
          </cell>
          <cell r="F125" t="e">
            <v>#VALUE!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</row>
        <row r="126">
          <cell r="A126" t="e">
            <v>#REF!</v>
          </cell>
          <cell r="B126">
            <v>122</v>
          </cell>
          <cell r="C126" t="e">
            <v>#REF!</v>
          </cell>
          <cell r="D126" t="e">
            <v>#VALUE!</v>
          </cell>
          <cell r="E126" t="e">
            <v>#VALUE!</v>
          </cell>
          <cell r="F126" t="e">
            <v>#VALUE!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</row>
        <row r="127">
          <cell r="A127" t="e">
            <v>#REF!</v>
          </cell>
          <cell r="B127">
            <v>123</v>
          </cell>
          <cell r="C127" t="e">
            <v>#REF!</v>
          </cell>
          <cell r="D127" t="e">
            <v>#VALUE!</v>
          </cell>
          <cell r="E127" t="e">
            <v>#VALUE!</v>
          </cell>
          <cell r="F127" t="e">
            <v>#VALUE!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</row>
        <row r="128">
          <cell r="A128" t="e">
            <v>#REF!</v>
          </cell>
          <cell r="B128">
            <v>124</v>
          </cell>
          <cell r="C128" t="e">
            <v>#REF!</v>
          </cell>
          <cell r="D128" t="e">
            <v>#VALUE!</v>
          </cell>
          <cell r="E128" t="e">
            <v>#VALUE!</v>
          </cell>
          <cell r="F128" t="e">
            <v>#VALUE!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</row>
        <row r="129">
          <cell r="A129" t="e">
            <v>#REF!</v>
          </cell>
          <cell r="B129">
            <v>125</v>
          </cell>
          <cell r="C129" t="e">
            <v>#REF!</v>
          </cell>
          <cell r="D129" t="e">
            <v>#VALUE!</v>
          </cell>
          <cell r="E129" t="e">
            <v>#VALUE!</v>
          </cell>
          <cell r="F129" t="e">
            <v>#VALUE!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</row>
        <row r="130">
          <cell r="A130" t="e">
            <v>#REF!</v>
          </cell>
          <cell r="B130">
            <v>126</v>
          </cell>
          <cell r="C130" t="e">
            <v>#REF!</v>
          </cell>
          <cell r="D130" t="e">
            <v>#VALUE!</v>
          </cell>
          <cell r="E130" t="e">
            <v>#VALUE!</v>
          </cell>
          <cell r="F130" t="e">
            <v>#VALUE!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</row>
        <row r="131">
          <cell r="A131" t="e">
            <v>#REF!</v>
          </cell>
          <cell r="B131">
            <v>127</v>
          </cell>
          <cell r="C131" t="e">
            <v>#REF!</v>
          </cell>
          <cell r="D131" t="e">
            <v>#VALUE!</v>
          </cell>
          <cell r="E131" t="e">
            <v>#VALUE!</v>
          </cell>
          <cell r="F131" t="e">
            <v>#VALUE!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</row>
        <row r="132">
          <cell r="A132" t="e">
            <v>#REF!</v>
          </cell>
          <cell r="B132">
            <v>128</v>
          </cell>
          <cell r="C132" t="e">
            <v>#REF!</v>
          </cell>
          <cell r="D132" t="e">
            <v>#VALUE!</v>
          </cell>
          <cell r="E132" t="e">
            <v>#VALUE!</v>
          </cell>
          <cell r="F132" t="e">
            <v>#VALUE!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</row>
        <row r="133">
          <cell r="A133" t="e">
            <v>#REF!</v>
          </cell>
          <cell r="B133">
            <v>129</v>
          </cell>
          <cell r="C133" t="e">
            <v>#REF!</v>
          </cell>
          <cell r="D133" t="e">
            <v>#VALUE!</v>
          </cell>
          <cell r="E133" t="e">
            <v>#VALUE!</v>
          </cell>
          <cell r="F133" t="e">
            <v>#VALUE!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</row>
        <row r="134">
          <cell r="A134" t="e">
            <v>#REF!</v>
          </cell>
          <cell r="B134">
            <v>130</v>
          </cell>
          <cell r="C134" t="e">
            <v>#REF!</v>
          </cell>
          <cell r="D134" t="e">
            <v>#VALUE!</v>
          </cell>
          <cell r="E134" t="e">
            <v>#VALUE!</v>
          </cell>
          <cell r="F134" t="e">
            <v>#VALUE!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</row>
        <row r="135">
          <cell r="A135" t="e">
            <v>#REF!</v>
          </cell>
          <cell r="B135">
            <v>131</v>
          </cell>
          <cell r="C135" t="e">
            <v>#REF!</v>
          </cell>
          <cell r="D135" t="e">
            <v>#VALUE!</v>
          </cell>
          <cell r="E135" t="e">
            <v>#VALUE!</v>
          </cell>
          <cell r="F135" t="e">
            <v>#VALUE!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</row>
        <row r="136">
          <cell r="A136" t="e">
            <v>#REF!</v>
          </cell>
          <cell r="B136">
            <v>132</v>
          </cell>
          <cell r="C136" t="e">
            <v>#REF!</v>
          </cell>
          <cell r="D136" t="e">
            <v>#VALUE!</v>
          </cell>
          <cell r="E136" t="e">
            <v>#VALUE!</v>
          </cell>
          <cell r="F136" t="e">
            <v>#VALUE!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</row>
        <row r="137">
          <cell r="A137" t="e">
            <v>#REF!</v>
          </cell>
          <cell r="B137">
            <v>133</v>
          </cell>
          <cell r="C137" t="e">
            <v>#REF!</v>
          </cell>
          <cell r="D137" t="e">
            <v>#VALUE!</v>
          </cell>
          <cell r="E137" t="e">
            <v>#VALUE!</v>
          </cell>
          <cell r="F137" t="e">
            <v>#VALUE!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</row>
        <row r="138">
          <cell r="A138" t="e">
            <v>#REF!</v>
          </cell>
          <cell r="B138">
            <v>134</v>
          </cell>
          <cell r="C138" t="e">
            <v>#REF!</v>
          </cell>
          <cell r="D138" t="e">
            <v>#VALUE!</v>
          </cell>
          <cell r="E138" t="e">
            <v>#VALUE!</v>
          </cell>
          <cell r="F138" t="e">
            <v>#VALUE!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</row>
        <row r="139">
          <cell r="A139" t="e">
            <v>#REF!</v>
          </cell>
          <cell r="B139">
            <v>135</v>
          </cell>
          <cell r="C139" t="e">
            <v>#REF!</v>
          </cell>
          <cell r="D139" t="e">
            <v>#VALUE!</v>
          </cell>
          <cell r="E139" t="e">
            <v>#VALUE!</v>
          </cell>
          <cell r="F139" t="e">
            <v>#VALUE!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</row>
        <row r="140">
          <cell r="A140" t="e">
            <v>#REF!</v>
          </cell>
          <cell r="B140">
            <v>136</v>
          </cell>
          <cell r="C140" t="e">
            <v>#REF!</v>
          </cell>
          <cell r="D140" t="e">
            <v>#VALUE!</v>
          </cell>
          <cell r="E140" t="e">
            <v>#VALUE!</v>
          </cell>
          <cell r="F140" t="e">
            <v>#VALUE!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</row>
        <row r="141">
          <cell r="A141" t="e">
            <v>#REF!</v>
          </cell>
          <cell r="B141">
            <v>137</v>
          </cell>
          <cell r="C141" t="e">
            <v>#REF!</v>
          </cell>
          <cell r="D141" t="e">
            <v>#VALUE!</v>
          </cell>
          <cell r="E141" t="e">
            <v>#VALUE!</v>
          </cell>
          <cell r="F141" t="e">
            <v>#VALUE!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</row>
        <row r="142">
          <cell r="A142" t="e">
            <v>#REF!</v>
          </cell>
          <cell r="B142">
            <v>138</v>
          </cell>
          <cell r="C142" t="e">
            <v>#REF!</v>
          </cell>
          <cell r="D142" t="e">
            <v>#VALUE!</v>
          </cell>
          <cell r="E142" t="e">
            <v>#VALUE!</v>
          </cell>
          <cell r="F142" t="e">
            <v>#VALUE!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</row>
        <row r="143">
          <cell r="A143" t="e">
            <v>#REF!</v>
          </cell>
          <cell r="B143">
            <v>139</v>
          </cell>
          <cell r="C143" t="e">
            <v>#REF!</v>
          </cell>
          <cell r="D143" t="e">
            <v>#VALUE!</v>
          </cell>
          <cell r="E143" t="e">
            <v>#VALUE!</v>
          </cell>
          <cell r="F143" t="e">
            <v>#VALUE!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</row>
        <row r="144">
          <cell r="A144" t="e">
            <v>#REF!</v>
          </cell>
          <cell r="B144">
            <v>140</v>
          </cell>
          <cell r="C144" t="e">
            <v>#REF!</v>
          </cell>
          <cell r="D144" t="e">
            <v>#VALUE!</v>
          </cell>
          <cell r="E144" t="e">
            <v>#VALUE!</v>
          </cell>
          <cell r="F144" t="e">
            <v>#VALUE!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</row>
        <row r="145">
          <cell r="A145" t="e">
            <v>#REF!</v>
          </cell>
          <cell r="B145">
            <v>141</v>
          </cell>
          <cell r="C145" t="e">
            <v>#REF!</v>
          </cell>
          <cell r="D145" t="e">
            <v>#VALUE!</v>
          </cell>
          <cell r="E145" t="e">
            <v>#VALUE!</v>
          </cell>
          <cell r="F145" t="e">
            <v>#VALUE!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</row>
        <row r="146">
          <cell r="A146" t="e">
            <v>#REF!</v>
          </cell>
          <cell r="B146">
            <v>142</v>
          </cell>
          <cell r="C146" t="e">
            <v>#REF!</v>
          </cell>
          <cell r="D146" t="e">
            <v>#VALUE!</v>
          </cell>
          <cell r="E146" t="e">
            <v>#VALUE!</v>
          </cell>
          <cell r="F146" t="e">
            <v>#VALUE!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</row>
        <row r="147">
          <cell r="A147" t="e">
            <v>#REF!</v>
          </cell>
          <cell r="B147">
            <v>143</v>
          </cell>
          <cell r="C147" t="e">
            <v>#REF!</v>
          </cell>
          <cell r="D147" t="e">
            <v>#VALUE!</v>
          </cell>
          <cell r="E147" t="e">
            <v>#VALUE!</v>
          </cell>
          <cell r="F147" t="e">
            <v>#VALUE!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</row>
        <row r="148">
          <cell r="A148" t="e">
            <v>#REF!</v>
          </cell>
          <cell r="B148">
            <v>144</v>
          </cell>
          <cell r="C148" t="e">
            <v>#REF!</v>
          </cell>
          <cell r="D148" t="e">
            <v>#VALUE!</v>
          </cell>
          <cell r="E148" t="e">
            <v>#VALUE!</v>
          </cell>
          <cell r="F148" t="e">
            <v>#VALUE!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</row>
        <row r="149">
          <cell r="A149" t="e">
            <v>#REF!</v>
          </cell>
          <cell r="B149">
            <v>145</v>
          </cell>
          <cell r="C149" t="e">
            <v>#REF!</v>
          </cell>
          <cell r="D149" t="e">
            <v>#VALUE!</v>
          </cell>
          <cell r="E149" t="e">
            <v>#VALUE!</v>
          </cell>
          <cell r="F149" t="e">
            <v>#VALUE!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</row>
        <row r="150">
          <cell r="A150" t="e">
            <v>#REF!</v>
          </cell>
          <cell r="B150">
            <v>146</v>
          </cell>
          <cell r="C150" t="e">
            <v>#REF!</v>
          </cell>
          <cell r="D150" t="e">
            <v>#VALUE!</v>
          </cell>
          <cell r="E150" t="e">
            <v>#VALUE!</v>
          </cell>
          <cell r="F150" t="e">
            <v>#VALUE!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</row>
        <row r="151">
          <cell r="A151" t="e">
            <v>#REF!</v>
          </cell>
          <cell r="B151">
            <v>147</v>
          </cell>
          <cell r="C151" t="e">
            <v>#REF!</v>
          </cell>
          <cell r="D151" t="e">
            <v>#VALUE!</v>
          </cell>
          <cell r="E151" t="e">
            <v>#VALUE!</v>
          </cell>
          <cell r="F151" t="e">
            <v>#VALUE!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</row>
        <row r="152">
          <cell r="A152" t="e">
            <v>#REF!</v>
          </cell>
          <cell r="B152">
            <v>148</v>
          </cell>
          <cell r="C152" t="e">
            <v>#REF!</v>
          </cell>
          <cell r="D152" t="e">
            <v>#VALUE!</v>
          </cell>
          <cell r="E152" t="e">
            <v>#VALUE!</v>
          </cell>
          <cell r="F152" t="e">
            <v>#VALUE!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</row>
        <row r="153">
          <cell r="A153" t="e">
            <v>#REF!</v>
          </cell>
          <cell r="B153">
            <v>149</v>
          </cell>
          <cell r="C153" t="e">
            <v>#REF!</v>
          </cell>
          <cell r="D153" t="e">
            <v>#VALUE!</v>
          </cell>
          <cell r="E153" t="e">
            <v>#VALUE!</v>
          </cell>
          <cell r="F153" t="e">
            <v>#VALUE!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</row>
        <row r="154">
          <cell r="A154" t="e">
            <v>#REF!</v>
          </cell>
          <cell r="B154">
            <v>150</v>
          </cell>
          <cell r="C154" t="e">
            <v>#REF!</v>
          </cell>
          <cell r="D154" t="e">
            <v>#VALUE!</v>
          </cell>
          <cell r="E154" t="e">
            <v>#VALUE!</v>
          </cell>
          <cell r="F154" t="e">
            <v>#VALUE!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</row>
        <row r="155">
          <cell r="A155" t="e">
            <v>#REF!</v>
          </cell>
          <cell r="B155">
            <v>151</v>
          </cell>
          <cell r="C155" t="e">
            <v>#REF!</v>
          </cell>
          <cell r="D155" t="e">
            <v>#VALUE!</v>
          </cell>
          <cell r="E155" t="e">
            <v>#VALUE!</v>
          </cell>
          <cell r="F155" t="e">
            <v>#VALUE!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</row>
        <row r="156">
          <cell r="A156" t="e">
            <v>#REF!</v>
          </cell>
          <cell r="B156">
            <v>152</v>
          </cell>
          <cell r="C156" t="e">
            <v>#REF!</v>
          </cell>
          <cell r="D156" t="e">
            <v>#VALUE!</v>
          </cell>
          <cell r="E156" t="e">
            <v>#VALUE!</v>
          </cell>
          <cell r="F156" t="e">
            <v>#VALUE!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</row>
        <row r="157">
          <cell r="A157" t="e">
            <v>#REF!</v>
          </cell>
          <cell r="B157">
            <v>153</v>
          </cell>
          <cell r="C157" t="e">
            <v>#REF!</v>
          </cell>
          <cell r="D157" t="e">
            <v>#VALUE!</v>
          </cell>
          <cell r="E157" t="e">
            <v>#VALUE!</v>
          </cell>
          <cell r="F157" t="e">
            <v>#VALUE!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</row>
        <row r="158">
          <cell r="A158" t="e">
            <v>#REF!</v>
          </cell>
          <cell r="B158">
            <v>154</v>
          </cell>
          <cell r="C158" t="e">
            <v>#REF!</v>
          </cell>
          <cell r="D158" t="e">
            <v>#VALUE!</v>
          </cell>
          <cell r="E158" t="e">
            <v>#VALUE!</v>
          </cell>
          <cell r="F158" t="e">
            <v>#VALUE!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</row>
        <row r="159">
          <cell r="A159" t="e">
            <v>#REF!</v>
          </cell>
          <cell r="B159">
            <v>155</v>
          </cell>
          <cell r="C159" t="e">
            <v>#REF!</v>
          </cell>
          <cell r="D159" t="e">
            <v>#VALUE!</v>
          </cell>
          <cell r="E159" t="e">
            <v>#VALUE!</v>
          </cell>
          <cell r="F159" t="e">
            <v>#VALUE!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</row>
        <row r="160">
          <cell r="A160" t="e">
            <v>#REF!</v>
          </cell>
          <cell r="B160">
            <v>156</v>
          </cell>
          <cell r="C160" t="e">
            <v>#REF!</v>
          </cell>
          <cell r="D160" t="e">
            <v>#VALUE!</v>
          </cell>
          <cell r="E160" t="e">
            <v>#VALUE!</v>
          </cell>
          <cell r="F160" t="e">
            <v>#VALUE!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</row>
        <row r="161">
          <cell r="A161" t="e">
            <v>#REF!</v>
          </cell>
          <cell r="B161">
            <v>157</v>
          </cell>
          <cell r="C161" t="e">
            <v>#REF!</v>
          </cell>
          <cell r="D161" t="e">
            <v>#VALUE!</v>
          </cell>
          <cell r="E161" t="e">
            <v>#VALUE!</v>
          </cell>
          <cell r="F161" t="e">
            <v>#VALUE!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</row>
        <row r="162">
          <cell r="A162" t="e">
            <v>#REF!</v>
          </cell>
          <cell r="B162">
            <v>158</v>
          </cell>
          <cell r="C162" t="e">
            <v>#REF!</v>
          </cell>
          <cell r="D162" t="e">
            <v>#VALUE!</v>
          </cell>
          <cell r="E162" t="e">
            <v>#VALUE!</v>
          </cell>
          <cell r="F162" t="e">
            <v>#VALUE!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</row>
        <row r="163">
          <cell r="A163" t="e">
            <v>#REF!</v>
          </cell>
          <cell r="B163">
            <v>159</v>
          </cell>
          <cell r="C163" t="e">
            <v>#REF!</v>
          </cell>
          <cell r="D163" t="e">
            <v>#VALUE!</v>
          </cell>
          <cell r="E163" t="e">
            <v>#VALUE!</v>
          </cell>
          <cell r="F163" t="e">
            <v>#VALUE!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</row>
        <row r="164">
          <cell r="A164" t="e">
            <v>#REF!</v>
          </cell>
          <cell r="B164">
            <v>160</v>
          </cell>
          <cell r="C164" t="e">
            <v>#REF!</v>
          </cell>
          <cell r="D164" t="e">
            <v>#VALUE!</v>
          </cell>
          <cell r="E164" t="e">
            <v>#VALUE!</v>
          </cell>
          <cell r="F164" t="e">
            <v>#VALUE!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</row>
        <row r="165">
          <cell r="A165" t="e">
            <v>#REF!</v>
          </cell>
          <cell r="B165">
            <v>161</v>
          </cell>
          <cell r="C165" t="e">
            <v>#REF!</v>
          </cell>
          <cell r="D165" t="e">
            <v>#VALUE!</v>
          </cell>
          <cell r="E165" t="e">
            <v>#VALUE!</v>
          </cell>
          <cell r="F165" t="e">
            <v>#VALUE!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</row>
        <row r="166">
          <cell r="A166" t="e">
            <v>#REF!</v>
          </cell>
          <cell r="B166">
            <v>162</v>
          </cell>
          <cell r="C166" t="e">
            <v>#REF!</v>
          </cell>
          <cell r="D166" t="e">
            <v>#VALUE!</v>
          </cell>
          <cell r="E166" t="e">
            <v>#VALUE!</v>
          </cell>
          <cell r="F166" t="e">
            <v>#VALUE!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</row>
        <row r="167">
          <cell r="A167" t="e">
            <v>#REF!</v>
          </cell>
          <cell r="B167">
            <v>163</v>
          </cell>
          <cell r="C167" t="e">
            <v>#REF!</v>
          </cell>
          <cell r="D167" t="e">
            <v>#VALUE!</v>
          </cell>
          <cell r="E167" t="e">
            <v>#VALUE!</v>
          </cell>
          <cell r="F167" t="e">
            <v>#VALUE!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</row>
        <row r="168">
          <cell r="A168" t="e">
            <v>#REF!</v>
          </cell>
          <cell r="B168">
            <v>164</v>
          </cell>
          <cell r="C168" t="e">
            <v>#REF!</v>
          </cell>
          <cell r="D168" t="e">
            <v>#VALUE!</v>
          </cell>
          <cell r="E168" t="e">
            <v>#VALUE!</v>
          </cell>
          <cell r="F168" t="e">
            <v>#VALUE!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</row>
        <row r="169">
          <cell r="A169" t="e">
            <v>#REF!</v>
          </cell>
          <cell r="B169">
            <v>165</v>
          </cell>
          <cell r="C169" t="e">
            <v>#REF!</v>
          </cell>
          <cell r="D169" t="e">
            <v>#VALUE!</v>
          </cell>
          <cell r="E169" t="e">
            <v>#VALUE!</v>
          </cell>
          <cell r="F169" t="e">
            <v>#VALUE!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</row>
        <row r="170">
          <cell r="A170" t="e">
            <v>#REF!</v>
          </cell>
          <cell r="B170">
            <v>166</v>
          </cell>
          <cell r="C170" t="e">
            <v>#REF!</v>
          </cell>
          <cell r="D170" t="e">
            <v>#VALUE!</v>
          </cell>
          <cell r="E170" t="e">
            <v>#VALUE!</v>
          </cell>
          <cell r="F170" t="e">
            <v>#VALUE!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</row>
        <row r="171">
          <cell r="A171" t="e">
            <v>#REF!</v>
          </cell>
          <cell r="B171">
            <v>167</v>
          </cell>
          <cell r="C171" t="e">
            <v>#REF!</v>
          </cell>
          <cell r="D171" t="e">
            <v>#VALUE!</v>
          </cell>
          <cell r="E171" t="e">
            <v>#VALUE!</v>
          </cell>
          <cell r="F171" t="e">
            <v>#VALUE!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</row>
        <row r="172">
          <cell r="A172" t="e">
            <v>#REF!</v>
          </cell>
          <cell r="B172">
            <v>168</v>
          </cell>
          <cell r="C172" t="e">
            <v>#REF!</v>
          </cell>
          <cell r="D172" t="e">
            <v>#VALUE!</v>
          </cell>
          <cell r="E172" t="e">
            <v>#VALUE!</v>
          </cell>
          <cell r="F172" t="e">
            <v>#VALUE!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</row>
        <row r="173">
          <cell r="A173" t="e">
            <v>#REF!</v>
          </cell>
          <cell r="B173">
            <v>169</v>
          </cell>
          <cell r="C173" t="e">
            <v>#REF!</v>
          </cell>
          <cell r="D173" t="e">
            <v>#VALUE!</v>
          </cell>
          <cell r="E173" t="e">
            <v>#VALUE!</v>
          </cell>
          <cell r="F173" t="e">
            <v>#VALUE!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</row>
        <row r="174">
          <cell r="A174" t="e">
            <v>#REF!</v>
          </cell>
          <cell r="B174">
            <v>170</v>
          </cell>
          <cell r="C174" t="e">
            <v>#REF!</v>
          </cell>
          <cell r="D174" t="e">
            <v>#VALUE!</v>
          </cell>
          <cell r="E174" t="e">
            <v>#VALUE!</v>
          </cell>
          <cell r="F174" t="e">
            <v>#VALUE!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</row>
        <row r="175">
          <cell r="A175" t="e">
            <v>#REF!</v>
          </cell>
          <cell r="B175">
            <v>171</v>
          </cell>
          <cell r="C175" t="e">
            <v>#REF!</v>
          </cell>
          <cell r="D175" t="e">
            <v>#VALUE!</v>
          </cell>
          <cell r="E175" t="e">
            <v>#VALUE!</v>
          </cell>
          <cell r="F175" t="e">
            <v>#VALUE!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</row>
        <row r="176">
          <cell r="A176" t="e">
            <v>#REF!</v>
          </cell>
          <cell r="B176">
            <v>172</v>
          </cell>
          <cell r="C176" t="e">
            <v>#REF!</v>
          </cell>
          <cell r="D176" t="e">
            <v>#VALUE!</v>
          </cell>
          <cell r="E176" t="e">
            <v>#VALUE!</v>
          </cell>
          <cell r="F176" t="e">
            <v>#VALUE!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</row>
        <row r="177">
          <cell r="A177" t="e">
            <v>#REF!</v>
          </cell>
          <cell r="B177">
            <v>173</v>
          </cell>
          <cell r="C177" t="e">
            <v>#REF!</v>
          </cell>
          <cell r="D177" t="e">
            <v>#VALUE!</v>
          </cell>
          <cell r="E177" t="e">
            <v>#VALUE!</v>
          </cell>
          <cell r="F177" t="e">
            <v>#VALUE!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</row>
        <row r="178">
          <cell r="A178" t="e">
            <v>#REF!</v>
          </cell>
          <cell r="B178">
            <v>174</v>
          </cell>
          <cell r="C178" t="e">
            <v>#REF!</v>
          </cell>
          <cell r="D178" t="e">
            <v>#VALUE!</v>
          </cell>
          <cell r="E178" t="e">
            <v>#VALUE!</v>
          </cell>
          <cell r="F178" t="e">
            <v>#VALUE!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</row>
        <row r="179">
          <cell r="A179" t="e">
            <v>#REF!</v>
          </cell>
          <cell r="B179">
            <v>175</v>
          </cell>
          <cell r="C179" t="e">
            <v>#REF!</v>
          </cell>
          <cell r="D179" t="e">
            <v>#VALUE!</v>
          </cell>
          <cell r="E179" t="e">
            <v>#VALUE!</v>
          </cell>
          <cell r="F179" t="e">
            <v>#VALUE!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</row>
        <row r="180">
          <cell r="A180" t="e">
            <v>#REF!</v>
          </cell>
          <cell r="B180">
            <v>176</v>
          </cell>
          <cell r="C180" t="e">
            <v>#REF!</v>
          </cell>
          <cell r="D180" t="e">
            <v>#VALUE!</v>
          </cell>
          <cell r="E180" t="e">
            <v>#VALUE!</v>
          </cell>
          <cell r="F180" t="e">
            <v>#VALUE!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</row>
        <row r="181">
          <cell r="A181" t="e">
            <v>#REF!</v>
          </cell>
          <cell r="B181">
            <v>177</v>
          </cell>
          <cell r="C181" t="e">
            <v>#REF!</v>
          </cell>
          <cell r="D181" t="e">
            <v>#VALUE!</v>
          </cell>
          <cell r="E181" t="e">
            <v>#VALUE!</v>
          </cell>
          <cell r="F181" t="e">
            <v>#VALUE!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</row>
        <row r="182">
          <cell r="A182" t="e">
            <v>#REF!</v>
          </cell>
          <cell r="B182">
            <v>178</v>
          </cell>
          <cell r="C182" t="e">
            <v>#REF!</v>
          </cell>
          <cell r="D182" t="e">
            <v>#VALUE!</v>
          </cell>
          <cell r="E182" t="e">
            <v>#VALUE!</v>
          </cell>
          <cell r="F182" t="e">
            <v>#VALUE!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</row>
        <row r="183">
          <cell r="A183" t="e">
            <v>#REF!</v>
          </cell>
          <cell r="B183">
            <v>179</v>
          </cell>
          <cell r="C183" t="e">
            <v>#REF!</v>
          </cell>
          <cell r="D183" t="e">
            <v>#VALUE!</v>
          </cell>
          <cell r="E183" t="e">
            <v>#VALUE!</v>
          </cell>
          <cell r="F183" t="e">
            <v>#VALUE!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</row>
        <row r="184">
          <cell r="A184" t="e">
            <v>#REF!</v>
          </cell>
          <cell r="B184">
            <v>180</v>
          </cell>
          <cell r="C184" t="e">
            <v>#REF!</v>
          </cell>
          <cell r="D184" t="e">
            <v>#VALUE!</v>
          </cell>
          <cell r="E184" t="e">
            <v>#VALUE!</v>
          </cell>
          <cell r="F184" t="e">
            <v>#VALUE!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</row>
        <row r="185">
          <cell r="A185" t="e">
            <v>#REF!</v>
          </cell>
          <cell r="B185">
            <v>181</v>
          </cell>
          <cell r="C185" t="e">
            <v>#REF!</v>
          </cell>
          <cell r="D185" t="e">
            <v>#VALUE!</v>
          </cell>
          <cell r="E185" t="e">
            <v>#VALUE!</v>
          </cell>
          <cell r="F185" t="e">
            <v>#VALUE!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</row>
        <row r="186">
          <cell r="A186" t="e">
            <v>#REF!</v>
          </cell>
          <cell r="B186">
            <v>182</v>
          </cell>
          <cell r="C186" t="e">
            <v>#REF!</v>
          </cell>
          <cell r="D186" t="e">
            <v>#VALUE!</v>
          </cell>
          <cell r="E186" t="e">
            <v>#VALUE!</v>
          </cell>
          <cell r="F186" t="e">
            <v>#VALUE!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</row>
        <row r="187">
          <cell r="A187" t="e">
            <v>#REF!</v>
          </cell>
          <cell r="B187">
            <v>183</v>
          </cell>
          <cell r="C187" t="e">
            <v>#REF!</v>
          </cell>
          <cell r="D187" t="e">
            <v>#VALUE!</v>
          </cell>
          <cell r="E187" t="e">
            <v>#VALUE!</v>
          </cell>
          <cell r="F187" t="e">
            <v>#VALUE!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</row>
        <row r="188">
          <cell r="A188" t="e">
            <v>#REF!</v>
          </cell>
          <cell r="B188">
            <v>184</v>
          </cell>
          <cell r="C188" t="e">
            <v>#REF!</v>
          </cell>
          <cell r="D188" t="e">
            <v>#VALUE!</v>
          </cell>
          <cell r="E188" t="e">
            <v>#VALUE!</v>
          </cell>
          <cell r="F188" t="e">
            <v>#VALUE!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</row>
        <row r="189">
          <cell r="A189" t="e">
            <v>#REF!</v>
          </cell>
          <cell r="B189">
            <v>185</v>
          </cell>
          <cell r="C189" t="e">
            <v>#REF!</v>
          </cell>
          <cell r="D189" t="e">
            <v>#VALUE!</v>
          </cell>
          <cell r="E189" t="e">
            <v>#VALUE!</v>
          </cell>
          <cell r="F189" t="e">
            <v>#VALUE!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</row>
        <row r="190">
          <cell r="A190" t="e">
            <v>#REF!</v>
          </cell>
          <cell r="B190">
            <v>186</v>
          </cell>
          <cell r="C190" t="e">
            <v>#REF!</v>
          </cell>
          <cell r="D190" t="e">
            <v>#VALUE!</v>
          </cell>
          <cell r="E190" t="e">
            <v>#VALUE!</v>
          </cell>
          <cell r="F190" t="e">
            <v>#VALUE!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</row>
        <row r="191">
          <cell r="A191" t="e">
            <v>#REF!</v>
          </cell>
          <cell r="B191">
            <v>187</v>
          </cell>
          <cell r="C191" t="e">
            <v>#REF!</v>
          </cell>
          <cell r="D191" t="e">
            <v>#VALUE!</v>
          </cell>
          <cell r="E191" t="e">
            <v>#VALUE!</v>
          </cell>
          <cell r="F191" t="e">
            <v>#VALUE!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</row>
        <row r="192">
          <cell r="A192" t="e">
            <v>#REF!</v>
          </cell>
          <cell r="B192">
            <v>188</v>
          </cell>
          <cell r="C192" t="e">
            <v>#REF!</v>
          </cell>
          <cell r="D192" t="e">
            <v>#VALUE!</v>
          </cell>
          <cell r="E192" t="e">
            <v>#VALUE!</v>
          </cell>
          <cell r="F192" t="e">
            <v>#VALUE!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</row>
        <row r="193">
          <cell r="A193" t="e">
            <v>#REF!</v>
          </cell>
          <cell r="B193">
            <v>189</v>
          </cell>
          <cell r="C193" t="e">
            <v>#REF!</v>
          </cell>
          <cell r="D193" t="e">
            <v>#VALUE!</v>
          </cell>
          <cell r="E193" t="e">
            <v>#VALUE!</v>
          </cell>
          <cell r="F193" t="e">
            <v>#VALUE!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</row>
        <row r="194">
          <cell r="A194" t="e">
            <v>#REF!</v>
          </cell>
          <cell r="B194">
            <v>190</v>
          </cell>
          <cell r="C194" t="e">
            <v>#REF!</v>
          </cell>
          <cell r="D194" t="e">
            <v>#VALUE!</v>
          </cell>
          <cell r="E194" t="e">
            <v>#VALUE!</v>
          </cell>
          <cell r="F194" t="e">
            <v>#VALUE!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</row>
        <row r="195">
          <cell r="A195" t="e">
            <v>#REF!</v>
          </cell>
          <cell r="B195">
            <v>191</v>
          </cell>
          <cell r="C195" t="e">
            <v>#REF!</v>
          </cell>
          <cell r="D195" t="e">
            <v>#VALUE!</v>
          </cell>
          <cell r="E195" t="e">
            <v>#VALUE!</v>
          </cell>
          <cell r="F195" t="e">
            <v>#VALUE!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</row>
        <row r="196">
          <cell r="A196" t="e">
            <v>#REF!</v>
          </cell>
          <cell r="B196">
            <v>192</v>
          </cell>
          <cell r="C196" t="e">
            <v>#REF!</v>
          </cell>
          <cell r="D196" t="e">
            <v>#VALUE!</v>
          </cell>
          <cell r="E196" t="e">
            <v>#VALUE!</v>
          </cell>
          <cell r="F196" t="e">
            <v>#VALUE!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</row>
        <row r="197">
          <cell r="A197" t="e">
            <v>#REF!</v>
          </cell>
          <cell r="B197">
            <v>193</v>
          </cell>
          <cell r="C197" t="e">
            <v>#REF!</v>
          </cell>
          <cell r="D197" t="e">
            <v>#VALUE!</v>
          </cell>
          <cell r="E197" t="e">
            <v>#VALUE!</v>
          </cell>
          <cell r="F197" t="e">
            <v>#VALUE!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</row>
        <row r="198">
          <cell r="A198" t="e">
            <v>#REF!</v>
          </cell>
          <cell r="B198">
            <v>194</v>
          </cell>
          <cell r="C198" t="e">
            <v>#REF!</v>
          </cell>
          <cell r="D198" t="e">
            <v>#VALUE!</v>
          </cell>
          <cell r="E198" t="e">
            <v>#VALUE!</v>
          </cell>
          <cell r="F198" t="e">
            <v>#VALUE!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</row>
        <row r="199">
          <cell r="A199" t="e">
            <v>#REF!</v>
          </cell>
          <cell r="B199">
            <v>195</v>
          </cell>
          <cell r="C199" t="e">
            <v>#REF!</v>
          </cell>
          <cell r="D199" t="e">
            <v>#VALUE!</v>
          </cell>
          <cell r="E199" t="e">
            <v>#VALUE!</v>
          </cell>
          <cell r="F199" t="e">
            <v>#VALUE!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</row>
        <row r="200">
          <cell r="A200" t="e">
            <v>#REF!</v>
          </cell>
          <cell r="B200">
            <v>196</v>
          </cell>
          <cell r="C200" t="e">
            <v>#REF!</v>
          </cell>
          <cell r="D200" t="e">
            <v>#VALUE!</v>
          </cell>
          <cell r="E200" t="e">
            <v>#VALUE!</v>
          </cell>
          <cell r="F200" t="e">
            <v>#VALUE!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</row>
        <row r="201">
          <cell r="A201" t="e">
            <v>#REF!</v>
          </cell>
          <cell r="B201">
            <v>197</v>
          </cell>
          <cell r="C201" t="e">
            <v>#REF!</v>
          </cell>
          <cell r="D201" t="e">
            <v>#VALUE!</v>
          </cell>
          <cell r="E201" t="e">
            <v>#VALUE!</v>
          </cell>
          <cell r="F201" t="e">
            <v>#VALUE!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</row>
        <row r="202">
          <cell r="A202" t="e">
            <v>#REF!</v>
          </cell>
          <cell r="B202">
            <v>198</v>
          </cell>
          <cell r="C202" t="e">
            <v>#REF!</v>
          </cell>
          <cell r="D202" t="e">
            <v>#VALUE!</v>
          </cell>
          <cell r="E202" t="e">
            <v>#VALUE!</v>
          </cell>
          <cell r="F202" t="e">
            <v>#VALUE!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</row>
        <row r="203">
          <cell r="A203" t="e">
            <v>#REF!</v>
          </cell>
          <cell r="B203">
            <v>199</v>
          </cell>
          <cell r="C203" t="e">
            <v>#REF!</v>
          </cell>
          <cell r="D203" t="e">
            <v>#VALUE!</v>
          </cell>
          <cell r="E203" t="e">
            <v>#VALUE!</v>
          </cell>
          <cell r="F203" t="e">
            <v>#VALUE!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</row>
        <row r="204">
          <cell r="A204" t="e">
            <v>#REF!</v>
          </cell>
          <cell r="B204">
            <v>200</v>
          </cell>
          <cell r="C204" t="e">
            <v>#REF!</v>
          </cell>
          <cell r="D204" t="e">
            <v>#VALUE!</v>
          </cell>
          <cell r="E204" t="e">
            <v>#VALUE!</v>
          </cell>
          <cell r="F204" t="e">
            <v>#VALUE!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</row>
        <row r="205">
          <cell r="A205" t="e">
            <v>#REF!</v>
          </cell>
          <cell r="B205">
            <v>201</v>
          </cell>
          <cell r="C205" t="e">
            <v>#REF!</v>
          </cell>
          <cell r="D205" t="e">
            <v>#VALUE!</v>
          </cell>
          <cell r="E205" t="e">
            <v>#VALUE!</v>
          </cell>
          <cell r="F205" t="e">
            <v>#VALUE!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</row>
        <row r="206">
          <cell r="A206" t="e">
            <v>#REF!</v>
          </cell>
          <cell r="B206">
            <v>202</v>
          </cell>
          <cell r="C206" t="e">
            <v>#REF!</v>
          </cell>
          <cell r="D206" t="e">
            <v>#VALUE!</v>
          </cell>
          <cell r="E206" t="e">
            <v>#VALUE!</v>
          </cell>
          <cell r="F206" t="e">
            <v>#VALUE!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</row>
        <row r="207">
          <cell r="A207" t="e">
            <v>#REF!</v>
          </cell>
          <cell r="B207">
            <v>203</v>
          </cell>
          <cell r="C207" t="e">
            <v>#REF!</v>
          </cell>
          <cell r="D207" t="e">
            <v>#VALUE!</v>
          </cell>
          <cell r="E207" t="e">
            <v>#VALUE!</v>
          </cell>
          <cell r="F207" t="e">
            <v>#VALUE!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</row>
        <row r="208">
          <cell r="A208" t="e">
            <v>#REF!</v>
          </cell>
          <cell r="B208">
            <v>204</v>
          </cell>
          <cell r="C208" t="e">
            <v>#REF!</v>
          </cell>
          <cell r="D208" t="e">
            <v>#VALUE!</v>
          </cell>
          <cell r="E208" t="e">
            <v>#VALUE!</v>
          </cell>
          <cell r="F208" t="e">
            <v>#VALUE!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</row>
        <row r="209">
          <cell r="A209" t="e">
            <v>#REF!</v>
          </cell>
          <cell r="B209">
            <v>205</v>
          </cell>
          <cell r="C209" t="e">
            <v>#REF!</v>
          </cell>
          <cell r="D209" t="e">
            <v>#VALUE!</v>
          </cell>
          <cell r="E209" t="e">
            <v>#VALUE!</v>
          </cell>
          <cell r="F209" t="e">
            <v>#VALUE!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</row>
        <row r="210">
          <cell r="A210" t="e">
            <v>#REF!</v>
          </cell>
          <cell r="B210">
            <v>206</v>
          </cell>
          <cell r="C210" t="e">
            <v>#REF!</v>
          </cell>
          <cell r="D210" t="e">
            <v>#VALUE!</v>
          </cell>
          <cell r="E210" t="e">
            <v>#VALUE!</v>
          </cell>
          <cell r="F210" t="e">
            <v>#VALUE!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</row>
        <row r="211">
          <cell r="A211" t="e">
            <v>#REF!</v>
          </cell>
          <cell r="B211">
            <v>207</v>
          </cell>
          <cell r="C211" t="e">
            <v>#REF!</v>
          </cell>
          <cell r="D211" t="e">
            <v>#VALUE!</v>
          </cell>
          <cell r="E211" t="e">
            <v>#VALUE!</v>
          </cell>
          <cell r="F211" t="e">
            <v>#VALUE!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</row>
        <row r="212">
          <cell r="A212" t="e">
            <v>#REF!</v>
          </cell>
          <cell r="B212">
            <v>208</v>
          </cell>
          <cell r="C212" t="e">
            <v>#REF!</v>
          </cell>
          <cell r="D212" t="e">
            <v>#VALUE!</v>
          </cell>
          <cell r="E212" t="e">
            <v>#VALUE!</v>
          </cell>
          <cell r="F212" t="e">
            <v>#VALUE!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</row>
        <row r="213">
          <cell r="A213" t="e">
            <v>#REF!</v>
          </cell>
          <cell r="B213">
            <v>209</v>
          </cell>
          <cell r="C213" t="e">
            <v>#REF!</v>
          </cell>
          <cell r="D213" t="e">
            <v>#VALUE!</v>
          </cell>
          <cell r="E213" t="e">
            <v>#VALUE!</v>
          </cell>
          <cell r="F213" t="e">
            <v>#VALUE!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</row>
        <row r="214">
          <cell r="A214" t="e">
            <v>#REF!</v>
          </cell>
          <cell r="B214">
            <v>210</v>
          </cell>
          <cell r="C214" t="e">
            <v>#REF!</v>
          </cell>
          <cell r="D214" t="e">
            <v>#VALUE!</v>
          </cell>
          <cell r="E214" t="e">
            <v>#VALUE!</v>
          </cell>
          <cell r="F214" t="e">
            <v>#VALUE!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</row>
        <row r="215">
          <cell r="A215" t="e">
            <v>#REF!</v>
          </cell>
          <cell r="B215">
            <v>211</v>
          </cell>
          <cell r="C215" t="e">
            <v>#REF!</v>
          </cell>
          <cell r="D215" t="e">
            <v>#VALUE!</v>
          </cell>
          <cell r="E215" t="e">
            <v>#VALUE!</v>
          </cell>
          <cell r="F215" t="e">
            <v>#VALUE!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</row>
        <row r="216">
          <cell r="A216" t="e">
            <v>#REF!</v>
          </cell>
          <cell r="B216">
            <v>212</v>
          </cell>
          <cell r="C216" t="e">
            <v>#REF!</v>
          </cell>
          <cell r="D216" t="e">
            <v>#VALUE!</v>
          </cell>
          <cell r="E216" t="e">
            <v>#VALUE!</v>
          </cell>
          <cell r="F216" t="e">
            <v>#VALUE!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</row>
        <row r="217">
          <cell r="A217" t="e">
            <v>#REF!</v>
          </cell>
          <cell r="B217">
            <v>213</v>
          </cell>
          <cell r="C217" t="e">
            <v>#REF!</v>
          </cell>
          <cell r="D217" t="e">
            <v>#VALUE!</v>
          </cell>
          <cell r="E217" t="e">
            <v>#VALUE!</v>
          </cell>
          <cell r="F217" t="e">
            <v>#VALUE!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</row>
        <row r="218">
          <cell r="A218" t="e">
            <v>#REF!</v>
          </cell>
          <cell r="B218">
            <v>214</v>
          </cell>
          <cell r="C218" t="e">
            <v>#REF!</v>
          </cell>
          <cell r="D218" t="e">
            <v>#VALUE!</v>
          </cell>
          <cell r="E218" t="e">
            <v>#VALUE!</v>
          </cell>
          <cell r="F218" t="e">
            <v>#VALUE!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</row>
        <row r="219">
          <cell r="A219" t="e">
            <v>#REF!</v>
          </cell>
          <cell r="B219">
            <v>215</v>
          </cell>
          <cell r="C219" t="e">
            <v>#REF!</v>
          </cell>
          <cell r="D219" t="e">
            <v>#VALUE!</v>
          </cell>
          <cell r="E219" t="e">
            <v>#VALUE!</v>
          </cell>
          <cell r="F219" t="e">
            <v>#VALUE!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</row>
        <row r="220">
          <cell r="A220" t="e">
            <v>#REF!</v>
          </cell>
          <cell r="B220">
            <v>216</v>
          </cell>
          <cell r="C220" t="e">
            <v>#REF!</v>
          </cell>
          <cell r="D220" t="e">
            <v>#VALUE!</v>
          </cell>
          <cell r="E220" t="e">
            <v>#VALUE!</v>
          </cell>
          <cell r="F220" t="e">
            <v>#VALUE!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</row>
        <row r="221">
          <cell r="A221" t="e">
            <v>#REF!</v>
          </cell>
          <cell r="B221">
            <v>217</v>
          </cell>
          <cell r="C221" t="e">
            <v>#REF!</v>
          </cell>
          <cell r="D221" t="e">
            <v>#VALUE!</v>
          </cell>
          <cell r="E221" t="e">
            <v>#VALUE!</v>
          </cell>
          <cell r="F221" t="e">
            <v>#VALUE!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</row>
        <row r="222">
          <cell r="A222" t="e">
            <v>#REF!</v>
          </cell>
          <cell r="B222">
            <v>218</v>
          </cell>
          <cell r="C222" t="e">
            <v>#REF!</v>
          </cell>
          <cell r="D222" t="e">
            <v>#VALUE!</v>
          </cell>
          <cell r="E222" t="e">
            <v>#VALUE!</v>
          </cell>
          <cell r="F222" t="e">
            <v>#VALUE!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</row>
        <row r="223">
          <cell r="A223" t="e">
            <v>#REF!</v>
          </cell>
          <cell r="B223">
            <v>219</v>
          </cell>
          <cell r="C223" t="e">
            <v>#REF!</v>
          </cell>
          <cell r="D223" t="e">
            <v>#VALUE!</v>
          </cell>
          <cell r="E223" t="e">
            <v>#VALUE!</v>
          </cell>
          <cell r="F223" t="e">
            <v>#VALUE!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</row>
        <row r="224">
          <cell r="A224" t="e">
            <v>#REF!</v>
          </cell>
          <cell r="B224">
            <v>220</v>
          </cell>
          <cell r="C224" t="e">
            <v>#REF!</v>
          </cell>
          <cell r="D224" t="e">
            <v>#VALUE!</v>
          </cell>
          <cell r="E224" t="e">
            <v>#VALUE!</v>
          </cell>
          <cell r="F224" t="e">
            <v>#VALUE!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</row>
        <row r="225">
          <cell r="A225" t="e">
            <v>#REF!</v>
          </cell>
          <cell r="B225">
            <v>221</v>
          </cell>
          <cell r="C225" t="e">
            <v>#REF!</v>
          </cell>
          <cell r="D225" t="e">
            <v>#VALUE!</v>
          </cell>
          <cell r="E225" t="e">
            <v>#VALUE!</v>
          </cell>
          <cell r="F225" t="e">
            <v>#VALUE!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</row>
        <row r="226">
          <cell r="A226" t="e">
            <v>#REF!</v>
          </cell>
          <cell r="B226">
            <v>222</v>
          </cell>
          <cell r="C226" t="e">
            <v>#REF!</v>
          </cell>
          <cell r="D226" t="e">
            <v>#VALUE!</v>
          </cell>
          <cell r="E226" t="e">
            <v>#VALUE!</v>
          </cell>
          <cell r="F226" t="e">
            <v>#VALUE!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</row>
        <row r="227">
          <cell r="A227" t="e">
            <v>#REF!</v>
          </cell>
          <cell r="B227">
            <v>223</v>
          </cell>
          <cell r="C227" t="e">
            <v>#REF!</v>
          </cell>
          <cell r="D227" t="e">
            <v>#VALUE!</v>
          </cell>
          <cell r="E227" t="e">
            <v>#VALUE!</v>
          </cell>
          <cell r="F227" t="e">
            <v>#VALUE!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</row>
        <row r="228">
          <cell r="A228" t="e">
            <v>#REF!</v>
          </cell>
          <cell r="B228">
            <v>224</v>
          </cell>
          <cell r="C228" t="e">
            <v>#REF!</v>
          </cell>
          <cell r="D228" t="e">
            <v>#VALUE!</v>
          </cell>
          <cell r="E228" t="e">
            <v>#VALUE!</v>
          </cell>
          <cell r="F228" t="e">
            <v>#VALUE!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</row>
        <row r="229">
          <cell r="A229" t="e">
            <v>#REF!</v>
          </cell>
          <cell r="B229">
            <v>225</v>
          </cell>
          <cell r="C229" t="e">
            <v>#REF!</v>
          </cell>
          <cell r="D229" t="e">
            <v>#VALUE!</v>
          </cell>
          <cell r="E229" t="e">
            <v>#VALUE!</v>
          </cell>
          <cell r="F229" t="e">
            <v>#VALUE!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</row>
        <row r="230">
          <cell r="A230" t="e">
            <v>#REF!</v>
          </cell>
          <cell r="B230">
            <v>226</v>
          </cell>
          <cell r="C230" t="e">
            <v>#REF!</v>
          </cell>
          <cell r="D230" t="e">
            <v>#VALUE!</v>
          </cell>
          <cell r="E230" t="e">
            <v>#VALUE!</v>
          </cell>
          <cell r="F230" t="e">
            <v>#VALUE!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</row>
        <row r="231">
          <cell r="A231" t="e">
            <v>#REF!</v>
          </cell>
          <cell r="B231">
            <v>227</v>
          </cell>
          <cell r="C231" t="e">
            <v>#REF!</v>
          </cell>
          <cell r="D231" t="e">
            <v>#VALUE!</v>
          </cell>
          <cell r="E231" t="e">
            <v>#VALUE!</v>
          </cell>
          <cell r="F231" t="e">
            <v>#VALUE!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</row>
        <row r="232">
          <cell r="A232" t="e">
            <v>#REF!</v>
          </cell>
          <cell r="B232">
            <v>228</v>
          </cell>
          <cell r="C232" t="e">
            <v>#REF!</v>
          </cell>
          <cell r="D232" t="e">
            <v>#VALUE!</v>
          </cell>
          <cell r="E232" t="e">
            <v>#VALUE!</v>
          </cell>
          <cell r="F232" t="e">
            <v>#VALUE!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</row>
        <row r="233">
          <cell r="A233" t="e">
            <v>#REF!</v>
          </cell>
          <cell r="B233">
            <v>229</v>
          </cell>
          <cell r="C233" t="e">
            <v>#REF!</v>
          </cell>
          <cell r="D233" t="e">
            <v>#VALUE!</v>
          </cell>
          <cell r="E233" t="e">
            <v>#VALUE!</v>
          </cell>
          <cell r="F233" t="e">
            <v>#VALUE!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</row>
        <row r="234">
          <cell r="A234" t="e">
            <v>#REF!</v>
          </cell>
          <cell r="B234">
            <v>230</v>
          </cell>
          <cell r="C234" t="e">
            <v>#REF!</v>
          </cell>
          <cell r="D234" t="e">
            <v>#VALUE!</v>
          </cell>
          <cell r="E234" t="e">
            <v>#VALUE!</v>
          </cell>
          <cell r="F234" t="e">
            <v>#VALUE!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</row>
        <row r="235">
          <cell r="A235" t="e">
            <v>#REF!</v>
          </cell>
          <cell r="B235">
            <v>231</v>
          </cell>
          <cell r="C235" t="e">
            <v>#REF!</v>
          </cell>
          <cell r="D235" t="e">
            <v>#VALUE!</v>
          </cell>
          <cell r="E235" t="e">
            <v>#VALUE!</v>
          </cell>
          <cell r="F235" t="e">
            <v>#VALUE!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</row>
        <row r="236">
          <cell r="A236" t="e">
            <v>#REF!</v>
          </cell>
          <cell r="B236">
            <v>232</v>
          </cell>
          <cell r="C236" t="e">
            <v>#REF!</v>
          </cell>
          <cell r="D236" t="e">
            <v>#VALUE!</v>
          </cell>
          <cell r="E236" t="e">
            <v>#VALUE!</v>
          </cell>
          <cell r="F236" t="e">
            <v>#VALUE!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</row>
        <row r="237">
          <cell r="A237" t="e">
            <v>#REF!</v>
          </cell>
          <cell r="B237">
            <v>233</v>
          </cell>
          <cell r="C237" t="e">
            <v>#REF!</v>
          </cell>
          <cell r="D237" t="e">
            <v>#VALUE!</v>
          </cell>
          <cell r="E237" t="e">
            <v>#VALUE!</v>
          </cell>
          <cell r="F237" t="e">
            <v>#VALUE!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</row>
        <row r="238">
          <cell r="A238" t="e">
            <v>#REF!</v>
          </cell>
          <cell r="B238">
            <v>234</v>
          </cell>
          <cell r="C238" t="e">
            <v>#REF!</v>
          </cell>
          <cell r="D238" t="e">
            <v>#VALUE!</v>
          </cell>
          <cell r="E238" t="e">
            <v>#VALUE!</v>
          </cell>
          <cell r="F238" t="e">
            <v>#VALUE!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</row>
        <row r="239">
          <cell r="A239" t="e">
            <v>#REF!</v>
          </cell>
          <cell r="B239">
            <v>235</v>
          </cell>
          <cell r="C239" t="e">
            <v>#REF!</v>
          </cell>
          <cell r="D239" t="e">
            <v>#VALUE!</v>
          </cell>
          <cell r="E239" t="e">
            <v>#VALUE!</v>
          </cell>
          <cell r="F239" t="e">
            <v>#VALUE!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</row>
        <row r="240">
          <cell r="A240" t="e">
            <v>#REF!</v>
          </cell>
          <cell r="B240">
            <v>236</v>
          </cell>
          <cell r="C240" t="e">
            <v>#REF!</v>
          </cell>
          <cell r="D240" t="e">
            <v>#VALUE!</v>
          </cell>
          <cell r="E240" t="e">
            <v>#VALUE!</v>
          </cell>
          <cell r="F240" t="e">
            <v>#VALUE!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</row>
        <row r="241">
          <cell r="A241" t="e">
            <v>#REF!</v>
          </cell>
          <cell r="B241">
            <v>237</v>
          </cell>
          <cell r="C241" t="e">
            <v>#REF!</v>
          </cell>
          <cell r="D241" t="e">
            <v>#VALUE!</v>
          </cell>
          <cell r="E241" t="e">
            <v>#VALUE!</v>
          </cell>
          <cell r="F241" t="e">
            <v>#VALUE!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</row>
        <row r="242">
          <cell r="A242" t="e">
            <v>#REF!</v>
          </cell>
          <cell r="B242">
            <v>238</v>
          </cell>
          <cell r="C242" t="e">
            <v>#REF!</v>
          </cell>
          <cell r="D242" t="e">
            <v>#VALUE!</v>
          </cell>
          <cell r="E242" t="e">
            <v>#VALUE!</v>
          </cell>
          <cell r="F242" t="e">
            <v>#VALUE!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</row>
        <row r="243">
          <cell r="A243" t="e">
            <v>#REF!</v>
          </cell>
          <cell r="B243">
            <v>239</v>
          </cell>
          <cell r="C243" t="e">
            <v>#REF!</v>
          </cell>
          <cell r="D243" t="e">
            <v>#VALUE!</v>
          </cell>
          <cell r="E243" t="e">
            <v>#VALUE!</v>
          </cell>
          <cell r="F243" t="e">
            <v>#VALUE!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</row>
        <row r="244">
          <cell r="A244" t="e">
            <v>#REF!</v>
          </cell>
          <cell r="B244">
            <v>240</v>
          </cell>
          <cell r="C244" t="e">
            <v>#REF!</v>
          </cell>
          <cell r="D244" t="e">
            <v>#VALUE!</v>
          </cell>
          <cell r="E244" t="e">
            <v>#VALUE!</v>
          </cell>
          <cell r="F244" t="e">
            <v>#VALUE!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</row>
        <row r="245">
          <cell r="A245" t="e">
            <v>#REF!</v>
          </cell>
          <cell r="B245">
            <v>241</v>
          </cell>
          <cell r="C245" t="e">
            <v>#REF!</v>
          </cell>
          <cell r="D245" t="e">
            <v>#VALUE!</v>
          </cell>
          <cell r="E245" t="e">
            <v>#VALUE!</v>
          </cell>
          <cell r="F245" t="e">
            <v>#VALUE!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</row>
        <row r="246">
          <cell r="A246" t="e">
            <v>#REF!</v>
          </cell>
          <cell r="B246">
            <v>242</v>
          </cell>
          <cell r="C246" t="e">
            <v>#REF!</v>
          </cell>
          <cell r="D246" t="e">
            <v>#VALUE!</v>
          </cell>
          <cell r="E246" t="e">
            <v>#VALUE!</v>
          </cell>
          <cell r="F246" t="e">
            <v>#VALUE!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</row>
        <row r="247">
          <cell r="A247" t="e">
            <v>#REF!</v>
          </cell>
          <cell r="B247">
            <v>243</v>
          </cell>
          <cell r="C247" t="e">
            <v>#REF!</v>
          </cell>
          <cell r="D247" t="e">
            <v>#VALUE!</v>
          </cell>
          <cell r="E247" t="e">
            <v>#VALUE!</v>
          </cell>
          <cell r="F247" t="e">
            <v>#VALUE!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</row>
        <row r="248">
          <cell r="A248" t="e">
            <v>#REF!</v>
          </cell>
          <cell r="B248">
            <v>244</v>
          </cell>
          <cell r="C248" t="e">
            <v>#REF!</v>
          </cell>
          <cell r="D248" t="e">
            <v>#VALUE!</v>
          </cell>
          <cell r="E248" t="e">
            <v>#VALUE!</v>
          </cell>
          <cell r="F248" t="e">
            <v>#VALUE!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</row>
        <row r="249">
          <cell r="A249" t="e">
            <v>#REF!</v>
          </cell>
          <cell r="B249">
            <v>245</v>
          </cell>
          <cell r="C249" t="e">
            <v>#REF!</v>
          </cell>
          <cell r="D249" t="e">
            <v>#VALUE!</v>
          </cell>
          <cell r="E249" t="e">
            <v>#VALUE!</v>
          </cell>
          <cell r="F249" t="e">
            <v>#VALUE!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</row>
        <row r="250">
          <cell r="A250" t="e">
            <v>#REF!</v>
          </cell>
          <cell r="B250">
            <v>246</v>
          </cell>
          <cell r="C250" t="e">
            <v>#REF!</v>
          </cell>
          <cell r="D250" t="e">
            <v>#VALUE!</v>
          </cell>
          <cell r="E250" t="e">
            <v>#VALUE!</v>
          </cell>
          <cell r="F250" t="e">
            <v>#VALUE!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</row>
        <row r="251">
          <cell r="A251" t="e">
            <v>#REF!</v>
          </cell>
          <cell r="B251">
            <v>247</v>
          </cell>
          <cell r="C251" t="e">
            <v>#REF!</v>
          </cell>
          <cell r="D251" t="e">
            <v>#VALUE!</v>
          </cell>
          <cell r="E251" t="e">
            <v>#VALUE!</v>
          </cell>
          <cell r="F251" t="e">
            <v>#VALUE!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</row>
        <row r="252">
          <cell r="A252" t="e">
            <v>#REF!</v>
          </cell>
          <cell r="B252">
            <v>248</v>
          </cell>
          <cell r="C252" t="e">
            <v>#REF!</v>
          </cell>
          <cell r="D252" t="e">
            <v>#VALUE!</v>
          </cell>
          <cell r="E252" t="e">
            <v>#VALUE!</v>
          </cell>
          <cell r="F252" t="e">
            <v>#VALUE!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</row>
        <row r="253">
          <cell r="A253" t="e">
            <v>#REF!</v>
          </cell>
          <cell r="B253">
            <v>249</v>
          </cell>
          <cell r="C253" t="e">
            <v>#REF!</v>
          </cell>
          <cell r="D253" t="e">
            <v>#VALUE!</v>
          </cell>
          <cell r="E253" t="e">
            <v>#VALUE!</v>
          </cell>
          <cell r="F253" t="e">
            <v>#VALUE!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</row>
        <row r="254">
          <cell r="A254" t="e">
            <v>#REF!</v>
          </cell>
          <cell r="B254">
            <v>250</v>
          </cell>
          <cell r="C254" t="e">
            <v>#REF!</v>
          </cell>
          <cell r="D254" t="e">
            <v>#VALUE!</v>
          </cell>
          <cell r="E254" t="e">
            <v>#VALUE!</v>
          </cell>
          <cell r="F254" t="e">
            <v>#VALUE!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</row>
        <row r="255">
          <cell r="A255" t="e">
            <v>#REF!</v>
          </cell>
          <cell r="B255">
            <v>251</v>
          </cell>
          <cell r="C255" t="e">
            <v>#REF!</v>
          </cell>
          <cell r="D255" t="e">
            <v>#VALUE!</v>
          </cell>
          <cell r="E255" t="e">
            <v>#VALUE!</v>
          </cell>
          <cell r="F255" t="e">
            <v>#VALUE!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</row>
        <row r="256">
          <cell r="A256" t="e">
            <v>#REF!</v>
          </cell>
          <cell r="B256">
            <v>252</v>
          </cell>
          <cell r="C256" t="e">
            <v>#REF!</v>
          </cell>
          <cell r="D256" t="e">
            <v>#VALUE!</v>
          </cell>
          <cell r="E256" t="e">
            <v>#VALUE!</v>
          </cell>
          <cell r="F256" t="e">
            <v>#VALUE!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</row>
        <row r="257">
          <cell r="A257" t="e">
            <v>#REF!</v>
          </cell>
          <cell r="B257">
            <v>253</v>
          </cell>
          <cell r="C257" t="e">
            <v>#REF!</v>
          </cell>
          <cell r="D257" t="e">
            <v>#VALUE!</v>
          </cell>
          <cell r="E257" t="e">
            <v>#VALUE!</v>
          </cell>
          <cell r="F257" t="e">
            <v>#VALUE!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</row>
        <row r="258">
          <cell r="A258" t="e">
            <v>#REF!</v>
          </cell>
          <cell r="B258">
            <v>254</v>
          </cell>
          <cell r="C258" t="e">
            <v>#REF!</v>
          </cell>
          <cell r="D258" t="e">
            <v>#VALUE!</v>
          </cell>
          <cell r="E258" t="e">
            <v>#VALUE!</v>
          </cell>
          <cell r="F258" t="e">
            <v>#VALUE!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</row>
        <row r="259">
          <cell r="A259" t="e">
            <v>#REF!</v>
          </cell>
          <cell r="B259">
            <v>255</v>
          </cell>
          <cell r="C259" t="e">
            <v>#REF!</v>
          </cell>
          <cell r="D259" t="e">
            <v>#VALUE!</v>
          </cell>
          <cell r="E259" t="e">
            <v>#VALUE!</v>
          </cell>
          <cell r="F259" t="e">
            <v>#VALUE!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</row>
        <row r="260">
          <cell r="A260" t="e">
            <v>#REF!</v>
          </cell>
          <cell r="B260">
            <v>256</v>
          </cell>
          <cell r="C260" t="e">
            <v>#REF!</v>
          </cell>
          <cell r="D260" t="e">
            <v>#VALUE!</v>
          </cell>
          <cell r="E260" t="e">
            <v>#VALUE!</v>
          </cell>
          <cell r="F260" t="e">
            <v>#VALUE!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</row>
        <row r="261">
          <cell r="A261" t="e">
            <v>#REF!</v>
          </cell>
          <cell r="B261">
            <v>257</v>
          </cell>
          <cell r="C261" t="e">
            <v>#REF!</v>
          </cell>
          <cell r="D261" t="e">
            <v>#VALUE!</v>
          </cell>
          <cell r="E261" t="e">
            <v>#VALUE!</v>
          </cell>
          <cell r="F261" t="e">
            <v>#VALUE!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</row>
        <row r="262">
          <cell r="A262" t="e">
            <v>#REF!</v>
          </cell>
          <cell r="B262">
            <v>258</v>
          </cell>
          <cell r="C262" t="e">
            <v>#REF!</v>
          </cell>
          <cell r="D262" t="e">
            <v>#VALUE!</v>
          </cell>
          <cell r="E262" t="e">
            <v>#VALUE!</v>
          </cell>
          <cell r="F262" t="e">
            <v>#VALUE!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</row>
        <row r="263">
          <cell r="A263" t="e">
            <v>#REF!</v>
          </cell>
          <cell r="B263">
            <v>259</v>
          </cell>
          <cell r="C263" t="e">
            <v>#REF!</v>
          </cell>
          <cell r="D263" t="e">
            <v>#VALUE!</v>
          </cell>
          <cell r="E263" t="e">
            <v>#VALUE!</v>
          </cell>
          <cell r="F263" t="e">
            <v>#VALUE!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</row>
        <row r="264">
          <cell r="A264" t="e">
            <v>#REF!</v>
          </cell>
          <cell r="B264">
            <v>260</v>
          </cell>
          <cell r="C264" t="e">
            <v>#REF!</v>
          </cell>
          <cell r="D264" t="e">
            <v>#VALUE!</v>
          </cell>
          <cell r="E264" t="e">
            <v>#VALUE!</v>
          </cell>
          <cell r="F264" t="e">
            <v>#VALUE!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</row>
        <row r="265">
          <cell r="A265" t="e">
            <v>#REF!</v>
          </cell>
          <cell r="B265">
            <v>261</v>
          </cell>
          <cell r="C265" t="e">
            <v>#REF!</v>
          </cell>
          <cell r="D265" t="e">
            <v>#VALUE!</v>
          </cell>
          <cell r="E265" t="e">
            <v>#VALUE!</v>
          </cell>
          <cell r="F265" t="e">
            <v>#VALUE!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</row>
        <row r="266">
          <cell r="A266" t="e">
            <v>#REF!</v>
          </cell>
          <cell r="B266">
            <v>262</v>
          </cell>
          <cell r="C266" t="e">
            <v>#REF!</v>
          </cell>
          <cell r="D266" t="e">
            <v>#VALUE!</v>
          </cell>
          <cell r="E266" t="e">
            <v>#VALUE!</v>
          </cell>
          <cell r="F266" t="e">
            <v>#VALUE!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</row>
        <row r="267">
          <cell r="A267" t="e">
            <v>#REF!</v>
          </cell>
          <cell r="B267">
            <v>263</v>
          </cell>
          <cell r="C267" t="e">
            <v>#REF!</v>
          </cell>
          <cell r="D267" t="e">
            <v>#VALUE!</v>
          </cell>
          <cell r="E267" t="e">
            <v>#VALUE!</v>
          </cell>
          <cell r="F267" t="e">
            <v>#VALUE!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</row>
        <row r="268">
          <cell r="A268" t="e">
            <v>#REF!</v>
          </cell>
          <cell r="B268">
            <v>264</v>
          </cell>
          <cell r="C268" t="e">
            <v>#REF!</v>
          </cell>
          <cell r="D268" t="e">
            <v>#VALUE!</v>
          </cell>
          <cell r="E268" t="e">
            <v>#VALUE!</v>
          </cell>
          <cell r="F268" t="e">
            <v>#VALUE!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</row>
        <row r="269">
          <cell r="A269" t="e">
            <v>#REF!</v>
          </cell>
          <cell r="B269">
            <v>265</v>
          </cell>
          <cell r="C269" t="e">
            <v>#REF!</v>
          </cell>
          <cell r="D269" t="e">
            <v>#VALUE!</v>
          </cell>
          <cell r="E269" t="e">
            <v>#VALUE!</v>
          </cell>
          <cell r="F269" t="e">
            <v>#VALUE!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</row>
        <row r="270">
          <cell r="A270" t="e">
            <v>#REF!</v>
          </cell>
          <cell r="B270">
            <v>266</v>
          </cell>
          <cell r="C270" t="e">
            <v>#REF!</v>
          </cell>
          <cell r="D270" t="e">
            <v>#VALUE!</v>
          </cell>
          <cell r="E270" t="e">
            <v>#VALUE!</v>
          </cell>
          <cell r="F270" t="e">
            <v>#VALUE!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  <cell r="N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</row>
        <row r="271">
          <cell r="A271" t="e">
            <v>#REF!</v>
          </cell>
          <cell r="B271">
            <v>267</v>
          </cell>
          <cell r="C271" t="e">
            <v>#REF!</v>
          </cell>
          <cell r="D271" t="e">
            <v>#VALUE!</v>
          </cell>
          <cell r="E271" t="e">
            <v>#VALUE!</v>
          </cell>
          <cell r="F271" t="e">
            <v>#VALUE!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  <cell r="N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</row>
        <row r="272">
          <cell r="A272" t="e">
            <v>#REF!</v>
          </cell>
          <cell r="B272">
            <v>268</v>
          </cell>
          <cell r="C272" t="e">
            <v>#REF!</v>
          </cell>
          <cell r="D272" t="e">
            <v>#VALUE!</v>
          </cell>
          <cell r="E272" t="e">
            <v>#VALUE!</v>
          </cell>
          <cell r="F272" t="e">
            <v>#VALUE!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</row>
        <row r="273">
          <cell r="A273" t="e">
            <v>#REF!</v>
          </cell>
          <cell r="B273">
            <v>269</v>
          </cell>
          <cell r="C273" t="e">
            <v>#REF!</v>
          </cell>
          <cell r="D273" t="e">
            <v>#VALUE!</v>
          </cell>
          <cell r="E273" t="e">
            <v>#VALUE!</v>
          </cell>
          <cell r="F273" t="e">
            <v>#VALUE!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</row>
        <row r="274">
          <cell r="A274" t="e">
            <v>#REF!</v>
          </cell>
          <cell r="B274">
            <v>270</v>
          </cell>
          <cell r="C274" t="e">
            <v>#REF!</v>
          </cell>
          <cell r="D274" t="e">
            <v>#VALUE!</v>
          </cell>
          <cell r="E274" t="e">
            <v>#VALUE!</v>
          </cell>
          <cell r="F274" t="e">
            <v>#VALUE!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</row>
        <row r="275">
          <cell r="A275" t="e">
            <v>#REF!</v>
          </cell>
          <cell r="B275">
            <v>271</v>
          </cell>
          <cell r="C275" t="e">
            <v>#REF!</v>
          </cell>
          <cell r="D275" t="e">
            <v>#VALUE!</v>
          </cell>
          <cell r="E275" t="e">
            <v>#VALUE!</v>
          </cell>
          <cell r="F275" t="e">
            <v>#VALUE!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  <cell r="N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</row>
        <row r="276">
          <cell r="A276" t="e">
            <v>#REF!</v>
          </cell>
          <cell r="B276">
            <v>272</v>
          </cell>
          <cell r="C276" t="e">
            <v>#REF!</v>
          </cell>
          <cell r="D276" t="e">
            <v>#VALUE!</v>
          </cell>
          <cell r="E276" t="e">
            <v>#VALUE!</v>
          </cell>
          <cell r="F276" t="e">
            <v>#VALUE!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  <cell r="N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</row>
        <row r="277">
          <cell r="A277" t="e">
            <v>#REF!</v>
          </cell>
          <cell r="B277">
            <v>273</v>
          </cell>
          <cell r="C277" t="e">
            <v>#REF!</v>
          </cell>
          <cell r="D277" t="e">
            <v>#VALUE!</v>
          </cell>
          <cell r="E277" t="e">
            <v>#VALUE!</v>
          </cell>
          <cell r="F277" t="e">
            <v>#VALUE!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  <cell r="N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</row>
        <row r="278">
          <cell r="A278" t="e">
            <v>#REF!</v>
          </cell>
          <cell r="B278">
            <v>274</v>
          </cell>
          <cell r="C278" t="e">
            <v>#REF!</v>
          </cell>
          <cell r="D278" t="e">
            <v>#VALUE!</v>
          </cell>
          <cell r="E278" t="e">
            <v>#VALUE!</v>
          </cell>
          <cell r="F278" t="e">
            <v>#VALUE!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</row>
        <row r="279">
          <cell r="A279" t="e">
            <v>#REF!</v>
          </cell>
          <cell r="B279">
            <v>275</v>
          </cell>
          <cell r="C279" t="e">
            <v>#REF!</v>
          </cell>
          <cell r="D279" t="e">
            <v>#VALUE!</v>
          </cell>
          <cell r="E279" t="e">
            <v>#VALUE!</v>
          </cell>
          <cell r="F279" t="e">
            <v>#VALUE!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  <cell r="N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</row>
        <row r="280">
          <cell r="A280" t="e">
            <v>#REF!</v>
          </cell>
          <cell r="B280">
            <v>276</v>
          </cell>
          <cell r="C280" t="e">
            <v>#REF!</v>
          </cell>
          <cell r="D280" t="e">
            <v>#VALUE!</v>
          </cell>
          <cell r="E280" t="e">
            <v>#VALUE!</v>
          </cell>
          <cell r="F280" t="e">
            <v>#VALUE!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  <cell r="N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</row>
        <row r="281">
          <cell r="A281" t="e">
            <v>#REF!</v>
          </cell>
          <cell r="B281">
            <v>277</v>
          </cell>
          <cell r="C281" t="e">
            <v>#REF!</v>
          </cell>
          <cell r="D281" t="e">
            <v>#VALUE!</v>
          </cell>
          <cell r="E281" t="e">
            <v>#VALUE!</v>
          </cell>
          <cell r="F281" t="e">
            <v>#VALUE!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</row>
        <row r="282">
          <cell r="A282" t="e">
            <v>#REF!</v>
          </cell>
          <cell r="B282">
            <v>278</v>
          </cell>
          <cell r="C282" t="e">
            <v>#REF!</v>
          </cell>
          <cell r="D282" t="e">
            <v>#VALUE!</v>
          </cell>
          <cell r="E282" t="e">
            <v>#VALUE!</v>
          </cell>
          <cell r="F282" t="e">
            <v>#VALUE!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  <cell r="N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</row>
        <row r="283">
          <cell r="A283" t="e">
            <v>#REF!</v>
          </cell>
          <cell r="B283">
            <v>279</v>
          </cell>
          <cell r="C283" t="e">
            <v>#REF!</v>
          </cell>
          <cell r="D283" t="e">
            <v>#VALUE!</v>
          </cell>
          <cell r="E283" t="e">
            <v>#VALUE!</v>
          </cell>
          <cell r="F283" t="e">
            <v>#VALUE!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  <cell r="N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</row>
        <row r="284">
          <cell r="A284" t="e">
            <v>#REF!</v>
          </cell>
          <cell r="B284">
            <v>280</v>
          </cell>
          <cell r="C284" t="e">
            <v>#REF!</v>
          </cell>
          <cell r="D284" t="e">
            <v>#VALUE!</v>
          </cell>
          <cell r="E284" t="e">
            <v>#VALUE!</v>
          </cell>
          <cell r="F284" t="e">
            <v>#VALUE!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</row>
        <row r="285">
          <cell r="A285" t="e">
            <v>#REF!</v>
          </cell>
          <cell r="B285">
            <v>281</v>
          </cell>
          <cell r="C285" t="e">
            <v>#REF!</v>
          </cell>
          <cell r="D285" t="e">
            <v>#VALUE!</v>
          </cell>
          <cell r="E285" t="e">
            <v>#VALUE!</v>
          </cell>
          <cell r="F285" t="e">
            <v>#VALUE!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  <cell r="N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</row>
        <row r="286">
          <cell r="A286" t="e">
            <v>#REF!</v>
          </cell>
          <cell r="B286">
            <v>282</v>
          </cell>
          <cell r="C286" t="e">
            <v>#REF!</v>
          </cell>
          <cell r="D286" t="e">
            <v>#VALUE!</v>
          </cell>
          <cell r="E286" t="e">
            <v>#VALUE!</v>
          </cell>
          <cell r="F286" t="e">
            <v>#VALUE!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  <cell r="N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</row>
        <row r="287">
          <cell r="A287" t="e">
            <v>#REF!</v>
          </cell>
          <cell r="B287">
            <v>283</v>
          </cell>
          <cell r="C287" t="e">
            <v>#REF!</v>
          </cell>
          <cell r="D287" t="e">
            <v>#VALUE!</v>
          </cell>
          <cell r="E287" t="e">
            <v>#VALUE!</v>
          </cell>
          <cell r="F287" t="e">
            <v>#VALUE!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  <cell r="N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</row>
        <row r="288">
          <cell r="A288" t="e">
            <v>#REF!</v>
          </cell>
          <cell r="B288">
            <v>284</v>
          </cell>
          <cell r="C288" t="e">
            <v>#REF!</v>
          </cell>
          <cell r="D288" t="e">
            <v>#VALUE!</v>
          </cell>
          <cell r="E288" t="e">
            <v>#VALUE!</v>
          </cell>
          <cell r="F288" t="e">
            <v>#VALUE!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  <cell r="N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</row>
        <row r="289">
          <cell r="A289" t="e">
            <v>#REF!</v>
          </cell>
          <cell r="B289">
            <v>285</v>
          </cell>
          <cell r="C289" t="e">
            <v>#REF!</v>
          </cell>
          <cell r="D289" t="e">
            <v>#VALUE!</v>
          </cell>
          <cell r="E289" t="e">
            <v>#VALUE!</v>
          </cell>
          <cell r="F289" t="e">
            <v>#VALUE!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  <cell r="N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</row>
        <row r="290">
          <cell r="A290" t="e">
            <v>#REF!</v>
          </cell>
          <cell r="B290">
            <v>286</v>
          </cell>
          <cell r="C290" t="e">
            <v>#REF!</v>
          </cell>
          <cell r="D290" t="e">
            <v>#VALUE!</v>
          </cell>
          <cell r="E290" t="e">
            <v>#VALUE!</v>
          </cell>
          <cell r="F290" t="e">
            <v>#VALUE!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  <cell r="N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</row>
        <row r="291">
          <cell r="A291" t="e">
            <v>#REF!</v>
          </cell>
          <cell r="B291">
            <v>287</v>
          </cell>
          <cell r="C291" t="e">
            <v>#REF!</v>
          </cell>
          <cell r="D291" t="e">
            <v>#VALUE!</v>
          </cell>
          <cell r="E291" t="e">
            <v>#VALUE!</v>
          </cell>
          <cell r="F291" t="e">
            <v>#VALUE!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</row>
        <row r="292">
          <cell r="A292" t="e">
            <v>#REF!</v>
          </cell>
          <cell r="B292">
            <v>288</v>
          </cell>
          <cell r="C292" t="e">
            <v>#REF!</v>
          </cell>
          <cell r="D292" t="e">
            <v>#VALUE!</v>
          </cell>
          <cell r="E292" t="e">
            <v>#VALUE!</v>
          </cell>
          <cell r="F292" t="e">
            <v>#VALUE!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</row>
        <row r="293">
          <cell r="A293" t="e">
            <v>#REF!</v>
          </cell>
          <cell r="B293">
            <v>289</v>
          </cell>
          <cell r="C293" t="e">
            <v>#REF!</v>
          </cell>
          <cell r="D293" t="e">
            <v>#VALUE!</v>
          </cell>
          <cell r="E293" t="e">
            <v>#VALUE!</v>
          </cell>
          <cell r="F293" t="e">
            <v>#VALUE!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</row>
        <row r="294">
          <cell r="A294" t="e">
            <v>#REF!</v>
          </cell>
          <cell r="B294">
            <v>290</v>
          </cell>
          <cell r="C294" t="e">
            <v>#REF!</v>
          </cell>
          <cell r="D294" t="e">
            <v>#VALUE!</v>
          </cell>
          <cell r="E294" t="e">
            <v>#VALUE!</v>
          </cell>
          <cell r="F294" t="e">
            <v>#VALUE!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</row>
        <row r="295">
          <cell r="A295" t="e">
            <v>#REF!</v>
          </cell>
          <cell r="B295">
            <v>291</v>
          </cell>
          <cell r="C295" t="e">
            <v>#REF!</v>
          </cell>
          <cell r="D295" t="e">
            <v>#VALUE!</v>
          </cell>
          <cell r="E295" t="e">
            <v>#VALUE!</v>
          </cell>
          <cell r="F295" t="e">
            <v>#VALUE!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</row>
        <row r="296">
          <cell r="A296" t="e">
            <v>#REF!</v>
          </cell>
          <cell r="B296">
            <v>292</v>
          </cell>
          <cell r="C296" t="e">
            <v>#REF!</v>
          </cell>
          <cell r="D296" t="e">
            <v>#VALUE!</v>
          </cell>
          <cell r="E296" t="e">
            <v>#VALUE!</v>
          </cell>
          <cell r="F296" t="e">
            <v>#VALUE!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</row>
        <row r="297">
          <cell r="A297" t="e">
            <v>#REF!</v>
          </cell>
          <cell r="B297">
            <v>293</v>
          </cell>
          <cell r="C297" t="e">
            <v>#REF!</v>
          </cell>
          <cell r="D297" t="e">
            <v>#VALUE!</v>
          </cell>
          <cell r="E297" t="e">
            <v>#VALUE!</v>
          </cell>
          <cell r="F297" t="e">
            <v>#VALUE!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</row>
        <row r="298">
          <cell r="A298" t="e">
            <v>#REF!</v>
          </cell>
          <cell r="B298">
            <v>294</v>
          </cell>
          <cell r="C298" t="e">
            <v>#REF!</v>
          </cell>
          <cell r="D298" t="e">
            <v>#VALUE!</v>
          </cell>
          <cell r="E298" t="e">
            <v>#VALUE!</v>
          </cell>
          <cell r="F298" t="e">
            <v>#VALUE!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</row>
        <row r="299">
          <cell r="A299" t="e">
            <v>#REF!</v>
          </cell>
          <cell r="B299">
            <v>295</v>
          </cell>
          <cell r="C299" t="e">
            <v>#REF!</v>
          </cell>
          <cell r="D299" t="e">
            <v>#VALUE!</v>
          </cell>
          <cell r="E299" t="e">
            <v>#VALUE!</v>
          </cell>
          <cell r="F299" t="e">
            <v>#VALUE!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</row>
        <row r="300">
          <cell r="A300" t="e">
            <v>#REF!</v>
          </cell>
          <cell r="B300">
            <v>296</v>
          </cell>
          <cell r="C300" t="e">
            <v>#REF!</v>
          </cell>
          <cell r="D300" t="e">
            <v>#VALUE!</v>
          </cell>
          <cell r="E300" t="e">
            <v>#VALUE!</v>
          </cell>
          <cell r="F300" t="e">
            <v>#VALUE!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</row>
        <row r="301">
          <cell r="A301" t="e">
            <v>#REF!</v>
          </cell>
          <cell r="B301">
            <v>297</v>
          </cell>
          <cell r="C301" t="e">
            <v>#REF!</v>
          </cell>
          <cell r="D301" t="e">
            <v>#VALUE!</v>
          </cell>
          <cell r="E301" t="e">
            <v>#VALUE!</v>
          </cell>
          <cell r="F301" t="e">
            <v>#VALUE!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</row>
        <row r="302">
          <cell r="A302" t="e">
            <v>#REF!</v>
          </cell>
          <cell r="B302">
            <v>298</v>
          </cell>
          <cell r="C302" t="e">
            <v>#REF!</v>
          </cell>
          <cell r="D302" t="e">
            <v>#VALUE!</v>
          </cell>
          <cell r="E302" t="e">
            <v>#VALUE!</v>
          </cell>
          <cell r="F302" t="e">
            <v>#VALUE!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</row>
        <row r="303">
          <cell r="A303" t="e">
            <v>#REF!</v>
          </cell>
          <cell r="B303">
            <v>299</v>
          </cell>
          <cell r="C303" t="e">
            <v>#REF!</v>
          </cell>
          <cell r="D303" t="e">
            <v>#VALUE!</v>
          </cell>
          <cell r="E303" t="e">
            <v>#VALUE!</v>
          </cell>
          <cell r="F303" t="e">
            <v>#VALUE!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</row>
        <row r="304">
          <cell r="A304" t="e">
            <v>#REF!</v>
          </cell>
          <cell r="B304">
            <v>300</v>
          </cell>
          <cell r="C304" t="e">
            <v>#REF!</v>
          </cell>
          <cell r="D304" t="e">
            <v>#VALUE!</v>
          </cell>
          <cell r="E304" t="e">
            <v>#VALUE!</v>
          </cell>
          <cell r="F304" t="e">
            <v>#VALUE!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</row>
        <row r="305">
          <cell r="A305" t="e">
            <v>#REF!</v>
          </cell>
          <cell r="B305">
            <v>301</v>
          </cell>
          <cell r="C305" t="e">
            <v>#REF!</v>
          </cell>
          <cell r="D305" t="e">
            <v>#VALUE!</v>
          </cell>
          <cell r="E305" t="e">
            <v>#VALUE!</v>
          </cell>
          <cell r="F305" t="e">
            <v>#VALUE!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</row>
        <row r="306">
          <cell r="A306" t="e">
            <v>#REF!</v>
          </cell>
          <cell r="B306">
            <v>302</v>
          </cell>
          <cell r="C306" t="e">
            <v>#REF!</v>
          </cell>
          <cell r="D306" t="e">
            <v>#VALUE!</v>
          </cell>
          <cell r="E306" t="e">
            <v>#VALUE!</v>
          </cell>
          <cell r="F306" t="e">
            <v>#VALUE!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</row>
        <row r="307">
          <cell r="A307" t="e">
            <v>#REF!</v>
          </cell>
          <cell r="B307">
            <v>303</v>
          </cell>
          <cell r="C307" t="e">
            <v>#REF!</v>
          </cell>
          <cell r="D307" t="e">
            <v>#VALUE!</v>
          </cell>
          <cell r="E307" t="e">
            <v>#VALUE!</v>
          </cell>
          <cell r="F307" t="e">
            <v>#VALUE!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</row>
        <row r="308">
          <cell r="A308" t="e">
            <v>#REF!</v>
          </cell>
          <cell r="B308">
            <v>304</v>
          </cell>
          <cell r="C308" t="e">
            <v>#REF!</v>
          </cell>
          <cell r="D308" t="e">
            <v>#VALUE!</v>
          </cell>
          <cell r="E308" t="e">
            <v>#VALUE!</v>
          </cell>
          <cell r="F308" t="e">
            <v>#VALUE!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</row>
        <row r="309">
          <cell r="A309" t="e">
            <v>#REF!</v>
          </cell>
          <cell r="B309">
            <v>305</v>
          </cell>
          <cell r="C309" t="e">
            <v>#REF!</v>
          </cell>
          <cell r="D309" t="e">
            <v>#VALUE!</v>
          </cell>
          <cell r="E309" t="e">
            <v>#VALUE!</v>
          </cell>
          <cell r="F309" t="e">
            <v>#VALUE!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</row>
        <row r="310">
          <cell r="A310" t="e">
            <v>#REF!</v>
          </cell>
          <cell r="B310">
            <v>306</v>
          </cell>
          <cell r="C310" t="e">
            <v>#REF!</v>
          </cell>
          <cell r="D310" t="e">
            <v>#VALUE!</v>
          </cell>
          <cell r="E310" t="e">
            <v>#VALUE!</v>
          </cell>
          <cell r="F310" t="e">
            <v>#VALUE!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</row>
        <row r="311">
          <cell r="A311" t="e">
            <v>#REF!</v>
          </cell>
          <cell r="B311">
            <v>307</v>
          </cell>
          <cell r="C311" t="e">
            <v>#REF!</v>
          </cell>
          <cell r="D311" t="e">
            <v>#VALUE!</v>
          </cell>
          <cell r="E311" t="e">
            <v>#VALUE!</v>
          </cell>
          <cell r="F311" t="e">
            <v>#VALUE!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</row>
        <row r="312">
          <cell r="A312" t="e">
            <v>#REF!</v>
          </cell>
          <cell r="B312">
            <v>308</v>
          </cell>
          <cell r="C312" t="e">
            <v>#REF!</v>
          </cell>
          <cell r="D312" t="e">
            <v>#VALUE!</v>
          </cell>
          <cell r="E312" t="e">
            <v>#VALUE!</v>
          </cell>
          <cell r="F312" t="e">
            <v>#VALUE!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</row>
        <row r="313">
          <cell r="A313" t="e">
            <v>#REF!</v>
          </cell>
          <cell r="B313">
            <v>309</v>
          </cell>
          <cell r="C313" t="e">
            <v>#REF!</v>
          </cell>
          <cell r="D313" t="e">
            <v>#VALUE!</v>
          </cell>
          <cell r="E313" t="e">
            <v>#VALUE!</v>
          </cell>
          <cell r="F313" t="e">
            <v>#VALUE!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</row>
        <row r="314">
          <cell r="A314" t="e">
            <v>#REF!</v>
          </cell>
          <cell r="B314">
            <v>310</v>
          </cell>
          <cell r="C314" t="e">
            <v>#REF!</v>
          </cell>
          <cell r="D314" t="e">
            <v>#VALUE!</v>
          </cell>
          <cell r="E314" t="e">
            <v>#VALUE!</v>
          </cell>
          <cell r="F314" t="e">
            <v>#VALUE!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</row>
        <row r="315">
          <cell r="A315" t="e">
            <v>#REF!</v>
          </cell>
          <cell r="B315">
            <v>311</v>
          </cell>
          <cell r="C315" t="e">
            <v>#REF!</v>
          </cell>
          <cell r="D315" t="e">
            <v>#VALUE!</v>
          </cell>
          <cell r="E315" t="e">
            <v>#VALUE!</v>
          </cell>
          <cell r="F315" t="e">
            <v>#VALUE!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</row>
        <row r="316">
          <cell r="A316" t="e">
            <v>#REF!</v>
          </cell>
          <cell r="B316">
            <v>312</v>
          </cell>
          <cell r="C316" t="e">
            <v>#REF!</v>
          </cell>
          <cell r="D316" t="e">
            <v>#VALUE!</v>
          </cell>
          <cell r="E316" t="e">
            <v>#VALUE!</v>
          </cell>
          <cell r="F316" t="e">
            <v>#VALUE!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</row>
        <row r="317">
          <cell r="A317" t="e">
            <v>#REF!</v>
          </cell>
          <cell r="B317">
            <v>313</v>
          </cell>
          <cell r="C317" t="e">
            <v>#REF!</v>
          </cell>
          <cell r="D317" t="e">
            <v>#VALUE!</v>
          </cell>
          <cell r="E317" t="e">
            <v>#VALUE!</v>
          </cell>
          <cell r="F317" t="e">
            <v>#VALUE!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</row>
        <row r="318">
          <cell r="A318" t="e">
            <v>#REF!</v>
          </cell>
          <cell r="B318">
            <v>314</v>
          </cell>
          <cell r="C318" t="e">
            <v>#REF!</v>
          </cell>
          <cell r="D318" t="e">
            <v>#VALUE!</v>
          </cell>
          <cell r="E318" t="e">
            <v>#VALUE!</v>
          </cell>
          <cell r="F318" t="e">
            <v>#VALUE!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</row>
        <row r="319">
          <cell r="A319" t="e">
            <v>#REF!</v>
          </cell>
          <cell r="B319">
            <v>315</v>
          </cell>
          <cell r="C319" t="e">
            <v>#REF!</v>
          </cell>
          <cell r="D319" t="e">
            <v>#VALUE!</v>
          </cell>
          <cell r="E319" t="e">
            <v>#VALUE!</v>
          </cell>
          <cell r="F319" t="e">
            <v>#VALUE!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</row>
        <row r="320">
          <cell r="A320" t="e">
            <v>#REF!</v>
          </cell>
          <cell r="B320">
            <v>316</v>
          </cell>
          <cell r="C320" t="e">
            <v>#REF!</v>
          </cell>
          <cell r="D320" t="e">
            <v>#VALUE!</v>
          </cell>
          <cell r="E320" t="e">
            <v>#VALUE!</v>
          </cell>
          <cell r="F320" t="e">
            <v>#VALUE!</v>
          </cell>
          <cell r="G320" t="e">
            <v>#REF!</v>
          </cell>
          <cell r="H320" t="e">
            <v>#REF!</v>
          </cell>
          <cell r="I320" t="e">
            <v>#REF!</v>
          </cell>
          <cell r="J320" t="e">
            <v>#REF!</v>
          </cell>
          <cell r="K320" t="e">
            <v>#REF!</v>
          </cell>
          <cell r="L320" t="e">
            <v>#REF!</v>
          </cell>
          <cell r="M320" t="e">
            <v>#REF!</v>
          </cell>
          <cell r="N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</row>
        <row r="321">
          <cell r="A321" t="e">
            <v>#REF!</v>
          </cell>
          <cell r="B321">
            <v>317</v>
          </cell>
          <cell r="C321" t="e">
            <v>#REF!</v>
          </cell>
          <cell r="D321" t="e">
            <v>#VALUE!</v>
          </cell>
          <cell r="E321" t="e">
            <v>#VALUE!</v>
          </cell>
          <cell r="F321" t="e">
            <v>#VALUE!</v>
          </cell>
          <cell r="G321" t="e">
            <v>#REF!</v>
          </cell>
          <cell r="H321" t="e">
            <v>#REF!</v>
          </cell>
          <cell r="I321" t="e">
            <v>#REF!</v>
          </cell>
          <cell r="J321" t="e">
            <v>#REF!</v>
          </cell>
          <cell r="K321" t="e">
            <v>#REF!</v>
          </cell>
          <cell r="L321" t="e">
            <v>#REF!</v>
          </cell>
          <cell r="M321" t="e">
            <v>#REF!</v>
          </cell>
          <cell r="N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</row>
        <row r="322">
          <cell r="A322" t="e">
            <v>#REF!</v>
          </cell>
          <cell r="B322">
            <v>318</v>
          </cell>
          <cell r="C322" t="e">
            <v>#REF!</v>
          </cell>
          <cell r="D322" t="e">
            <v>#VALUE!</v>
          </cell>
          <cell r="E322" t="e">
            <v>#VALUE!</v>
          </cell>
          <cell r="F322" t="e">
            <v>#VALUE!</v>
          </cell>
          <cell r="G322" t="e">
            <v>#REF!</v>
          </cell>
          <cell r="H322" t="e">
            <v>#REF!</v>
          </cell>
          <cell r="I322" t="e">
            <v>#REF!</v>
          </cell>
          <cell r="J322" t="e">
            <v>#REF!</v>
          </cell>
          <cell r="K322" t="e">
            <v>#REF!</v>
          </cell>
          <cell r="L322" t="e">
            <v>#REF!</v>
          </cell>
          <cell r="M322" t="e">
            <v>#REF!</v>
          </cell>
          <cell r="N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</row>
        <row r="323">
          <cell r="A323" t="e">
            <v>#REF!</v>
          </cell>
          <cell r="B323">
            <v>319</v>
          </cell>
          <cell r="C323" t="e">
            <v>#REF!</v>
          </cell>
          <cell r="D323" t="e">
            <v>#VALUE!</v>
          </cell>
          <cell r="E323" t="e">
            <v>#VALUE!</v>
          </cell>
          <cell r="F323" t="e">
            <v>#VALUE!</v>
          </cell>
          <cell r="G323" t="e">
            <v>#REF!</v>
          </cell>
          <cell r="H323" t="e">
            <v>#REF!</v>
          </cell>
          <cell r="I323" t="e">
            <v>#REF!</v>
          </cell>
          <cell r="J323" t="e">
            <v>#REF!</v>
          </cell>
          <cell r="K323" t="e">
            <v>#REF!</v>
          </cell>
          <cell r="L323" t="e">
            <v>#REF!</v>
          </cell>
          <cell r="M323" t="e">
            <v>#REF!</v>
          </cell>
          <cell r="N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</row>
        <row r="324">
          <cell r="A324" t="e">
            <v>#REF!</v>
          </cell>
          <cell r="B324">
            <v>320</v>
          </cell>
          <cell r="C324" t="e">
            <v>#REF!</v>
          </cell>
          <cell r="D324" t="e">
            <v>#VALUE!</v>
          </cell>
          <cell r="E324" t="e">
            <v>#VALUE!</v>
          </cell>
          <cell r="F324" t="e">
            <v>#VALUE!</v>
          </cell>
          <cell r="G324" t="e">
            <v>#REF!</v>
          </cell>
          <cell r="H324" t="e">
            <v>#REF!</v>
          </cell>
          <cell r="I324" t="e">
            <v>#REF!</v>
          </cell>
          <cell r="J324" t="e">
            <v>#REF!</v>
          </cell>
          <cell r="K324" t="e">
            <v>#REF!</v>
          </cell>
          <cell r="L324" t="e">
            <v>#REF!</v>
          </cell>
          <cell r="M324" t="e">
            <v>#REF!</v>
          </cell>
          <cell r="N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</row>
        <row r="325">
          <cell r="A325" t="e">
            <v>#REF!</v>
          </cell>
          <cell r="B325">
            <v>321</v>
          </cell>
          <cell r="C325" t="e">
            <v>#REF!</v>
          </cell>
          <cell r="D325" t="e">
            <v>#VALUE!</v>
          </cell>
          <cell r="E325" t="e">
            <v>#VALUE!</v>
          </cell>
          <cell r="F325" t="e">
            <v>#VALUE!</v>
          </cell>
          <cell r="G325" t="e">
            <v>#REF!</v>
          </cell>
          <cell r="H325" t="e">
            <v>#REF!</v>
          </cell>
          <cell r="I325" t="e">
            <v>#REF!</v>
          </cell>
          <cell r="J325" t="e">
            <v>#REF!</v>
          </cell>
          <cell r="K325" t="e">
            <v>#REF!</v>
          </cell>
          <cell r="L325" t="e">
            <v>#REF!</v>
          </cell>
          <cell r="M325" t="e">
            <v>#REF!</v>
          </cell>
          <cell r="N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</row>
        <row r="326">
          <cell r="A326" t="e">
            <v>#REF!</v>
          </cell>
          <cell r="B326">
            <v>322</v>
          </cell>
          <cell r="C326" t="e">
            <v>#REF!</v>
          </cell>
          <cell r="D326" t="e">
            <v>#VALUE!</v>
          </cell>
          <cell r="E326" t="e">
            <v>#VALUE!</v>
          </cell>
          <cell r="F326" t="e">
            <v>#VALUE!</v>
          </cell>
          <cell r="G326" t="e">
            <v>#REF!</v>
          </cell>
          <cell r="H326" t="e">
            <v>#REF!</v>
          </cell>
          <cell r="I326" t="e">
            <v>#REF!</v>
          </cell>
          <cell r="J326" t="e">
            <v>#REF!</v>
          </cell>
          <cell r="K326" t="e">
            <v>#REF!</v>
          </cell>
          <cell r="L326" t="e">
            <v>#REF!</v>
          </cell>
          <cell r="M326" t="e">
            <v>#REF!</v>
          </cell>
          <cell r="N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</row>
        <row r="327">
          <cell r="A327" t="e">
            <v>#REF!</v>
          </cell>
          <cell r="B327">
            <v>323</v>
          </cell>
          <cell r="C327" t="e">
            <v>#REF!</v>
          </cell>
          <cell r="D327" t="e">
            <v>#VALUE!</v>
          </cell>
          <cell r="E327" t="e">
            <v>#VALUE!</v>
          </cell>
          <cell r="F327" t="e">
            <v>#VALUE!</v>
          </cell>
          <cell r="G327" t="e">
            <v>#REF!</v>
          </cell>
          <cell r="H327" t="e">
            <v>#REF!</v>
          </cell>
          <cell r="I327" t="e">
            <v>#REF!</v>
          </cell>
          <cell r="J327" t="e">
            <v>#REF!</v>
          </cell>
          <cell r="K327" t="e">
            <v>#REF!</v>
          </cell>
          <cell r="L327" t="e">
            <v>#REF!</v>
          </cell>
          <cell r="M327" t="e">
            <v>#REF!</v>
          </cell>
          <cell r="N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</row>
        <row r="328">
          <cell r="A328" t="e">
            <v>#REF!</v>
          </cell>
          <cell r="B328">
            <v>324</v>
          </cell>
          <cell r="C328" t="e">
            <v>#REF!</v>
          </cell>
          <cell r="D328" t="e">
            <v>#VALUE!</v>
          </cell>
          <cell r="E328" t="e">
            <v>#VALUE!</v>
          </cell>
          <cell r="F328" t="e">
            <v>#VALUE!</v>
          </cell>
          <cell r="G328" t="e">
            <v>#REF!</v>
          </cell>
          <cell r="H328" t="e">
            <v>#REF!</v>
          </cell>
          <cell r="I328" t="e">
            <v>#REF!</v>
          </cell>
          <cell r="J328" t="e">
            <v>#REF!</v>
          </cell>
          <cell r="K328" t="e">
            <v>#REF!</v>
          </cell>
          <cell r="L328" t="e">
            <v>#REF!</v>
          </cell>
          <cell r="M328" t="e">
            <v>#REF!</v>
          </cell>
          <cell r="N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</row>
        <row r="329">
          <cell r="A329" t="e">
            <v>#REF!</v>
          </cell>
          <cell r="B329">
            <v>325</v>
          </cell>
          <cell r="C329" t="e">
            <v>#REF!</v>
          </cell>
          <cell r="D329" t="e">
            <v>#VALUE!</v>
          </cell>
          <cell r="E329" t="e">
            <v>#VALUE!</v>
          </cell>
          <cell r="F329" t="e">
            <v>#VALUE!</v>
          </cell>
          <cell r="G329" t="e">
            <v>#REF!</v>
          </cell>
          <cell r="H329" t="e">
            <v>#REF!</v>
          </cell>
          <cell r="I329" t="e">
            <v>#REF!</v>
          </cell>
          <cell r="J329" t="e">
            <v>#REF!</v>
          </cell>
          <cell r="K329" t="e">
            <v>#REF!</v>
          </cell>
          <cell r="L329" t="e">
            <v>#REF!</v>
          </cell>
          <cell r="M329" t="e">
            <v>#REF!</v>
          </cell>
          <cell r="N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</row>
        <row r="330">
          <cell r="A330" t="e">
            <v>#REF!</v>
          </cell>
          <cell r="B330">
            <v>326</v>
          </cell>
          <cell r="C330" t="e">
            <v>#REF!</v>
          </cell>
          <cell r="D330" t="e">
            <v>#VALUE!</v>
          </cell>
          <cell r="E330" t="e">
            <v>#VALUE!</v>
          </cell>
          <cell r="F330" t="e">
            <v>#VALUE!</v>
          </cell>
          <cell r="G330" t="e">
            <v>#REF!</v>
          </cell>
          <cell r="H330" t="e">
            <v>#REF!</v>
          </cell>
          <cell r="I330" t="e">
            <v>#REF!</v>
          </cell>
          <cell r="J330" t="e">
            <v>#REF!</v>
          </cell>
          <cell r="K330" t="e">
            <v>#REF!</v>
          </cell>
          <cell r="L330" t="e">
            <v>#REF!</v>
          </cell>
          <cell r="M330" t="e">
            <v>#REF!</v>
          </cell>
          <cell r="N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</row>
        <row r="331">
          <cell r="A331" t="e">
            <v>#REF!</v>
          </cell>
          <cell r="B331">
            <v>327</v>
          </cell>
          <cell r="C331" t="e">
            <v>#REF!</v>
          </cell>
          <cell r="D331" t="e">
            <v>#VALUE!</v>
          </cell>
          <cell r="E331" t="e">
            <v>#VALUE!</v>
          </cell>
          <cell r="F331" t="e">
            <v>#VALUE!</v>
          </cell>
          <cell r="G331" t="e">
            <v>#REF!</v>
          </cell>
          <cell r="H331" t="e">
            <v>#REF!</v>
          </cell>
          <cell r="I331" t="e">
            <v>#REF!</v>
          </cell>
          <cell r="J331" t="e">
            <v>#REF!</v>
          </cell>
          <cell r="K331" t="e">
            <v>#REF!</v>
          </cell>
          <cell r="L331" t="e">
            <v>#REF!</v>
          </cell>
          <cell r="M331" t="e">
            <v>#REF!</v>
          </cell>
          <cell r="N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</row>
        <row r="332">
          <cell r="A332" t="e">
            <v>#REF!</v>
          </cell>
          <cell r="B332">
            <v>328</v>
          </cell>
          <cell r="C332" t="e">
            <v>#REF!</v>
          </cell>
          <cell r="D332" t="e">
            <v>#VALUE!</v>
          </cell>
          <cell r="E332" t="e">
            <v>#VALUE!</v>
          </cell>
          <cell r="F332" t="e">
            <v>#VALUE!</v>
          </cell>
          <cell r="G332" t="e">
            <v>#REF!</v>
          </cell>
          <cell r="H332" t="e">
            <v>#REF!</v>
          </cell>
          <cell r="I332" t="e">
            <v>#REF!</v>
          </cell>
          <cell r="J332" t="e">
            <v>#REF!</v>
          </cell>
          <cell r="K332" t="e">
            <v>#REF!</v>
          </cell>
          <cell r="L332" t="e">
            <v>#REF!</v>
          </cell>
          <cell r="M332" t="e">
            <v>#REF!</v>
          </cell>
          <cell r="N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</row>
        <row r="333">
          <cell r="A333" t="e">
            <v>#REF!</v>
          </cell>
          <cell r="B333">
            <v>329</v>
          </cell>
          <cell r="C333" t="e">
            <v>#REF!</v>
          </cell>
          <cell r="D333" t="e">
            <v>#VALUE!</v>
          </cell>
          <cell r="E333" t="e">
            <v>#VALUE!</v>
          </cell>
          <cell r="F333" t="e">
            <v>#VALUE!</v>
          </cell>
          <cell r="G333" t="e">
            <v>#REF!</v>
          </cell>
          <cell r="H333" t="e">
            <v>#REF!</v>
          </cell>
          <cell r="I333" t="e">
            <v>#REF!</v>
          </cell>
          <cell r="J333" t="e">
            <v>#REF!</v>
          </cell>
          <cell r="K333" t="e">
            <v>#REF!</v>
          </cell>
          <cell r="L333" t="e">
            <v>#REF!</v>
          </cell>
          <cell r="M333" t="e">
            <v>#REF!</v>
          </cell>
          <cell r="N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</row>
        <row r="334">
          <cell r="A334" t="e">
            <v>#REF!</v>
          </cell>
          <cell r="B334">
            <v>330</v>
          </cell>
          <cell r="C334" t="e">
            <v>#REF!</v>
          </cell>
          <cell r="D334" t="e">
            <v>#VALUE!</v>
          </cell>
          <cell r="E334" t="e">
            <v>#VALUE!</v>
          </cell>
          <cell r="F334" t="e">
            <v>#VALUE!</v>
          </cell>
          <cell r="G334" t="e">
            <v>#REF!</v>
          </cell>
          <cell r="H334" t="e">
            <v>#REF!</v>
          </cell>
          <cell r="I334" t="e">
            <v>#REF!</v>
          </cell>
          <cell r="J334" t="e">
            <v>#REF!</v>
          </cell>
          <cell r="K334" t="e">
            <v>#REF!</v>
          </cell>
          <cell r="L334" t="e">
            <v>#REF!</v>
          </cell>
          <cell r="M334" t="e">
            <v>#REF!</v>
          </cell>
          <cell r="N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</row>
        <row r="335">
          <cell r="A335" t="e">
            <v>#REF!</v>
          </cell>
          <cell r="B335">
            <v>331</v>
          </cell>
          <cell r="C335" t="e">
            <v>#REF!</v>
          </cell>
          <cell r="D335" t="e">
            <v>#VALUE!</v>
          </cell>
          <cell r="E335" t="e">
            <v>#VALUE!</v>
          </cell>
          <cell r="F335" t="e">
            <v>#VALUE!</v>
          </cell>
          <cell r="G335" t="e">
            <v>#REF!</v>
          </cell>
          <cell r="H335" t="e">
            <v>#REF!</v>
          </cell>
          <cell r="I335" t="e">
            <v>#REF!</v>
          </cell>
          <cell r="J335" t="e">
            <v>#REF!</v>
          </cell>
          <cell r="K335" t="e">
            <v>#REF!</v>
          </cell>
          <cell r="L335" t="e">
            <v>#REF!</v>
          </cell>
          <cell r="M335" t="e">
            <v>#REF!</v>
          </cell>
          <cell r="N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</row>
        <row r="336">
          <cell r="A336" t="e">
            <v>#REF!</v>
          </cell>
          <cell r="B336">
            <v>332</v>
          </cell>
          <cell r="C336" t="e">
            <v>#REF!</v>
          </cell>
          <cell r="D336" t="e">
            <v>#VALUE!</v>
          </cell>
          <cell r="E336" t="e">
            <v>#VALUE!</v>
          </cell>
          <cell r="F336" t="e">
            <v>#VALUE!</v>
          </cell>
          <cell r="G336" t="e">
            <v>#REF!</v>
          </cell>
          <cell r="H336" t="e">
            <v>#REF!</v>
          </cell>
          <cell r="I336" t="e">
            <v>#REF!</v>
          </cell>
          <cell r="J336" t="e">
            <v>#REF!</v>
          </cell>
          <cell r="K336" t="e">
            <v>#REF!</v>
          </cell>
          <cell r="L336" t="e">
            <v>#REF!</v>
          </cell>
          <cell r="M336" t="e">
            <v>#REF!</v>
          </cell>
          <cell r="N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</row>
        <row r="337">
          <cell r="A337" t="e">
            <v>#REF!</v>
          </cell>
          <cell r="B337">
            <v>333</v>
          </cell>
          <cell r="C337" t="e">
            <v>#REF!</v>
          </cell>
          <cell r="D337" t="e">
            <v>#VALUE!</v>
          </cell>
          <cell r="E337" t="e">
            <v>#VALUE!</v>
          </cell>
          <cell r="F337" t="e">
            <v>#VALUE!</v>
          </cell>
          <cell r="G337" t="e">
            <v>#REF!</v>
          </cell>
          <cell r="H337" t="e">
            <v>#REF!</v>
          </cell>
          <cell r="I337" t="e">
            <v>#REF!</v>
          </cell>
          <cell r="J337" t="e">
            <v>#REF!</v>
          </cell>
          <cell r="K337" t="e">
            <v>#REF!</v>
          </cell>
          <cell r="L337" t="e">
            <v>#REF!</v>
          </cell>
          <cell r="M337" t="e">
            <v>#REF!</v>
          </cell>
          <cell r="N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</row>
        <row r="338">
          <cell r="A338" t="e">
            <v>#REF!</v>
          </cell>
          <cell r="B338">
            <v>334</v>
          </cell>
          <cell r="C338" t="e">
            <v>#REF!</v>
          </cell>
          <cell r="D338" t="e">
            <v>#VALUE!</v>
          </cell>
          <cell r="E338" t="e">
            <v>#VALUE!</v>
          </cell>
          <cell r="F338" t="e">
            <v>#VALUE!</v>
          </cell>
          <cell r="G338" t="e">
            <v>#REF!</v>
          </cell>
          <cell r="H338" t="e">
            <v>#REF!</v>
          </cell>
          <cell r="I338" t="e">
            <v>#REF!</v>
          </cell>
          <cell r="J338" t="e">
            <v>#REF!</v>
          </cell>
          <cell r="K338" t="e">
            <v>#REF!</v>
          </cell>
          <cell r="L338" t="e">
            <v>#REF!</v>
          </cell>
          <cell r="M338" t="e">
            <v>#REF!</v>
          </cell>
          <cell r="N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</row>
        <row r="339">
          <cell r="A339" t="e">
            <v>#REF!</v>
          </cell>
          <cell r="B339">
            <v>335</v>
          </cell>
          <cell r="C339" t="e">
            <v>#REF!</v>
          </cell>
          <cell r="D339" t="e">
            <v>#VALUE!</v>
          </cell>
          <cell r="E339" t="e">
            <v>#VALUE!</v>
          </cell>
          <cell r="F339" t="e">
            <v>#VALUE!</v>
          </cell>
          <cell r="G339" t="e">
            <v>#REF!</v>
          </cell>
          <cell r="H339" t="e">
            <v>#REF!</v>
          </cell>
          <cell r="I339" t="e">
            <v>#REF!</v>
          </cell>
          <cell r="J339" t="e">
            <v>#REF!</v>
          </cell>
          <cell r="K339" t="e">
            <v>#REF!</v>
          </cell>
          <cell r="L339" t="e">
            <v>#REF!</v>
          </cell>
          <cell r="M339" t="e">
            <v>#REF!</v>
          </cell>
          <cell r="N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</row>
        <row r="340">
          <cell r="A340" t="e">
            <v>#REF!</v>
          </cell>
          <cell r="B340">
            <v>336</v>
          </cell>
          <cell r="C340" t="e">
            <v>#REF!</v>
          </cell>
          <cell r="D340" t="e">
            <v>#VALUE!</v>
          </cell>
          <cell r="E340" t="e">
            <v>#VALUE!</v>
          </cell>
          <cell r="F340" t="e">
            <v>#VALUE!</v>
          </cell>
          <cell r="G340" t="e">
            <v>#REF!</v>
          </cell>
          <cell r="H340" t="e">
            <v>#REF!</v>
          </cell>
          <cell r="I340" t="e">
            <v>#REF!</v>
          </cell>
          <cell r="J340" t="e">
            <v>#REF!</v>
          </cell>
          <cell r="K340" t="e">
            <v>#REF!</v>
          </cell>
          <cell r="L340" t="e">
            <v>#REF!</v>
          </cell>
          <cell r="M340" t="e">
            <v>#REF!</v>
          </cell>
          <cell r="N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</row>
        <row r="341">
          <cell r="A341" t="e">
            <v>#REF!</v>
          </cell>
          <cell r="B341">
            <v>337</v>
          </cell>
          <cell r="C341" t="e">
            <v>#REF!</v>
          </cell>
          <cell r="D341" t="e">
            <v>#VALUE!</v>
          </cell>
          <cell r="E341" t="e">
            <v>#VALUE!</v>
          </cell>
          <cell r="F341" t="e">
            <v>#VALUE!</v>
          </cell>
          <cell r="G341" t="e">
            <v>#REF!</v>
          </cell>
          <cell r="H341" t="e">
            <v>#REF!</v>
          </cell>
          <cell r="I341" t="e">
            <v>#REF!</v>
          </cell>
          <cell r="J341" t="e">
            <v>#REF!</v>
          </cell>
          <cell r="K341" t="e">
            <v>#REF!</v>
          </cell>
          <cell r="L341" t="e">
            <v>#REF!</v>
          </cell>
          <cell r="M341" t="e">
            <v>#REF!</v>
          </cell>
          <cell r="N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</row>
        <row r="342">
          <cell r="A342" t="e">
            <v>#REF!</v>
          </cell>
          <cell r="B342">
            <v>338</v>
          </cell>
          <cell r="C342" t="e">
            <v>#REF!</v>
          </cell>
          <cell r="D342" t="e">
            <v>#VALUE!</v>
          </cell>
          <cell r="E342" t="e">
            <v>#VALUE!</v>
          </cell>
          <cell r="F342" t="e">
            <v>#VALUE!</v>
          </cell>
          <cell r="G342" t="e">
            <v>#REF!</v>
          </cell>
          <cell r="H342" t="e">
            <v>#REF!</v>
          </cell>
          <cell r="I342" t="e">
            <v>#REF!</v>
          </cell>
          <cell r="J342" t="e">
            <v>#REF!</v>
          </cell>
          <cell r="K342" t="e">
            <v>#REF!</v>
          </cell>
          <cell r="L342" t="e">
            <v>#REF!</v>
          </cell>
          <cell r="M342" t="e">
            <v>#REF!</v>
          </cell>
          <cell r="N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</row>
        <row r="343">
          <cell r="A343" t="e">
            <v>#REF!</v>
          </cell>
          <cell r="B343">
            <v>339</v>
          </cell>
          <cell r="C343" t="e">
            <v>#REF!</v>
          </cell>
          <cell r="D343" t="e">
            <v>#VALUE!</v>
          </cell>
          <cell r="E343" t="e">
            <v>#VALUE!</v>
          </cell>
          <cell r="F343" t="e">
            <v>#VALUE!</v>
          </cell>
          <cell r="G343" t="e">
            <v>#REF!</v>
          </cell>
          <cell r="H343" t="e">
            <v>#REF!</v>
          </cell>
          <cell r="I343" t="e">
            <v>#REF!</v>
          </cell>
          <cell r="J343" t="e">
            <v>#REF!</v>
          </cell>
          <cell r="K343" t="e">
            <v>#REF!</v>
          </cell>
          <cell r="L343" t="e">
            <v>#REF!</v>
          </cell>
          <cell r="M343" t="e">
            <v>#REF!</v>
          </cell>
          <cell r="N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</row>
        <row r="344">
          <cell r="A344" t="e">
            <v>#REF!</v>
          </cell>
          <cell r="B344">
            <v>340</v>
          </cell>
          <cell r="C344" t="e">
            <v>#REF!</v>
          </cell>
          <cell r="D344" t="e">
            <v>#VALUE!</v>
          </cell>
          <cell r="E344" t="e">
            <v>#VALUE!</v>
          </cell>
          <cell r="F344" t="e">
            <v>#VALUE!</v>
          </cell>
          <cell r="G344" t="e">
            <v>#REF!</v>
          </cell>
          <cell r="H344" t="e">
            <v>#REF!</v>
          </cell>
          <cell r="I344" t="e">
            <v>#REF!</v>
          </cell>
          <cell r="J344" t="e">
            <v>#REF!</v>
          </cell>
          <cell r="K344" t="e">
            <v>#REF!</v>
          </cell>
          <cell r="L344" t="e">
            <v>#REF!</v>
          </cell>
          <cell r="M344" t="e">
            <v>#REF!</v>
          </cell>
          <cell r="N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</row>
        <row r="345">
          <cell r="A345" t="e">
            <v>#REF!</v>
          </cell>
          <cell r="B345">
            <v>341</v>
          </cell>
          <cell r="C345" t="e">
            <v>#REF!</v>
          </cell>
          <cell r="D345" t="e">
            <v>#VALUE!</v>
          </cell>
          <cell r="E345" t="e">
            <v>#VALUE!</v>
          </cell>
          <cell r="F345" t="e">
            <v>#VALUE!</v>
          </cell>
          <cell r="G345" t="e">
            <v>#REF!</v>
          </cell>
          <cell r="H345" t="e">
            <v>#REF!</v>
          </cell>
          <cell r="I345" t="e">
            <v>#REF!</v>
          </cell>
          <cell r="J345" t="e">
            <v>#REF!</v>
          </cell>
          <cell r="K345" t="e">
            <v>#REF!</v>
          </cell>
          <cell r="L345" t="e">
            <v>#REF!</v>
          </cell>
          <cell r="M345" t="e">
            <v>#REF!</v>
          </cell>
          <cell r="N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</row>
        <row r="346">
          <cell r="A346" t="e">
            <v>#REF!</v>
          </cell>
          <cell r="B346">
            <v>342</v>
          </cell>
          <cell r="C346" t="e">
            <v>#REF!</v>
          </cell>
          <cell r="D346" t="e">
            <v>#VALUE!</v>
          </cell>
          <cell r="E346" t="e">
            <v>#VALUE!</v>
          </cell>
          <cell r="F346" t="e">
            <v>#VALUE!</v>
          </cell>
          <cell r="G346" t="e">
            <v>#REF!</v>
          </cell>
          <cell r="H346" t="e">
            <v>#REF!</v>
          </cell>
          <cell r="I346" t="e">
            <v>#REF!</v>
          </cell>
          <cell r="J346" t="e">
            <v>#REF!</v>
          </cell>
          <cell r="K346" t="e">
            <v>#REF!</v>
          </cell>
          <cell r="L346" t="e">
            <v>#REF!</v>
          </cell>
          <cell r="M346" t="e">
            <v>#REF!</v>
          </cell>
          <cell r="N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</row>
        <row r="347">
          <cell r="A347" t="e">
            <v>#REF!</v>
          </cell>
          <cell r="B347">
            <v>343</v>
          </cell>
          <cell r="C347" t="e">
            <v>#REF!</v>
          </cell>
          <cell r="D347" t="e">
            <v>#VALUE!</v>
          </cell>
          <cell r="E347" t="e">
            <v>#VALUE!</v>
          </cell>
          <cell r="F347" t="e">
            <v>#VALUE!</v>
          </cell>
          <cell r="G347" t="e">
            <v>#REF!</v>
          </cell>
          <cell r="H347" t="e">
            <v>#REF!</v>
          </cell>
          <cell r="I347" t="e">
            <v>#REF!</v>
          </cell>
          <cell r="J347" t="e">
            <v>#REF!</v>
          </cell>
          <cell r="K347" t="e">
            <v>#REF!</v>
          </cell>
          <cell r="L347" t="e">
            <v>#REF!</v>
          </cell>
          <cell r="M347" t="e">
            <v>#REF!</v>
          </cell>
          <cell r="N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</row>
        <row r="348">
          <cell r="A348" t="e">
            <v>#REF!</v>
          </cell>
          <cell r="B348">
            <v>344</v>
          </cell>
          <cell r="C348" t="e">
            <v>#REF!</v>
          </cell>
          <cell r="D348" t="e">
            <v>#VALUE!</v>
          </cell>
          <cell r="E348" t="e">
            <v>#VALUE!</v>
          </cell>
          <cell r="F348" t="e">
            <v>#VALUE!</v>
          </cell>
          <cell r="G348" t="e">
            <v>#REF!</v>
          </cell>
          <cell r="H348" t="e">
            <v>#REF!</v>
          </cell>
          <cell r="I348" t="e">
            <v>#REF!</v>
          </cell>
          <cell r="J348" t="e">
            <v>#REF!</v>
          </cell>
          <cell r="K348" t="e">
            <v>#REF!</v>
          </cell>
          <cell r="L348" t="e">
            <v>#REF!</v>
          </cell>
          <cell r="M348" t="e">
            <v>#REF!</v>
          </cell>
          <cell r="N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</row>
        <row r="349">
          <cell r="A349" t="e">
            <v>#REF!</v>
          </cell>
          <cell r="B349">
            <v>345</v>
          </cell>
          <cell r="C349" t="e">
            <v>#REF!</v>
          </cell>
          <cell r="D349" t="e">
            <v>#VALUE!</v>
          </cell>
          <cell r="E349" t="e">
            <v>#VALUE!</v>
          </cell>
          <cell r="F349" t="e">
            <v>#VALUE!</v>
          </cell>
          <cell r="G349" t="e">
            <v>#REF!</v>
          </cell>
          <cell r="H349" t="e">
            <v>#REF!</v>
          </cell>
          <cell r="I349" t="e">
            <v>#REF!</v>
          </cell>
          <cell r="J349" t="e">
            <v>#REF!</v>
          </cell>
          <cell r="K349" t="e">
            <v>#REF!</v>
          </cell>
          <cell r="L349" t="e">
            <v>#REF!</v>
          </cell>
          <cell r="M349" t="e">
            <v>#REF!</v>
          </cell>
          <cell r="N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</row>
        <row r="350">
          <cell r="A350" t="e">
            <v>#REF!</v>
          </cell>
          <cell r="B350">
            <v>346</v>
          </cell>
          <cell r="C350" t="e">
            <v>#REF!</v>
          </cell>
          <cell r="D350" t="e">
            <v>#VALUE!</v>
          </cell>
          <cell r="E350" t="e">
            <v>#VALUE!</v>
          </cell>
          <cell r="F350" t="e">
            <v>#VALUE!</v>
          </cell>
          <cell r="G350" t="e">
            <v>#REF!</v>
          </cell>
          <cell r="H350" t="e">
            <v>#REF!</v>
          </cell>
          <cell r="I350" t="e">
            <v>#REF!</v>
          </cell>
          <cell r="J350" t="e">
            <v>#REF!</v>
          </cell>
          <cell r="K350" t="e">
            <v>#REF!</v>
          </cell>
          <cell r="L350" t="e">
            <v>#REF!</v>
          </cell>
          <cell r="M350" t="e">
            <v>#REF!</v>
          </cell>
          <cell r="N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</row>
        <row r="351">
          <cell r="A351" t="e">
            <v>#REF!</v>
          </cell>
          <cell r="B351">
            <v>347</v>
          </cell>
          <cell r="C351" t="e">
            <v>#REF!</v>
          </cell>
          <cell r="D351" t="e">
            <v>#VALUE!</v>
          </cell>
          <cell r="E351" t="e">
            <v>#VALUE!</v>
          </cell>
          <cell r="F351" t="e">
            <v>#VALUE!</v>
          </cell>
          <cell r="G351" t="e">
            <v>#REF!</v>
          </cell>
          <cell r="H351" t="e">
            <v>#REF!</v>
          </cell>
          <cell r="I351" t="e">
            <v>#REF!</v>
          </cell>
          <cell r="J351" t="e">
            <v>#REF!</v>
          </cell>
          <cell r="K351" t="e">
            <v>#REF!</v>
          </cell>
          <cell r="L351" t="e">
            <v>#REF!</v>
          </cell>
          <cell r="M351" t="e">
            <v>#REF!</v>
          </cell>
          <cell r="N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</row>
        <row r="352">
          <cell r="A352" t="e">
            <v>#REF!</v>
          </cell>
          <cell r="B352">
            <v>348</v>
          </cell>
          <cell r="C352" t="e">
            <v>#REF!</v>
          </cell>
          <cell r="D352" t="e">
            <v>#VALUE!</v>
          </cell>
          <cell r="E352" t="e">
            <v>#VALUE!</v>
          </cell>
          <cell r="F352" t="e">
            <v>#VALUE!</v>
          </cell>
          <cell r="G352" t="e">
            <v>#REF!</v>
          </cell>
          <cell r="H352" t="e">
            <v>#REF!</v>
          </cell>
          <cell r="I352" t="e">
            <v>#REF!</v>
          </cell>
          <cell r="J352" t="e">
            <v>#REF!</v>
          </cell>
          <cell r="K352" t="e">
            <v>#REF!</v>
          </cell>
          <cell r="L352" t="e">
            <v>#REF!</v>
          </cell>
          <cell r="M352" t="e">
            <v>#REF!</v>
          </cell>
          <cell r="N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</row>
        <row r="353">
          <cell r="A353" t="e">
            <v>#REF!</v>
          </cell>
          <cell r="B353">
            <v>349</v>
          </cell>
          <cell r="C353" t="e">
            <v>#REF!</v>
          </cell>
          <cell r="D353" t="e">
            <v>#VALUE!</v>
          </cell>
          <cell r="E353" t="e">
            <v>#VALUE!</v>
          </cell>
          <cell r="F353" t="e">
            <v>#VALUE!</v>
          </cell>
          <cell r="G353" t="e">
            <v>#REF!</v>
          </cell>
          <cell r="H353" t="e">
            <v>#REF!</v>
          </cell>
          <cell r="I353" t="e">
            <v>#REF!</v>
          </cell>
          <cell r="J353" t="e">
            <v>#REF!</v>
          </cell>
          <cell r="K353" t="e">
            <v>#REF!</v>
          </cell>
          <cell r="L353" t="e">
            <v>#REF!</v>
          </cell>
          <cell r="M353" t="e">
            <v>#REF!</v>
          </cell>
          <cell r="N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</row>
        <row r="354">
          <cell r="A354" t="e">
            <v>#REF!</v>
          </cell>
          <cell r="B354">
            <v>350</v>
          </cell>
          <cell r="C354" t="e">
            <v>#REF!</v>
          </cell>
          <cell r="D354" t="e">
            <v>#VALUE!</v>
          </cell>
          <cell r="E354" t="e">
            <v>#VALUE!</v>
          </cell>
          <cell r="F354" t="e">
            <v>#VALUE!</v>
          </cell>
          <cell r="G354" t="e">
            <v>#REF!</v>
          </cell>
          <cell r="H354" t="e">
            <v>#REF!</v>
          </cell>
          <cell r="I354" t="e">
            <v>#REF!</v>
          </cell>
          <cell r="J354" t="e">
            <v>#REF!</v>
          </cell>
          <cell r="K354" t="e">
            <v>#REF!</v>
          </cell>
          <cell r="L354" t="e">
            <v>#REF!</v>
          </cell>
          <cell r="M354" t="e">
            <v>#REF!</v>
          </cell>
          <cell r="N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</row>
        <row r="355">
          <cell r="A355" t="e">
            <v>#REF!</v>
          </cell>
          <cell r="B355">
            <v>351</v>
          </cell>
          <cell r="C355" t="e">
            <v>#REF!</v>
          </cell>
          <cell r="D355" t="e">
            <v>#VALUE!</v>
          </cell>
          <cell r="E355" t="e">
            <v>#VALUE!</v>
          </cell>
          <cell r="F355" t="e">
            <v>#VALUE!</v>
          </cell>
          <cell r="G355" t="e">
            <v>#REF!</v>
          </cell>
          <cell r="H355" t="e">
            <v>#REF!</v>
          </cell>
          <cell r="I355" t="e">
            <v>#REF!</v>
          </cell>
          <cell r="J355" t="e">
            <v>#REF!</v>
          </cell>
          <cell r="K355" t="e">
            <v>#REF!</v>
          </cell>
          <cell r="L355" t="e">
            <v>#REF!</v>
          </cell>
          <cell r="M355" t="e">
            <v>#REF!</v>
          </cell>
          <cell r="N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</row>
        <row r="356">
          <cell r="A356" t="e">
            <v>#REF!</v>
          </cell>
          <cell r="B356">
            <v>352</v>
          </cell>
          <cell r="C356" t="e">
            <v>#REF!</v>
          </cell>
          <cell r="D356" t="e">
            <v>#VALUE!</v>
          </cell>
          <cell r="E356" t="e">
            <v>#VALUE!</v>
          </cell>
          <cell r="F356" t="e">
            <v>#VALUE!</v>
          </cell>
          <cell r="G356" t="e">
            <v>#REF!</v>
          </cell>
          <cell r="H356" t="e">
            <v>#REF!</v>
          </cell>
          <cell r="I356" t="e">
            <v>#REF!</v>
          </cell>
          <cell r="J356" t="e">
            <v>#REF!</v>
          </cell>
          <cell r="K356" t="e">
            <v>#REF!</v>
          </cell>
          <cell r="L356" t="e">
            <v>#REF!</v>
          </cell>
          <cell r="M356" t="e">
            <v>#REF!</v>
          </cell>
          <cell r="N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</row>
        <row r="357">
          <cell r="A357" t="e">
            <v>#REF!</v>
          </cell>
          <cell r="B357">
            <v>353</v>
          </cell>
          <cell r="C357" t="e">
            <v>#REF!</v>
          </cell>
          <cell r="D357" t="e">
            <v>#VALUE!</v>
          </cell>
          <cell r="E357" t="e">
            <v>#VALUE!</v>
          </cell>
          <cell r="F357" t="e">
            <v>#VALUE!</v>
          </cell>
          <cell r="G357" t="e">
            <v>#REF!</v>
          </cell>
          <cell r="H357" t="e">
            <v>#REF!</v>
          </cell>
          <cell r="I357" t="e">
            <v>#REF!</v>
          </cell>
          <cell r="J357" t="e">
            <v>#REF!</v>
          </cell>
          <cell r="K357" t="e">
            <v>#REF!</v>
          </cell>
          <cell r="L357" t="e">
            <v>#REF!</v>
          </cell>
          <cell r="M357" t="e">
            <v>#REF!</v>
          </cell>
          <cell r="N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</row>
        <row r="358">
          <cell r="A358" t="e">
            <v>#REF!</v>
          </cell>
          <cell r="B358">
            <v>354</v>
          </cell>
          <cell r="C358" t="e">
            <v>#REF!</v>
          </cell>
          <cell r="D358" t="e">
            <v>#VALUE!</v>
          </cell>
          <cell r="E358" t="e">
            <v>#VALUE!</v>
          </cell>
          <cell r="F358" t="e">
            <v>#VALUE!</v>
          </cell>
          <cell r="G358" t="e">
            <v>#REF!</v>
          </cell>
          <cell r="H358" t="e">
            <v>#REF!</v>
          </cell>
          <cell r="I358" t="e">
            <v>#REF!</v>
          </cell>
          <cell r="J358" t="e">
            <v>#REF!</v>
          </cell>
          <cell r="K358" t="e">
            <v>#REF!</v>
          </cell>
          <cell r="L358" t="e">
            <v>#REF!</v>
          </cell>
          <cell r="M358" t="e">
            <v>#REF!</v>
          </cell>
          <cell r="N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</row>
        <row r="359">
          <cell r="A359" t="e">
            <v>#REF!</v>
          </cell>
          <cell r="B359">
            <v>355</v>
          </cell>
          <cell r="C359" t="e">
            <v>#REF!</v>
          </cell>
          <cell r="D359" t="e">
            <v>#VALUE!</v>
          </cell>
          <cell r="E359" t="e">
            <v>#VALUE!</v>
          </cell>
          <cell r="F359" t="e">
            <v>#VALUE!</v>
          </cell>
          <cell r="G359" t="e">
            <v>#REF!</v>
          </cell>
          <cell r="H359" t="e">
            <v>#REF!</v>
          </cell>
          <cell r="I359" t="e">
            <v>#REF!</v>
          </cell>
          <cell r="J359" t="e">
            <v>#REF!</v>
          </cell>
          <cell r="K359" t="e">
            <v>#REF!</v>
          </cell>
          <cell r="L359" t="e">
            <v>#REF!</v>
          </cell>
          <cell r="M359" t="e">
            <v>#REF!</v>
          </cell>
          <cell r="N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</row>
        <row r="360">
          <cell r="A360" t="e">
            <v>#REF!</v>
          </cell>
          <cell r="B360">
            <v>356</v>
          </cell>
          <cell r="C360" t="e">
            <v>#REF!</v>
          </cell>
          <cell r="D360" t="e">
            <v>#VALUE!</v>
          </cell>
          <cell r="E360" t="e">
            <v>#VALUE!</v>
          </cell>
          <cell r="F360" t="e">
            <v>#VALUE!</v>
          </cell>
          <cell r="G360" t="e">
            <v>#REF!</v>
          </cell>
          <cell r="H360" t="e">
            <v>#REF!</v>
          </cell>
          <cell r="I360" t="e">
            <v>#REF!</v>
          </cell>
          <cell r="J360" t="e">
            <v>#REF!</v>
          </cell>
          <cell r="K360" t="e">
            <v>#REF!</v>
          </cell>
          <cell r="L360" t="e">
            <v>#REF!</v>
          </cell>
          <cell r="M360" t="e">
            <v>#REF!</v>
          </cell>
          <cell r="N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</row>
        <row r="361">
          <cell r="A361" t="e">
            <v>#REF!</v>
          </cell>
          <cell r="B361">
            <v>357</v>
          </cell>
          <cell r="C361" t="e">
            <v>#REF!</v>
          </cell>
          <cell r="D361" t="e">
            <v>#VALUE!</v>
          </cell>
          <cell r="E361" t="e">
            <v>#VALUE!</v>
          </cell>
          <cell r="F361" t="e">
            <v>#VALUE!</v>
          </cell>
          <cell r="G361" t="e">
            <v>#REF!</v>
          </cell>
          <cell r="H361" t="e">
            <v>#REF!</v>
          </cell>
          <cell r="I361" t="e">
            <v>#REF!</v>
          </cell>
          <cell r="J361" t="e">
            <v>#REF!</v>
          </cell>
          <cell r="K361" t="e">
            <v>#REF!</v>
          </cell>
          <cell r="L361" t="e">
            <v>#REF!</v>
          </cell>
          <cell r="M361" t="e">
            <v>#REF!</v>
          </cell>
          <cell r="N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</row>
        <row r="362">
          <cell r="A362" t="e">
            <v>#REF!</v>
          </cell>
          <cell r="B362">
            <v>358</v>
          </cell>
          <cell r="C362" t="e">
            <v>#REF!</v>
          </cell>
          <cell r="D362" t="e">
            <v>#VALUE!</v>
          </cell>
          <cell r="E362" t="e">
            <v>#VALUE!</v>
          </cell>
          <cell r="F362" t="e">
            <v>#VALUE!</v>
          </cell>
          <cell r="G362" t="e">
            <v>#REF!</v>
          </cell>
          <cell r="H362" t="e">
            <v>#REF!</v>
          </cell>
          <cell r="I362" t="e">
            <v>#REF!</v>
          </cell>
          <cell r="J362" t="e">
            <v>#REF!</v>
          </cell>
          <cell r="K362" t="e">
            <v>#REF!</v>
          </cell>
          <cell r="L362" t="e">
            <v>#REF!</v>
          </cell>
          <cell r="M362" t="e">
            <v>#REF!</v>
          </cell>
          <cell r="N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</row>
        <row r="363">
          <cell r="A363" t="e">
            <v>#REF!</v>
          </cell>
          <cell r="B363">
            <v>359</v>
          </cell>
          <cell r="C363" t="e">
            <v>#REF!</v>
          </cell>
          <cell r="D363" t="e">
            <v>#VALUE!</v>
          </cell>
          <cell r="E363" t="e">
            <v>#VALUE!</v>
          </cell>
          <cell r="F363" t="e">
            <v>#VALUE!</v>
          </cell>
          <cell r="G363" t="e">
            <v>#REF!</v>
          </cell>
          <cell r="H363" t="e">
            <v>#REF!</v>
          </cell>
          <cell r="I363" t="e">
            <v>#REF!</v>
          </cell>
          <cell r="J363" t="e">
            <v>#REF!</v>
          </cell>
          <cell r="K363" t="e">
            <v>#REF!</v>
          </cell>
          <cell r="L363" t="e">
            <v>#REF!</v>
          </cell>
          <cell r="M363" t="e">
            <v>#REF!</v>
          </cell>
          <cell r="N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</row>
        <row r="364">
          <cell r="A364" t="e">
            <v>#REF!</v>
          </cell>
          <cell r="B364">
            <v>360</v>
          </cell>
          <cell r="C364" t="e">
            <v>#REF!</v>
          </cell>
          <cell r="D364" t="e">
            <v>#VALUE!</v>
          </cell>
          <cell r="E364" t="e">
            <v>#VALUE!</v>
          </cell>
          <cell r="F364" t="e">
            <v>#VALUE!</v>
          </cell>
          <cell r="G364" t="e">
            <v>#REF!</v>
          </cell>
          <cell r="H364" t="e">
            <v>#REF!</v>
          </cell>
          <cell r="I364" t="e">
            <v>#REF!</v>
          </cell>
          <cell r="J364" t="e">
            <v>#REF!</v>
          </cell>
          <cell r="K364" t="e">
            <v>#REF!</v>
          </cell>
          <cell r="L364" t="e">
            <v>#REF!</v>
          </cell>
          <cell r="M364" t="e">
            <v>#REF!</v>
          </cell>
          <cell r="N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</row>
        <row r="365">
          <cell r="A365" t="e">
            <v>#REF!</v>
          </cell>
          <cell r="B365">
            <v>361</v>
          </cell>
          <cell r="C365" t="e">
            <v>#REF!</v>
          </cell>
          <cell r="D365" t="e">
            <v>#VALUE!</v>
          </cell>
          <cell r="E365" t="e">
            <v>#VALUE!</v>
          </cell>
          <cell r="F365" t="e">
            <v>#VALUE!</v>
          </cell>
          <cell r="G365" t="e">
            <v>#REF!</v>
          </cell>
          <cell r="H365" t="e">
            <v>#REF!</v>
          </cell>
          <cell r="I365" t="e">
            <v>#REF!</v>
          </cell>
          <cell r="J365" t="e">
            <v>#REF!</v>
          </cell>
          <cell r="K365" t="e">
            <v>#REF!</v>
          </cell>
          <cell r="L365" t="e">
            <v>#REF!</v>
          </cell>
          <cell r="M365" t="e">
            <v>#REF!</v>
          </cell>
          <cell r="N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</row>
        <row r="366">
          <cell r="A366" t="e">
            <v>#REF!</v>
          </cell>
          <cell r="B366">
            <v>362</v>
          </cell>
          <cell r="C366" t="e">
            <v>#REF!</v>
          </cell>
          <cell r="D366" t="e">
            <v>#VALUE!</v>
          </cell>
          <cell r="E366" t="e">
            <v>#VALUE!</v>
          </cell>
          <cell r="F366" t="e">
            <v>#VALUE!</v>
          </cell>
          <cell r="G366" t="e">
            <v>#REF!</v>
          </cell>
          <cell r="H366" t="e">
            <v>#REF!</v>
          </cell>
          <cell r="I366" t="e">
            <v>#REF!</v>
          </cell>
          <cell r="J366" t="e">
            <v>#REF!</v>
          </cell>
          <cell r="K366" t="e">
            <v>#REF!</v>
          </cell>
          <cell r="L366" t="e">
            <v>#REF!</v>
          </cell>
          <cell r="M366" t="e">
            <v>#REF!</v>
          </cell>
          <cell r="N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</row>
        <row r="367">
          <cell r="A367" t="e">
            <v>#REF!</v>
          </cell>
          <cell r="B367">
            <v>363</v>
          </cell>
          <cell r="C367" t="e">
            <v>#REF!</v>
          </cell>
          <cell r="D367" t="e">
            <v>#VALUE!</v>
          </cell>
          <cell r="E367" t="e">
            <v>#VALUE!</v>
          </cell>
          <cell r="F367" t="e">
            <v>#VALUE!</v>
          </cell>
          <cell r="G367" t="e">
            <v>#REF!</v>
          </cell>
          <cell r="H367" t="e">
            <v>#REF!</v>
          </cell>
          <cell r="I367" t="e">
            <v>#REF!</v>
          </cell>
          <cell r="J367" t="e">
            <v>#REF!</v>
          </cell>
          <cell r="K367" t="e">
            <v>#REF!</v>
          </cell>
          <cell r="L367" t="e">
            <v>#REF!</v>
          </cell>
          <cell r="M367" t="e">
            <v>#REF!</v>
          </cell>
          <cell r="N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</row>
        <row r="368">
          <cell r="A368" t="e">
            <v>#REF!</v>
          </cell>
          <cell r="B368">
            <v>364</v>
          </cell>
          <cell r="C368" t="e">
            <v>#REF!</v>
          </cell>
          <cell r="D368" t="e">
            <v>#VALUE!</v>
          </cell>
          <cell r="E368" t="e">
            <v>#VALUE!</v>
          </cell>
          <cell r="F368" t="e">
            <v>#VALUE!</v>
          </cell>
          <cell r="G368" t="e">
            <v>#REF!</v>
          </cell>
          <cell r="H368" t="e">
            <v>#REF!</v>
          </cell>
          <cell r="I368" t="e">
            <v>#REF!</v>
          </cell>
          <cell r="J368" t="e">
            <v>#REF!</v>
          </cell>
          <cell r="K368" t="e">
            <v>#REF!</v>
          </cell>
          <cell r="L368" t="e">
            <v>#REF!</v>
          </cell>
          <cell r="M368" t="e">
            <v>#REF!</v>
          </cell>
          <cell r="N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</row>
        <row r="369">
          <cell r="A369" t="e">
            <v>#REF!</v>
          </cell>
          <cell r="B369">
            <v>365</v>
          </cell>
          <cell r="C369" t="e">
            <v>#REF!</v>
          </cell>
          <cell r="D369" t="e">
            <v>#VALUE!</v>
          </cell>
          <cell r="E369" t="e">
            <v>#VALUE!</v>
          </cell>
          <cell r="F369" t="e">
            <v>#VALUE!</v>
          </cell>
          <cell r="G369" t="e">
            <v>#REF!</v>
          </cell>
          <cell r="H369" t="e">
            <v>#REF!</v>
          </cell>
          <cell r="I369" t="e">
            <v>#REF!</v>
          </cell>
          <cell r="J369" t="e">
            <v>#REF!</v>
          </cell>
          <cell r="K369" t="e">
            <v>#REF!</v>
          </cell>
          <cell r="L369" t="e">
            <v>#REF!</v>
          </cell>
          <cell r="M369" t="e">
            <v>#REF!</v>
          </cell>
          <cell r="N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</row>
        <row r="370">
          <cell r="A370" t="e">
            <v>#REF!</v>
          </cell>
          <cell r="B370">
            <v>366</v>
          </cell>
          <cell r="C370" t="e">
            <v>#REF!</v>
          </cell>
          <cell r="D370" t="e">
            <v>#VALUE!</v>
          </cell>
          <cell r="E370" t="e">
            <v>#VALUE!</v>
          </cell>
          <cell r="F370" t="e">
            <v>#VALUE!</v>
          </cell>
          <cell r="G370" t="e">
            <v>#REF!</v>
          </cell>
          <cell r="H370" t="e">
            <v>#REF!</v>
          </cell>
          <cell r="I370" t="e">
            <v>#REF!</v>
          </cell>
          <cell r="J370" t="e">
            <v>#REF!</v>
          </cell>
          <cell r="K370" t="e">
            <v>#REF!</v>
          </cell>
          <cell r="L370" t="e">
            <v>#REF!</v>
          </cell>
          <cell r="M370" t="e">
            <v>#REF!</v>
          </cell>
          <cell r="N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</row>
        <row r="371">
          <cell r="A371" t="e">
            <v>#REF!</v>
          </cell>
          <cell r="B371">
            <v>367</v>
          </cell>
          <cell r="C371" t="e">
            <v>#REF!</v>
          </cell>
          <cell r="D371" t="e">
            <v>#VALUE!</v>
          </cell>
          <cell r="E371" t="e">
            <v>#VALUE!</v>
          </cell>
          <cell r="F371" t="e">
            <v>#VALUE!</v>
          </cell>
          <cell r="G371" t="e">
            <v>#REF!</v>
          </cell>
          <cell r="H371" t="e">
            <v>#REF!</v>
          </cell>
          <cell r="I371" t="e">
            <v>#REF!</v>
          </cell>
          <cell r="J371" t="e">
            <v>#REF!</v>
          </cell>
          <cell r="K371" t="e">
            <v>#REF!</v>
          </cell>
          <cell r="L371" t="e">
            <v>#REF!</v>
          </cell>
          <cell r="M371" t="e">
            <v>#REF!</v>
          </cell>
          <cell r="N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</row>
        <row r="372">
          <cell r="A372" t="e">
            <v>#REF!</v>
          </cell>
          <cell r="B372">
            <v>368</v>
          </cell>
          <cell r="C372" t="e">
            <v>#REF!</v>
          </cell>
          <cell r="D372" t="e">
            <v>#VALUE!</v>
          </cell>
          <cell r="E372" t="e">
            <v>#VALUE!</v>
          </cell>
          <cell r="F372" t="e">
            <v>#VALUE!</v>
          </cell>
          <cell r="G372" t="e">
            <v>#REF!</v>
          </cell>
          <cell r="H372" t="e">
            <v>#REF!</v>
          </cell>
          <cell r="I372" t="e">
            <v>#REF!</v>
          </cell>
          <cell r="J372" t="e">
            <v>#REF!</v>
          </cell>
          <cell r="K372" t="e">
            <v>#REF!</v>
          </cell>
          <cell r="L372" t="e">
            <v>#REF!</v>
          </cell>
          <cell r="M372" t="e">
            <v>#REF!</v>
          </cell>
          <cell r="N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</row>
        <row r="373">
          <cell r="A373" t="e">
            <v>#REF!</v>
          </cell>
          <cell r="B373">
            <v>369</v>
          </cell>
          <cell r="C373" t="e">
            <v>#REF!</v>
          </cell>
          <cell r="D373" t="e">
            <v>#VALUE!</v>
          </cell>
          <cell r="E373" t="e">
            <v>#VALUE!</v>
          </cell>
          <cell r="F373" t="e">
            <v>#VALUE!</v>
          </cell>
          <cell r="G373" t="e">
            <v>#REF!</v>
          </cell>
          <cell r="H373" t="e">
            <v>#REF!</v>
          </cell>
          <cell r="I373" t="e">
            <v>#REF!</v>
          </cell>
          <cell r="J373" t="e">
            <v>#REF!</v>
          </cell>
          <cell r="K373" t="e">
            <v>#REF!</v>
          </cell>
          <cell r="L373" t="e">
            <v>#REF!</v>
          </cell>
          <cell r="M373" t="e">
            <v>#REF!</v>
          </cell>
          <cell r="N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</row>
        <row r="374">
          <cell r="A374" t="e">
            <v>#REF!</v>
          </cell>
          <cell r="B374">
            <v>370</v>
          </cell>
          <cell r="C374" t="e">
            <v>#REF!</v>
          </cell>
          <cell r="D374" t="e">
            <v>#VALUE!</v>
          </cell>
          <cell r="E374" t="e">
            <v>#VALUE!</v>
          </cell>
          <cell r="F374" t="e">
            <v>#VALUE!</v>
          </cell>
          <cell r="G374" t="e">
            <v>#REF!</v>
          </cell>
          <cell r="H374" t="e">
            <v>#REF!</v>
          </cell>
          <cell r="I374" t="e">
            <v>#REF!</v>
          </cell>
          <cell r="J374" t="e">
            <v>#REF!</v>
          </cell>
          <cell r="K374" t="e">
            <v>#REF!</v>
          </cell>
          <cell r="L374" t="e">
            <v>#REF!</v>
          </cell>
          <cell r="M374" t="e">
            <v>#REF!</v>
          </cell>
          <cell r="N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</row>
        <row r="375">
          <cell r="A375" t="e">
            <v>#REF!</v>
          </cell>
          <cell r="B375">
            <v>371</v>
          </cell>
          <cell r="C375" t="e">
            <v>#REF!</v>
          </cell>
          <cell r="D375" t="e">
            <v>#VALUE!</v>
          </cell>
          <cell r="E375" t="e">
            <v>#VALUE!</v>
          </cell>
          <cell r="F375" t="e">
            <v>#VALUE!</v>
          </cell>
          <cell r="G375" t="e">
            <v>#REF!</v>
          </cell>
          <cell r="H375" t="e">
            <v>#REF!</v>
          </cell>
          <cell r="I375" t="e">
            <v>#REF!</v>
          </cell>
          <cell r="J375" t="e">
            <v>#REF!</v>
          </cell>
          <cell r="K375" t="e">
            <v>#REF!</v>
          </cell>
          <cell r="L375" t="e">
            <v>#REF!</v>
          </cell>
          <cell r="M375" t="e">
            <v>#REF!</v>
          </cell>
          <cell r="N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</row>
        <row r="376">
          <cell r="A376" t="e">
            <v>#REF!</v>
          </cell>
          <cell r="B376">
            <v>372</v>
          </cell>
          <cell r="C376" t="e">
            <v>#REF!</v>
          </cell>
          <cell r="D376" t="e">
            <v>#VALUE!</v>
          </cell>
          <cell r="E376" t="e">
            <v>#VALUE!</v>
          </cell>
          <cell r="F376" t="e">
            <v>#VALUE!</v>
          </cell>
          <cell r="G376" t="e">
            <v>#REF!</v>
          </cell>
          <cell r="H376" t="e">
            <v>#REF!</v>
          </cell>
          <cell r="I376" t="e">
            <v>#REF!</v>
          </cell>
          <cell r="J376" t="e">
            <v>#REF!</v>
          </cell>
          <cell r="K376" t="e">
            <v>#REF!</v>
          </cell>
          <cell r="L376" t="e">
            <v>#REF!</v>
          </cell>
          <cell r="M376" t="e">
            <v>#REF!</v>
          </cell>
          <cell r="N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</row>
        <row r="377">
          <cell r="A377" t="e">
            <v>#REF!</v>
          </cell>
          <cell r="B377">
            <v>373</v>
          </cell>
          <cell r="C377" t="e">
            <v>#REF!</v>
          </cell>
          <cell r="D377" t="e">
            <v>#VALUE!</v>
          </cell>
          <cell r="E377" t="e">
            <v>#VALUE!</v>
          </cell>
          <cell r="F377" t="e">
            <v>#VALUE!</v>
          </cell>
          <cell r="G377" t="e">
            <v>#REF!</v>
          </cell>
          <cell r="H377" t="e">
            <v>#REF!</v>
          </cell>
          <cell r="I377" t="e">
            <v>#REF!</v>
          </cell>
          <cell r="J377" t="e">
            <v>#REF!</v>
          </cell>
          <cell r="K377" t="e">
            <v>#REF!</v>
          </cell>
          <cell r="L377" t="e">
            <v>#REF!</v>
          </cell>
          <cell r="M377" t="e">
            <v>#REF!</v>
          </cell>
          <cell r="N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</row>
        <row r="378">
          <cell r="A378" t="e">
            <v>#REF!</v>
          </cell>
          <cell r="B378">
            <v>374</v>
          </cell>
          <cell r="C378" t="e">
            <v>#REF!</v>
          </cell>
          <cell r="D378" t="e">
            <v>#VALUE!</v>
          </cell>
          <cell r="E378" t="e">
            <v>#VALUE!</v>
          </cell>
          <cell r="F378" t="e">
            <v>#VALUE!</v>
          </cell>
          <cell r="G378" t="e">
            <v>#REF!</v>
          </cell>
          <cell r="H378" t="e">
            <v>#REF!</v>
          </cell>
          <cell r="I378" t="e">
            <v>#REF!</v>
          </cell>
          <cell r="J378" t="e">
            <v>#REF!</v>
          </cell>
          <cell r="K378" t="e">
            <v>#REF!</v>
          </cell>
          <cell r="L378" t="e">
            <v>#REF!</v>
          </cell>
          <cell r="M378" t="e">
            <v>#REF!</v>
          </cell>
          <cell r="N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</row>
        <row r="379">
          <cell r="A379" t="e">
            <v>#REF!</v>
          </cell>
          <cell r="B379">
            <v>375</v>
          </cell>
          <cell r="C379" t="e">
            <v>#REF!</v>
          </cell>
          <cell r="D379" t="e">
            <v>#VALUE!</v>
          </cell>
          <cell r="E379" t="e">
            <v>#VALUE!</v>
          </cell>
          <cell r="F379" t="e">
            <v>#VALUE!</v>
          </cell>
          <cell r="G379" t="e">
            <v>#REF!</v>
          </cell>
          <cell r="H379" t="e">
            <v>#REF!</v>
          </cell>
          <cell r="I379" t="e">
            <v>#REF!</v>
          </cell>
          <cell r="J379" t="e">
            <v>#REF!</v>
          </cell>
          <cell r="K379" t="e">
            <v>#REF!</v>
          </cell>
          <cell r="L379" t="e">
            <v>#REF!</v>
          </cell>
          <cell r="M379" t="e">
            <v>#REF!</v>
          </cell>
          <cell r="N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</row>
        <row r="380">
          <cell r="A380" t="e">
            <v>#REF!</v>
          </cell>
          <cell r="B380">
            <v>376</v>
          </cell>
          <cell r="C380" t="e">
            <v>#REF!</v>
          </cell>
          <cell r="D380" t="e">
            <v>#VALUE!</v>
          </cell>
          <cell r="E380" t="e">
            <v>#VALUE!</v>
          </cell>
          <cell r="F380" t="e">
            <v>#VALUE!</v>
          </cell>
          <cell r="G380" t="e">
            <v>#REF!</v>
          </cell>
          <cell r="H380" t="e">
            <v>#REF!</v>
          </cell>
          <cell r="I380" t="e">
            <v>#REF!</v>
          </cell>
          <cell r="J380" t="e">
            <v>#REF!</v>
          </cell>
          <cell r="K380" t="e">
            <v>#REF!</v>
          </cell>
          <cell r="L380" t="e">
            <v>#REF!</v>
          </cell>
          <cell r="M380" t="e">
            <v>#REF!</v>
          </cell>
          <cell r="N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</row>
        <row r="381">
          <cell r="A381" t="e">
            <v>#REF!</v>
          </cell>
          <cell r="B381">
            <v>377</v>
          </cell>
          <cell r="C381" t="e">
            <v>#REF!</v>
          </cell>
          <cell r="D381" t="e">
            <v>#VALUE!</v>
          </cell>
          <cell r="E381" t="e">
            <v>#VALUE!</v>
          </cell>
          <cell r="F381" t="e">
            <v>#VALUE!</v>
          </cell>
          <cell r="G381" t="e">
            <v>#REF!</v>
          </cell>
          <cell r="H381" t="e">
            <v>#REF!</v>
          </cell>
          <cell r="I381" t="e">
            <v>#REF!</v>
          </cell>
          <cell r="J381" t="e">
            <v>#REF!</v>
          </cell>
          <cell r="K381" t="e">
            <v>#REF!</v>
          </cell>
          <cell r="L381" t="e">
            <v>#REF!</v>
          </cell>
          <cell r="M381" t="e">
            <v>#REF!</v>
          </cell>
          <cell r="N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</row>
        <row r="382">
          <cell r="A382" t="e">
            <v>#REF!</v>
          </cell>
          <cell r="B382">
            <v>378</v>
          </cell>
          <cell r="C382" t="e">
            <v>#REF!</v>
          </cell>
          <cell r="D382" t="e">
            <v>#VALUE!</v>
          </cell>
          <cell r="E382" t="e">
            <v>#VALUE!</v>
          </cell>
          <cell r="F382" t="e">
            <v>#VALUE!</v>
          </cell>
          <cell r="G382" t="e">
            <v>#REF!</v>
          </cell>
          <cell r="H382" t="e">
            <v>#REF!</v>
          </cell>
          <cell r="I382" t="e">
            <v>#REF!</v>
          </cell>
          <cell r="J382" t="e">
            <v>#REF!</v>
          </cell>
          <cell r="K382" t="e">
            <v>#REF!</v>
          </cell>
          <cell r="L382" t="e">
            <v>#REF!</v>
          </cell>
          <cell r="M382" t="e">
            <v>#REF!</v>
          </cell>
          <cell r="N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</row>
        <row r="383">
          <cell r="A383" t="e">
            <v>#REF!</v>
          </cell>
          <cell r="B383">
            <v>379</v>
          </cell>
          <cell r="C383" t="e">
            <v>#REF!</v>
          </cell>
          <cell r="D383" t="e">
            <v>#VALUE!</v>
          </cell>
          <cell r="E383" t="e">
            <v>#VALUE!</v>
          </cell>
          <cell r="F383" t="e">
            <v>#VALUE!</v>
          </cell>
          <cell r="G383" t="e">
            <v>#REF!</v>
          </cell>
          <cell r="H383" t="e">
            <v>#REF!</v>
          </cell>
          <cell r="I383" t="e">
            <v>#REF!</v>
          </cell>
          <cell r="J383" t="e">
            <v>#REF!</v>
          </cell>
          <cell r="K383" t="e">
            <v>#REF!</v>
          </cell>
          <cell r="L383" t="e">
            <v>#REF!</v>
          </cell>
          <cell r="M383" t="e">
            <v>#REF!</v>
          </cell>
          <cell r="N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</row>
        <row r="384">
          <cell r="A384" t="e">
            <v>#REF!</v>
          </cell>
          <cell r="B384">
            <v>380</v>
          </cell>
          <cell r="C384" t="e">
            <v>#REF!</v>
          </cell>
          <cell r="D384" t="e">
            <v>#VALUE!</v>
          </cell>
          <cell r="E384" t="e">
            <v>#VALUE!</v>
          </cell>
          <cell r="F384" t="e">
            <v>#VALUE!</v>
          </cell>
          <cell r="G384" t="e">
            <v>#REF!</v>
          </cell>
          <cell r="H384" t="e">
            <v>#REF!</v>
          </cell>
          <cell r="I384" t="e">
            <v>#REF!</v>
          </cell>
          <cell r="J384" t="e">
            <v>#REF!</v>
          </cell>
          <cell r="K384" t="e">
            <v>#REF!</v>
          </cell>
          <cell r="L384" t="e">
            <v>#REF!</v>
          </cell>
          <cell r="M384" t="e">
            <v>#REF!</v>
          </cell>
          <cell r="N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</row>
        <row r="385">
          <cell r="A385" t="e">
            <v>#REF!</v>
          </cell>
          <cell r="B385">
            <v>381</v>
          </cell>
          <cell r="C385" t="e">
            <v>#REF!</v>
          </cell>
          <cell r="D385" t="e">
            <v>#VALUE!</v>
          </cell>
          <cell r="E385" t="e">
            <v>#VALUE!</v>
          </cell>
          <cell r="F385" t="e">
            <v>#VALUE!</v>
          </cell>
          <cell r="G385" t="e">
            <v>#REF!</v>
          </cell>
          <cell r="H385" t="e">
            <v>#REF!</v>
          </cell>
          <cell r="I385" t="e">
            <v>#REF!</v>
          </cell>
          <cell r="J385" t="e">
            <v>#REF!</v>
          </cell>
          <cell r="K385" t="e">
            <v>#REF!</v>
          </cell>
          <cell r="L385" t="e">
            <v>#REF!</v>
          </cell>
          <cell r="M385" t="e">
            <v>#REF!</v>
          </cell>
          <cell r="N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</row>
        <row r="386">
          <cell r="A386" t="e">
            <v>#REF!</v>
          </cell>
          <cell r="B386">
            <v>382</v>
          </cell>
          <cell r="C386" t="e">
            <v>#REF!</v>
          </cell>
          <cell r="D386" t="e">
            <v>#VALUE!</v>
          </cell>
          <cell r="E386" t="e">
            <v>#VALUE!</v>
          </cell>
          <cell r="F386" t="e">
            <v>#VALUE!</v>
          </cell>
          <cell r="G386" t="e">
            <v>#REF!</v>
          </cell>
          <cell r="H386" t="e">
            <v>#REF!</v>
          </cell>
          <cell r="I386" t="e">
            <v>#REF!</v>
          </cell>
          <cell r="J386" t="e">
            <v>#REF!</v>
          </cell>
          <cell r="K386" t="e">
            <v>#REF!</v>
          </cell>
          <cell r="L386" t="e">
            <v>#REF!</v>
          </cell>
          <cell r="M386" t="e">
            <v>#REF!</v>
          </cell>
          <cell r="N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</row>
        <row r="387">
          <cell r="A387" t="e">
            <v>#REF!</v>
          </cell>
          <cell r="B387">
            <v>383</v>
          </cell>
          <cell r="C387" t="e">
            <v>#REF!</v>
          </cell>
          <cell r="D387" t="e">
            <v>#VALUE!</v>
          </cell>
          <cell r="E387" t="e">
            <v>#VALUE!</v>
          </cell>
          <cell r="F387" t="e">
            <v>#VALUE!</v>
          </cell>
          <cell r="G387" t="e">
            <v>#REF!</v>
          </cell>
          <cell r="H387" t="e">
            <v>#REF!</v>
          </cell>
          <cell r="I387" t="e">
            <v>#REF!</v>
          </cell>
          <cell r="J387" t="e">
            <v>#REF!</v>
          </cell>
          <cell r="K387" t="e">
            <v>#REF!</v>
          </cell>
          <cell r="L387" t="e">
            <v>#REF!</v>
          </cell>
          <cell r="M387" t="e">
            <v>#REF!</v>
          </cell>
          <cell r="N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</row>
        <row r="388">
          <cell r="A388" t="e">
            <v>#REF!</v>
          </cell>
          <cell r="B388">
            <v>384</v>
          </cell>
          <cell r="C388" t="e">
            <v>#REF!</v>
          </cell>
          <cell r="D388" t="e">
            <v>#VALUE!</v>
          </cell>
          <cell r="E388" t="e">
            <v>#VALUE!</v>
          </cell>
          <cell r="F388" t="e">
            <v>#VALUE!</v>
          </cell>
          <cell r="G388" t="e">
            <v>#REF!</v>
          </cell>
          <cell r="H388" t="e">
            <v>#REF!</v>
          </cell>
          <cell r="I388" t="e">
            <v>#REF!</v>
          </cell>
          <cell r="J388" t="e">
            <v>#REF!</v>
          </cell>
          <cell r="K388" t="e">
            <v>#REF!</v>
          </cell>
          <cell r="L388" t="e">
            <v>#REF!</v>
          </cell>
          <cell r="M388" t="e">
            <v>#REF!</v>
          </cell>
          <cell r="N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</row>
        <row r="389">
          <cell r="A389" t="e">
            <v>#REF!</v>
          </cell>
          <cell r="B389">
            <v>385</v>
          </cell>
          <cell r="C389" t="e">
            <v>#REF!</v>
          </cell>
          <cell r="D389" t="e">
            <v>#VALUE!</v>
          </cell>
          <cell r="E389" t="e">
            <v>#VALUE!</v>
          </cell>
          <cell r="F389" t="e">
            <v>#VALUE!</v>
          </cell>
          <cell r="G389" t="e">
            <v>#REF!</v>
          </cell>
          <cell r="H389" t="e">
            <v>#REF!</v>
          </cell>
          <cell r="I389" t="e">
            <v>#REF!</v>
          </cell>
          <cell r="J389" t="e">
            <v>#REF!</v>
          </cell>
          <cell r="K389" t="e">
            <v>#REF!</v>
          </cell>
          <cell r="L389" t="e">
            <v>#REF!</v>
          </cell>
          <cell r="M389" t="e">
            <v>#REF!</v>
          </cell>
          <cell r="N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</row>
        <row r="390">
          <cell r="A390" t="e">
            <v>#REF!</v>
          </cell>
          <cell r="B390">
            <v>386</v>
          </cell>
          <cell r="C390" t="e">
            <v>#REF!</v>
          </cell>
          <cell r="D390" t="e">
            <v>#VALUE!</v>
          </cell>
          <cell r="E390" t="e">
            <v>#VALUE!</v>
          </cell>
          <cell r="F390" t="e">
            <v>#VALUE!</v>
          </cell>
          <cell r="G390" t="e">
            <v>#REF!</v>
          </cell>
          <cell r="H390" t="e">
            <v>#REF!</v>
          </cell>
          <cell r="I390" t="e">
            <v>#REF!</v>
          </cell>
          <cell r="J390" t="e">
            <v>#REF!</v>
          </cell>
          <cell r="K390" t="e">
            <v>#REF!</v>
          </cell>
          <cell r="L390" t="e">
            <v>#REF!</v>
          </cell>
          <cell r="M390" t="e">
            <v>#REF!</v>
          </cell>
          <cell r="N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</row>
        <row r="391">
          <cell r="A391" t="e">
            <v>#REF!</v>
          </cell>
          <cell r="B391">
            <v>387</v>
          </cell>
          <cell r="C391" t="e">
            <v>#REF!</v>
          </cell>
          <cell r="D391" t="e">
            <v>#VALUE!</v>
          </cell>
          <cell r="E391" t="e">
            <v>#VALUE!</v>
          </cell>
          <cell r="F391" t="e">
            <v>#VALUE!</v>
          </cell>
          <cell r="G391" t="e">
            <v>#REF!</v>
          </cell>
          <cell r="H391" t="e">
            <v>#REF!</v>
          </cell>
          <cell r="I391" t="e">
            <v>#REF!</v>
          </cell>
          <cell r="J391" t="e">
            <v>#REF!</v>
          </cell>
          <cell r="K391" t="e">
            <v>#REF!</v>
          </cell>
          <cell r="L391" t="e">
            <v>#REF!</v>
          </cell>
          <cell r="M391" t="e">
            <v>#REF!</v>
          </cell>
          <cell r="N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</row>
        <row r="392">
          <cell r="A392" t="e">
            <v>#REF!</v>
          </cell>
          <cell r="B392">
            <v>388</v>
          </cell>
          <cell r="C392" t="e">
            <v>#REF!</v>
          </cell>
          <cell r="D392" t="e">
            <v>#VALUE!</v>
          </cell>
          <cell r="E392" t="e">
            <v>#VALUE!</v>
          </cell>
          <cell r="F392" t="e">
            <v>#VALUE!</v>
          </cell>
          <cell r="G392" t="e">
            <v>#REF!</v>
          </cell>
          <cell r="H392" t="e">
            <v>#REF!</v>
          </cell>
          <cell r="I392" t="e">
            <v>#REF!</v>
          </cell>
          <cell r="J392" t="e">
            <v>#REF!</v>
          </cell>
          <cell r="K392" t="e">
            <v>#REF!</v>
          </cell>
          <cell r="L392" t="e">
            <v>#REF!</v>
          </cell>
          <cell r="M392" t="e">
            <v>#REF!</v>
          </cell>
          <cell r="N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</row>
        <row r="393">
          <cell r="A393" t="e">
            <v>#REF!</v>
          </cell>
          <cell r="B393">
            <v>389</v>
          </cell>
          <cell r="C393" t="e">
            <v>#REF!</v>
          </cell>
          <cell r="D393" t="e">
            <v>#VALUE!</v>
          </cell>
          <cell r="E393" t="e">
            <v>#VALUE!</v>
          </cell>
          <cell r="F393" t="e">
            <v>#VALUE!</v>
          </cell>
          <cell r="G393" t="e">
            <v>#REF!</v>
          </cell>
          <cell r="H393" t="e">
            <v>#REF!</v>
          </cell>
          <cell r="I393" t="e">
            <v>#REF!</v>
          </cell>
          <cell r="J393" t="e">
            <v>#REF!</v>
          </cell>
          <cell r="K393" t="e">
            <v>#REF!</v>
          </cell>
          <cell r="L393" t="e">
            <v>#REF!</v>
          </cell>
          <cell r="M393" t="e">
            <v>#REF!</v>
          </cell>
          <cell r="N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</row>
        <row r="394">
          <cell r="A394" t="e">
            <v>#REF!</v>
          </cell>
          <cell r="B394">
            <v>390</v>
          </cell>
          <cell r="C394" t="e">
            <v>#REF!</v>
          </cell>
          <cell r="D394" t="e">
            <v>#VALUE!</v>
          </cell>
          <cell r="E394" t="e">
            <v>#VALUE!</v>
          </cell>
          <cell r="F394" t="e">
            <v>#VALUE!</v>
          </cell>
          <cell r="G394" t="e">
            <v>#REF!</v>
          </cell>
          <cell r="H394" t="e">
            <v>#REF!</v>
          </cell>
          <cell r="I394" t="e">
            <v>#REF!</v>
          </cell>
          <cell r="J394" t="e">
            <v>#REF!</v>
          </cell>
          <cell r="K394" t="e">
            <v>#REF!</v>
          </cell>
          <cell r="L394" t="e">
            <v>#REF!</v>
          </cell>
          <cell r="M394" t="e">
            <v>#REF!</v>
          </cell>
          <cell r="N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</row>
        <row r="395">
          <cell r="A395" t="e">
            <v>#REF!</v>
          </cell>
          <cell r="B395">
            <v>391</v>
          </cell>
          <cell r="C395" t="e">
            <v>#REF!</v>
          </cell>
          <cell r="D395" t="e">
            <v>#VALUE!</v>
          </cell>
          <cell r="E395" t="e">
            <v>#VALUE!</v>
          </cell>
          <cell r="F395" t="e">
            <v>#VALUE!</v>
          </cell>
          <cell r="G395" t="e">
            <v>#REF!</v>
          </cell>
          <cell r="H395" t="e">
            <v>#REF!</v>
          </cell>
          <cell r="I395" t="e">
            <v>#REF!</v>
          </cell>
          <cell r="J395" t="e">
            <v>#REF!</v>
          </cell>
          <cell r="K395" t="e">
            <v>#REF!</v>
          </cell>
          <cell r="L395" t="e">
            <v>#REF!</v>
          </cell>
          <cell r="M395" t="e">
            <v>#REF!</v>
          </cell>
          <cell r="N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</row>
        <row r="396">
          <cell r="A396" t="e">
            <v>#REF!</v>
          </cell>
          <cell r="B396">
            <v>392</v>
          </cell>
          <cell r="C396" t="e">
            <v>#REF!</v>
          </cell>
          <cell r="D396" t="e">
            <v>#VALUE!</v>
          </cell>
          <cell r="E396" t="e">
            <v>#VALUE!</v>
          </cell>
          <cell r="F396" t="e">
            <v>#VALUE!</v>
          </cell>
          <cell r="G396" t="e">
            <v>#REF!</v>
          </cell>
          <cell r="H396" t="e">
            <v>#REF!</v>
          </cell>
          <cell r="I396" t="e">
            <v>#REF!</v>
          </cell>
          <cell r="J396" t="e">
            <v>#REF!</v>
          </cell>
          <cell r="K396" t="e">
            <v>#REF!</v>
          </cell>
          <cell r="L396" t="e">
            <v>#REF!</v>
          </cell>
          <cell r="M396" t="e">
            <v>#REF!</v>
          </cell>
          <cell r="N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</row>
        <row r="397">
          <cell r="A397" t="e">
            <v>#REF!</v>
          </cell>
          <cell r="B397">
            <v>393</v>
          </cell>
          <cell r="C397" t="e">
            <v>#REF!</v>
          </cell>
          <cell r="D397" t="e">
            <v>#VALUE!</v>
          </cell>
          <cell r="E397" t="e">
            <v>#VALUE!</v>
          </cell>
          <cell r="F397" t="e">
            <v>#VALUE!</v>
          </cell>
          <cell r="G397" t="e">
            <v>#REF!</v>
          </cell>
          <cell r="H397" t="e">
            <v>#REF!</v>
          </cell>
          <cell r="I397" t="e">
            <v>#REF!</v>
          </cell>
          <cell r="J397" t="e">
            <v>#REF!</v>
          </cell>
          <cell r="K397" t="e">
            <v>#REF!</v>
          </cell>
          <cell r="L397" t="e">
            <v>#REF!</v>
          </cell>
          <cell r="M397" t="e">
            <v>#REF!</v>
          </cell>
          <cell r="N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</row>
        <row r="398">
          <cell r="A398" t="e">
            <v>#REF!</v>
          </cell>
          <cell r="B398">
            <v>394</v>
          </cell>
          <cell r="C398" t="e">
            <v>#REF!</v>
          </cell>
          <cell r="D398" t="e">
            <v>#VALUE!</v>
          </cell>
          <cell r="E398" t="e">
            <v>#VALUE!</v>
          </cell>
          <cell r="F398" t="e">
            <v>#VALUE!</v>
          </cell>
          <cell r="G398" t="e">
            <v>#REF!</v>
          </cell>
          <cell r="H398" t="e">
            <v>#REF!</v>
          </cell>
          <cell r="I398" t="e">
            <v>#REF!</v>
          </cell>
          <cell r="J398" t="e">
            <v>#REF!</v>
          </cell>
          <cell r="K398" t="e">
            <v>#REF!</v>
          </cell>
          <cell r="L398" t="e">
            <v>#REF!</v>
          </cell>
          <cell r="M398" t="e">
            <v>#REF!</v>
          </cell>
          <cell r="N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</row>
        <row r="399">
          <cell r="A399" t="e">
            <v>#REF!</v>
          </cell>
          <cell r="B399">
            <v>395</v>
          </cell>
          <cell r="C399" t="e">
            <v>#REF!</v>
          </cell>
          <cell r="D399" t="e">
            <v>#VALUE!</v>
          </cell>
          <cell r="E399" t="e">
            <v>#VALUE!</v>
          </cell>
          <cell r="F399" t="e">
            <v>#VALUE!</v>
          </cell>
          <cell r="G399" t="e">
            <v>#REF!</v>
          </cell>
          <cell r="H399" t="e">
            <v>#REF!</v>
          </cell>
          <cell r="I399" t="e">
            <v>#REF!</v>
          </cell>
          <cell r="J399" t="e">
            <v>#REF!</v>
          </cell>
          <cell r="K399" t="e">
            <v>#REF!</v>
          </cell>
          <cell r="L399" t="e">
            <v>#REF!</v>
          </cell>
          <cell r="M399" t="e">
            <v>#REF!</v>
          </cell>
          <cell r="N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</row>
        <row r="400">
          <cell r="A400" t="e">
            <v>#REF!</v>
          </cell>
          <cell r="B400">
            <v>396</v>
          </cell>
          <cell r="C400" t="e">
            <v>#REF!</v>
          </cell>
          <cell r="D400" t="e">
            <v>#VALUE!</v>
          </cell>
          <cell r="E400" t="e">
            <v>#VALUE!</v>
          </cell>
          <cell r="F400" t="e">
            <v>#VALUE!</v>
          </cell>
          <cell r="G400" t="e">
            <v>#REF!</v>
          </cell>
          <cell r="H400" t="e">
            <v>#REF!</v>
          </cell>
          <cell r="I400" t="e">
            <v>#REF!</v>
          </cell>
          <cell r="J400" t="e">
            <v>#REF!</v>
          </cell>
          <cell r="K400" t="e">
            <v>#REF!</v>
          </cell>
          <cell r="L400" t="e">
            <v>#REF!</v>
          </cell>
          <cell r="M400" t="e">
            <v>#REF!</v>
          </cell>
          <cell r="N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</row>
        <row r="401">
          <cell r="A401" t="e">
            <v>#REF!</v>
          </cell>
          <cell r="B401">
            <v>397</v>
          </cell>
          <cell r="C401" t="e">
            <v>#REF!</v>
          </cell>
          <cell r="D401" t="e">
            <v>#VALUE!</v>
          </cell>
          <cell r="E401" t="e">
            <v>#VALUE!</v>
          </cell>
          <cell r="F401" t="e">
            <v>#VALUE!</v>
          </cell>
          <cell r="G401" t="e">
            <v>#REF!</v>
          </cell>
          <cell r="H401" t="e">
            <v>#REF!</v>
          </cell>
          <cell r="I401" t="e">
            <v>#REF!</v>
          </cell>
          <cell r="J401" t="e">
            <v>#REF!</v>
          </cell>
          <cell r="K401" t="e">
            <v>#REF!</v>
          </cell>
          <cell r="L401" t="e">
            <v>#REF!</v>
          </cell>
          <cell r="M401" t="e">
            <v>#REF!</v>
          </cell>
          <cell r="N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</row>
        <row r="402">
          <cell r="A402" t="e">
            <v>#REF!</v>
          </cell>
          <cell r="B402">
            <v>398</v>
          </cell>
          <cell r="C402" t="e">
            <v>#REF!</v>
          </cell>
          <cell r="D402" t="e">
            <v>#VALUE!</v>
          </cell>
          <cell r="E402" t="e">
            <v>#VALUE!</v>
          </cell>
          <cell r="F402" t="e">
            <v>#VALUE!</v>
          </cell>
          <cell r="G402" t="e">
            <v>#REF!</v>
          </cell>
          <cell r="H402" t="e">
            <v>#REF!</v>
          </cell>
          <cell r="I402" t="e">
            <v>#REF!</v>
          </cell>
          <cell r="J402" t="e">
            <v>#REF!</v>
          </cell>
          <cell r="K402" t="e">
            <v>#REF!</v>
          </cell>
          <cell r="L402" t="e">
            <v>#REF!</v>
          </cell>
          <cell r="M402" t="e">
            <v>#REF!</v>
          </cell>
          <cell r="N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</row>
        <row r="403">
          <cell r="A403" t="e">
            <v>#REF!</v>
          </cell>
          <cell r="B403">
            <v>399</v>
          </cell>
          <cell r="C403" t="e">
            <v>#REF!</v>
          </cell>
          <cell r="D403" t="e">
            <v>#VALUE!</v>
          </cell>
          <cell r="E403" t="e">
            <v>#VALUE!</v>
          </cell>
          <cell r="F403" t="e">
            <v>#VALUE!</v>
          </cell>
          <cell r="G403" t="e">
            <v>#REF!</v>
          </cell>
          <cell r="H403" t="e">
            <v>#REF!</v>
          </cell>
          <cell r="I403" t="e">
            <v>#REF!</v>
          </cell>
          <cell r="J403" t="e">
            <v>#REF!</v>
          </cell>
          <cell r="K403" t="e">
            <v>#REF!</v>
          </cell>
          <cell r="L403" t="e">
            <v>#REF!</v>
          </cell>
          <cell r="M403" t="e">
            <v>#REF!</v>
          </cell>
          <cell r="N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</row>
        <row r="404">
          <cell r="A404" t="e">
            <v>#REF!</v>
          </cell>
          <cell r="B404">
            <v>400</v>
          </cell>
          <cell r="C404" t="e">
            <v>#REF!</v>
          </cell>
          <cell r="D404" t="e">
            <v>#VALUE!</v>
          </cell>
          <cell r="E404" t="e">
            <v>#VALUE!</v>
          </cell>
          <cell r="F404" t="e">
            <v>#VALUE!</v>
          </cell>
          <cell r="G404" t="e">
            <v>#REF!</v>
          </cell>
          <cell r="H404" t="e">
            <v>#REF!</v>
          </cell>
          <cell r="I404" t="e">
            <v>#REF!</v>
          </cell>
          <cell r="J404" t="e">
            <v>#REF!</v>
          </cell>
          <cell r="K404" t="e">
            <v>#REF!</v>
          </cell>
          <cell r="L404" t="e">
            <v>#REF!</v>
          </cell>
          <cell r="M404" t="e">
            <v>#REF!</v>
          </cell>
          <cell r="N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</row>
        <row r="405">
          <cell r="A405" t="e">
            <v>#REF!</v>
          </cell>
          <cell r="B405">
            <v>401</v>
          </cell>
          <cell r="C405" t="e">
            <v>#REF!</v>
          </cell>
          <cell r="D405" t="e">
            <v>#VALUE!</v>
          </cell>
          <cell r="E405" t="e">
            <v>#VALUE!</v>
          </cell>
          <cell r="F405" t="e">
            <v>#VALUE!</v>
          </cell>
          <cell r="G405" t="e">
            <v>#REF!</v>
          </cell>
          <cell r="H405" t="e">
            <v>#REF!</v>
          </cell>
          <cell r="I405" t="e">
            <v>#REF!</v>
          </cell>
          <cell r="J405" t="e">
            <v>#REF!</v>
          </cell>
          <cell r="K405" t="e">
            <v>#REF!</v>
          </cell>
          <cell r="L405" t="e">
            <v>#REF!</v>
          </cell>
          <cell r="M405" t="e">
            <v>#REF!</v>
          </cell>
          <cell r="N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</row>
        <row r="406">
          <cell r="A406" t="e">
            <v>#REF!</v>
          </cell>
          <cell r="B406">
            <v>402</v>
          </cell>
          <cell r="C406" t="e">
            <v>#REF!</v>
          </cell>
          <cell r="D406" t="e">
            <v>#VALUE!</v>
          </cell>
          <cell r="E406" t="e">
            <v>#VALUE!</v>
          </cell>
          <cell r="F406" t="e">
            <v>#VALUE!</v>
          </cell>
          <cell r="G406" t="e">
            <v>#REF!</v>
          </cell>
          <cell r="H406" t="e">
            <v>#REF!</v>
          </cell>
          <cell r="I406" t="e">
            <v>#REF!</v>
          </cell>
          <cell r="J406" t="e">
            <v>#REF!</v>
          </cell>
          <cell r="K406" t="e">
            <v>#REF!</v>
          </cell>
          <cell r="L406" t="e">
            <v>#REF!</v>
          </cell>
          <cell r="M406" t="e">
            <v>#REF!</v>
          </cell>
          <cell r="N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</row>
        <row r="407">
          <cell r="A407" t="e">
            <v>#REF!</v>
          </cell>
          <cell r="B407">
            <v>403</v>
          </cell>
          <cell r="C407" t="e">
            <v>#REF!</v>
          </cell>
          <cell r="D407" t="e">
            <v>#VALUE!</v>
          </cell>
          <cell r="E407" t="e">
            <v>#VALUE!</v>
          </cell>
          <cell r="F407" t="e">
            <v>#VALUE!</v>
          </cell>
          <cell r="G407" t="e">
            <v>#REF!</v>
          </cell>
          <cell r="H407" t="e">
            <v>#REF!</v>
          </cell>
          <cell r="I407" t="e">
            <v>#REF!</v>
          </cell>
          <cell r="J407" t="e">
            <v>#REF!</v>
          </cell>
          <cell r="K407" t="e">
            <v>#REF!</v>
          </cell>
          <cell r="L407" t="e">
            <v>#REF!</v>
          </cell>
          <cell r="M407" t="e">
            <v>#REF!</v>
          </cell>
          <cell r="N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</row>
        <row r="408">
          <cell r="A408" t="e">
            <v>#REF!</v>
          </cell>
          <cell r="B408">
            <v>404</v>
          </cell>
          <cell r="C408" t="e">
            <v>#REF!</v>
          </cell>
          <cell r="D408" t="e">
            <v>#VALUE!</v>
          </cell>
          <cell r="E408" t="e">
            <v>#VALUE!</v>
          </cell>
          <cell r="F408" t="e">
            <v>#VALUE!</v>
          </cell>
          <cell r="G408" t="e">
            <v>#REF!</v>
          </cell>
          <cell r="H408" t="e">
            <v>#REF!</v>
          </cell>
          <cell r="I408" t="e">
            <v>#REF!</v>
          </cell>
          <cell r="J408" t="e">
            <v>#REF!</v>
          </cell>
          <cell r="K408" t="e">
            <v>#REF!</v>
          </cell>
          <cell r="L408" t="e">
            <v>#REF!</v>
          </cell>
          <cell r="M408" t="e">
            <v>#REF!</v>
          </cell>
          <cell r="N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</row>
        <row r="409">
          <cell r="A409" t="e">
            <v>#REF!</v>
          </cell>
          <cell r="B409">
            <v>405</v>
          </cell>
          <cell r="C409" t="e">
            <v>#REF!</v>
          </cell>
          <cell r="D409" t="e">
            <v>#VALUE!</v>
          </cell>
          <cell r="E409" t="e">
            <v>#VALUE!</v>
          </cell>
          <cell r="F409" t="e">
            <v>#VALUE!</v>
          </cell>
          <cell r="G409" t="e">
            <v>#REF!</v>
          </cell>
          <cell r="H409" t="e">
            <v>#REF!</v>
          </cell>
          <cell r="I409" t="e">
            <v>#REF!</v>
          </cell>
          <cell r="J409" t="e">
            <v>#REF!</v>
          </cell>
          <cell r="K409" t="e">
            <v>#REF!</v>
          </cell>
          <cell r="L409" t="e">
            <v>#REF!</v>
          </cell>
          <cell r="M409" t="e">
            <v>#REF!</v>
          </cell>
          <cell r="N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</row>
        <row r="410">
          <cell r="A410" t="e">
            <v>#REF!</v>
          </cell>
          <cell r="B410">
            <v>406</v>
          </cell>
          <cell r="C410" t="e">
            <v>#REF!</v>
          </cell>
          <cell r="D410" t="e">
            <v>#VALUE!</v>
          </cell>
          <cell r="E410" t="e">
            <v>#VALUE!</v>
          </cell>
          <cell r="F410" t="e">
            <v>#VALUE!</v>
          </cell>
          <cell r="G410" t="e">
            <v>#REF!</v>
          </cell>
          <cell r="H410" t="e">
            <v>#REF!</v>
          </cell>
          <cell r="I410" t="e">
            <v>#REF!</v>
          </cell>
          <cell r="J410" t="e">
            <v>#REF!</v>
          </cell>
          <cell r="K410" t="e">
            <v>#REF!</v>
          </cell>
          <cell r="L410" t="e">
            <v>#REF!</v>
          </cell>
          <cell r="M410" t="e">
            <v>#REF!</v>
          </cell>
          <cell r="N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</row>
        <row r="411">
          <cell r="A411" t="e">
            <v>#REF!</v>
          </cell>
          <cell r="B411">
            <v>407</v>
          </cell>
          <cell r="C411" t="e">
            <v>#REF!</v>
          </cell>
          <cell r="D411" t="e">
            <v>#VALUE!</v>
          </cell>
          <cell r="E411" t="e">
            <v>#VALUE!</v>
          </cell>
          <cell r="F411" t="e">
            <v>#VALUE!</v>
          </cell>
          <cell r="G411" t="e">
            <v>#REF!</v>
          </cell>
          <cell r="H411" t="e">
            <v>#REF!</v>
          </cell>
          <cell r="I411" t="e">
            <v>#REF!</v>
          </cell>
          <cell r="J411" t="e">
            <v>#REF!</v>
          </cell>
          <cell r="K411" t="e">
            <v>#REF!</v>
          </cell>
          <cell r="L411" t="e">
            <v>#REF!</v>
          </cell>
          <cell r="M411" t="e">
            <v>#REF!</v>
          </cell>
          <cell r="N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</row>
        <row r="412">
          <cell r="A412" t="e">
            <v>#REF!</v>
          </cell>
          <cell r="B412">
            <v>408</v>
          </cell>
          <cell r="C412" t="e">
            <v>#REF!</v>
          </cell>
          <cell r="D412" t="e">
            <v>#VALUE!</v>
          </cell>
          <cell r="E412" t="e">
            <v>#VALUE!</v>
          </cell>
          <cell r="F412" t="e">
            <v>#VALUE!</v>
          </cell>
          <cell r="G412" t="e">
            <v>#REF!</v>
          </cell>
          <cell r="H412" t="e">
            <v>#REF!</v>
          </cell>
          <cell r="I412" t="e">
            <v>#REF!</v>
          </cell>
          <cell r="J412" t="e">
            <v>#REF!</v>
          </cell>
          <cell r="K412" t="e">
            <v>#REF!</v>
          </cell>
          <cell r="L412" t="e">
            <v>#REF!</v>
          </cell>
          <cell r="M412" t="e">
            <v>#REF!</v>
          </cell>
          <cell r="N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</row>
        <row r="413">
          <cell r="A413" t="e">
            <v>#REF!</v>
          </cell>
          <cell r="B413">
            <v>409</v>
          </cell>
          <cell r="C413" t="e">
            <v>#REF!</v>
          </cell>
          <cell r="D413" t="e">
            <v>#VALUE!</v>
          </cell>
          <cell r="E413" t="e">
            <v>#VALUE!</v>
          </cell>
          <cell r="F413" t="e">
            <v>#VALUE!</v>
          </cell>
          <cell r="G413" t="e">
            <v>#REF!</v>
          </cell>
          <cell r="H413" t="e">
            <v>#REF!</v>
          </cell>
          <cell r="I413" t="e">
            <v>#REF!</v>
          </cell>
          <cell r="J413" t="e">
            <v>#REF!</v>
          </cell>
          <cell r="K413" t="e">
            <v>#REF!</v>
          </cell>
          <cell r="L413" t="e">
            <v>#REF!</v>
          </cell>
          <cell r="M413" t="e">
            <v>#REF!</v>
          </cell>
          <cell r="N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</row>
        <row r="414">
          <cell r="A414" t="e">
            <v>#REF!</v>
          </cell>
          <cell r="B414">
            <v>410</v>
          </cell>
          <cell r="C414" t="e">
            <v>#REF!</v>
          </cell>
          <cell r="D414" t="e">
            <v>#VALUE!</v>
          </cell>
          <cell r="E414" t="e">
            <v>#VALUE!</v>
          </cell>
          <cell r="F414" t="e">
            <v>#VALUE!</v>
          </cell>
          <cell r="G414" t="e">
            <v>#REF!</v>
          </cell>
          <cell r="H414" t="e">
            <v>#REF!</v>
          </cell>
          <cell r="I414" t="e">
            <v>#REF!</v>
          </cell>
          <cell r="J414" t="e">
            <v>#REF!</v>
          </cell>
          <cell r="K414" t="e">
            <v>#REF!</v>
          </cell>
          <cell r="L414" t="e">
            <v>#REF!</v>
          </cell>
          <cell r="M414" t="e">
            <v>#REF!</v>
          </cell>
          <cell r="N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</row>
        <row r="415">
          <cell r="A415" t="e">
            <v>#REF!</v>
          </cell>
          <cell r="B415">
            <v>411</v>
          </cell>
          <cell r="C415" t="e">
            <v>#REF!</v>
          </cell>
          <cell r="D415" t="e">
            <v>#VALUE!</v>
          </cell>
          <cell r="E415" t="e">
            <v>#VALUE!</v>
          </cell>
          <cell r="F415" t="e">
            <v>#VALUE!</v>
          </cell>
          <cell r="G415" t="e">
            <v>#REF!</v>
          </cell>
          <cell r="H415" t="e">
            <v>#REF!</v>
          </cell>
          <cell r="I415" t="e">
            <v>#REF!</v>
          </cell>
          <cell r="J415" t="e">
            <v>#REF!</v>
          </cell>
          <cell r="K415" t="e">
            <v>#REF!</v>
          </cell>
          <cell r="L415" t="e">
            <v>#REF!</v>
          </cell>
          <cell r="M415" t="e">
            <v>#REF!</v>
          </cell>
          <cell r="N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</row>
        <row r="416">
          <cell r="A416" t="e">
            <v>#REF!</v>
          </cell>
          <cell r="B416">
            <v>412</v>
          </cell>
          <cell r="C416" t="e">
            <v>#REF!</v>
          </cell>
          <cell r="D416" t="e">
            <v>#VALUE!</v>
          </cell>
          <cell r="E416" t="e">
            <v>#VALUE!</v>
          </cell>
          <cell r="F416" t="e">
            <v>#VALUE!</v>
          </cell>
          <cell r="G416" t="e">
            <v>#REF!</v>
          </cell>
          <cell r="H416" t="e">
            <v>#REF!</v>
          </cell>
          <cell r="I416" t="e">
            <v>#REF!</v>
          </cell>
          <cell r="J416" t="e">
            <v>#REF!</v>
          </cell>
          <cell r="K416" t="e">
            <v>#REF!</v>
          </cell>
          <cell r="L416" t="e">
            <v>#REF!</v>
          </cell>
          <cell r="M416" t="e">
            <v>#REF!</v>
          </cell>
          <cell r="N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</row>
        <row r="417">
          <cell r="A417" t="e">
            <v>#REF!</v>
          </cell>
          <cell r="B417">
            <v>413</v>
          </cell>
          <cell r="C417" t="e">
            <v>#REF!</v>
          </cell>
          <cell r="D417" t="e">
            <v>#VALUE!</v>
          </cell>
          <cell r="E417" t="e">
            <v>#VALUE!</v>
          </cell>
          <cell r="F417" t="e">
            <v>#VALUE!</v>
          </cell>
          <cell r="G417" t="e">
            <v>#REF!</v>
          </cell>
          <cell r="H417" t="e">
            <v>#REF!</v>
          </cell>
          <cell r="I417" t="e">
            <v>#REF!</v>
          </cell>
          <cell r="J417" t="e">
            <v>#REF!</v>
          </cell>
          <cell r="K417" t="e">
            <v>#REF!</v>
          </cell>
          <cell r="L417" t="e">
            <v>#REF!</v>
          </cell>
          <cell r="M417" t="e">
            <v>#REF!</v>
          </cell>
          <cell r="N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</row>
        <row r="418">
          <cell r="A418" t="e">
            <v>#REF!</v>
          </cell>
          <cell r="B418">
            <v>414</v>
          </cell>
          <cell r="C418" t="e">
            <v>#REF!</v>
          </cell>
          <cell r="D418" t="e">
            <v>#VALUE!</v>
          </cell>
          <cell r="E418" t="e">
            <v>#VALUE!</v>
          </cell>
          <cell r="F418" t="e">
            <v>#VALUE!</v>
          </cell>
          <cell r="G418" t="e">
            <v>#REF!</v>
          </cell>
          <cell r="H418" t="e">
            <v>#REF!</v>
          </cell>
          <cell r="I418" t="e">
            <v>#REF!</v>
          </cell>
          <cell r="J418" t="e">
            <v>#REF!</v>
          </cell>
          <cell r="K418" t="e">
            <v>#REF!</v>
          </cell>
          <cell r="L418" t="e">
            <v>#REF!</v>
          </cell>
          <cell r="M418" t="e">
            <v>#REF!</v>
          </cell>
          <cell r="N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</row>
        <row r="419">
          <cell r="A419" t="e">
            <v>#REF!</v>
          </cell>
          <cell r="B419">
            <v>415</v>
          </cell>
          <cell r="C419" t="e">
            <v>#REF!</v>
          </cell>
          <cell r="D419" t="e">
            <v>#VALUE!</v>
          </cell>
          <cell r="E419" t="e">
            <v>#VALUE!</v>
          </cell>
          <cell r="F419" t="e">
            <v>#VALUE!</v>
          </cell>
          <cell r="G419" t="e">
            <v>#REF!</v>
          </cell>
          <cell r="H419" t="e">
            <v>#REF!</v>
          </cell>
          <cell r="I419" t="e">
            <v>#REF!</v>
          </cell>
          <cell r="J419" t="e">
            <v>#REF!</v>
          </cell>
          <cell r="K419" t="e">
            <v>#REF!</v>
          </cell>
          <cell r="L419" t="e">
            <v>#REF!</v>
          </cell>
          <cell r="M419" t="e">
            <v>#REF!</v>
          </cell>
          <cell r="N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</row>
        <row r="420">
          <cell r="A420" t="e">
            <v>#REF!</v>
          </cell>
          <cell r="B420">
            <v>416</v>
          </cell>
          <cell r="C420" t="e">
            <v>#REF!</v>
          </cell>
          <cell r="D420" t="e">
            <v>#VALUE!</v>
          </cell>
          <cell r="E420" t="e">
            <v>#VALUE!</v>
          </cell>
          <cell r="F420" t="e">
            <v>#VALUE!</v>
          </cell>
          <cell r="G420" t="e">
            <v>#REF!</v>
          </cell>
          <cell r="H420" t="e">
            <v>#REF!</v>
          </cell>
          <cell r="I420" t="e">
            <v>#REF!</v>
          </cell>
          <cell r="J420" t="e">
            <v>#REF!</v>
          </cell>
          <cell r="K420" t="e">
            <v>#REF!</v>
          </cell>
          <cell r="L420" t="e">
            <v>#REF!</v>
          </cell>
          <cell r="M420" t="e">
            <v>#REF!</v>
          </cell>
          <cell r="N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</row>
        <row r="421">
          <cell r="A421" t="e">
            <v>#REF!</v>
          </cell>
          <cell r="B421">
            <v>417</v>
          </cell>
          <cell r="C421" t="e">
            <v>#REF!</v>
          </cell>
          <cell r="D421" t="e">
            <v>#VALUE!</v>
          </cell>
          <cell r="E421" t="e">
            <v>#VALUE!</v>
          </cell>
          <cell r="F421" t="e">
            <v>#VALUE!</v>
          </cell>
          <cell r="G421" t="e">
            <v>#REF!</v>
          </cell>
          <cell r="H421" t="e">
            <v>#REF!</v>
          </cell>
          <cell r="I421" t="e">
            <v>#REF!</v>
          </cell>
          <cell r="J421" t="e">
            <v>#REF!</v>
          </cell>
          <cell r="K421" t="e">
            <v>#REF!</v>
          </cell>
          <cell r="L421" t="e">
            <v>#REF!</v>
          </cell>
          <cell r="M421" t="e">
            <v>#REF!</v>
          </cell>
          <cell r="N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</row>
        <row r="422">
          <cell r="A422" t="e">
            <v>#REF!</v>
          </cell>
          <cell r="B422">
            <v>418</v>
          </cell>
          <cell r="C422" t="e">
            <v>#REF!</v>
          </cell>
          <cell r="D422" t="e">
            <v>#VALUE!</v>
          </cell>
          <cell r="E422" t="e">
            <v>#VALUE!</v>
          </cell>
          <cell r="F422" t="e">
            <v>#VALUE!</v>
          </cell>
          <cell r="G422" t="e">
            <v>#REF!</v>
          </cell>
          <cell r="H422" t="e">
            <v>#REF!</v>
          </cell>
          <cell r="I422" t="e">
            <v>#REF!</v>
          </cell>
          <cell r="J422" t="e">
            <v>#REF!</v>
          </cell>
          <cell r="K422" t="e">
            <v>#REF!</v>
          </cell>
          <cell r="L422" t="e">
            <v>#REF!</v>
          </cell>
          <cell r="M422" t="e">
            <v>#REF!</v>
          </cell>
          <cell r="N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</row>
        <row r="423">
          <cell r="A423" t="e">
            <v>#REF!</v>
          </cell>
          <cell r="B423">
            <v>419</v>
          </cell>
          <cell r="C423" t="e">
            <v>#REF!</v>
          </cell>
          <cell r="D423" t="e">
            <v>#VALUE!</v>
          </cell>
          <cell r="E423" t="e">
            <v>#VALUE!</v>
          </cell>
          <cell r="F423" t="e">
            <v>#VALUE!</v>
          </cell>
          <cell r="G423" t="e">
            <v>#REF!</v>
          </cell>
          <cell r="H423" t="e">
            <v>#REF!</v>
          </cell>
          <cell r="I423" t="e">
            <v>#REF!</v>
          </cell>
          <cell r="J423" t="e">
            <v>#REF!</v>
          </cell>
          <cell r="K423" t="e">
            <v>#REF!</v>
          </cell>
          <cell r="L423" t="e">
            <v>#REF!</v>
          </cell>
          <cell r="M423" t="e">
            <v>#REF!</v>
          </cell>
          <cell r="N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</row>
        <row r="424">
          <cell r="A424" t="e">
            <v>#REF!</v>
          </cell>
          <cell r="B424">
            <v>420</v>
          </cell>
          <cell r="C424" t="e">
            <v>#REF!</v>
          </cell>
          <cell r="D424" t="e">
            <v>#VALUE!</v>
          </cell>
          <cell r="E424" t="e">
            <v>#VALUE!</v>
          </cell>
          <cell r="F424" t="e">
            <v>#VALUE!</v>
          </cell>
          <cell r="G424" t="e">
            <v>#REF!</v>
          </cell>
          <cell r="H424" t="e">
            <v>#REF!</v>
          </cell>
          <cell r="I424" t="e">
            <v>#REF!</v>
          </cell>
          <cell r="J424" t="e">
            <v>#REF!</v>
          </cell>
          <cell r="K424" t="e">
            <v>#REF!</v>
          </cell>
          <cell r="L424" t="e">
            <v>#REF!</v>
          </cell>
          <cell r="M424" t="e">
            <v>#REF!</v>
          </cell>
          <cell r="N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</row>
        <row r="425">
          <cell r="A425" t="e">
            <v>#REF!</v>
          </cell>
          <cell r="B425">
            <v>421</v>
          </cell>
          <cell r="C425" t="e">
            <v>#REF!</v>
          </cell>
          <cell r="D425" t="e">
            <v>#VALUE!</v>
          </cell>
          <cell r="E425" t="e">
            <v>#VALUE!</v>
          </cell>
          <cell r="F425" t="e">
            <v>#VALUE!</v>
          </cell>
          <cell r="G425" t="e">
            <v>#REF!</v>
          </cell>
          <cell r="H425" t="e">
            <v>#REF!</v>
          </cell>
          <cell r="I425" t="e">
            <v>#REF!</v>
          </cell>
          <cell r="J425" t="e">
            <v>#REF!</v>
          </cell>
          <cell r="K425" t="e">
            <v>#REF!</v>
          </cell>
          <cell r="L425" t="e">
            <v>#REF!</v>
          </cell>
          <cell r="M425" t="e">
            <v>#REF!</v>
          </cell>
          <cell r="N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</row>
        <row r="426">
          <cell r="A426" t="e">
            <v>#REF!</v>
          </cell>
          <cell r="B426">
            <v>422</v>
          </cell>
          <cell r="C426" t="e">
            <v>#REF!</v>
          </cell>
          <cell r="D426" t="e">
            <v>#VALUE!</v>
          </cell>
          <cell r="E426" t="e">
            <v>#VALUE!</v>
          </cell>
          <cell r="F426" t="e">
            <v>#VALUE!</v>
          </cell>
          <cell r="G426" t="e">
            <v>#REF!</v>
          </cell>
          <cell r="H426" t="e">
            <v>#REF!</v>
          </cell>
          <cell r="I426" t="e">
            <v>#REF!</v>
          </cell>
          <cell r="J426" t="e">
            <v>#REF!</v>
          </cell>
          <cell r="K426" t="e">
            <v>#REF!</v>
          </cell>
          <cell r="L426" t="e">
            <v>#REF!</v>
          </cell>
          <cell r="M426" t="e">
            <v>#REF!</v>
          </cell>
          <cell r="N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</row>
        <row r="427">
          <cell r="A427" t="e">
            <v>#REF!</v>
          </cell>
          <cell r="B427">
            <v>423</v>
          </cell>
          <cell r="C427" t="e">
            <v>#REF!</v>
          </cell>
          <cell r="D427" t="e">
            <v>#VALUE!</v>
          </cell>
          <cell r="E427" t="e">
            <v>#VALUE!</v>
          </cell>
          <cell r="F427" t="e">
            <v>#VALUE!</v>
          </cell>
          <cell r="G427" t="e">
            <v>#REF!</v>
          </cell>
          <cell r="H427" t="e">
            <v>#REF!</v>
          </cell>
          <cell r="I427" t="e">
            <v>#REF!</v>
          </cell>
          <cell r="J427" t="e">
            <v>#REF!</v>
          </cell>
          <cell r="K427" t="e">
            <v>#REF!</v>
          </cell>
          <cell r="L427" t="e">
            <v>#REF!</v>
          </cell>
          <cell r="M427" t="e">
            <v>#REF!</v>
          </cell>
          <cell r="N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</row>
        <row r="428">
          <cell r="A428" t="e">
            <v>#REF!</v>
          </cell>
          <cell r="B428">
            <v>424</v>
          </cell>
          <cell r="C428" t="e">
            <v>#REF!</v>
          </cell>
          <cell r="D428" t="e">
            <v>#VALUE!</v>
          </cell>
          <cell r="E428" t="e">
            <v>#VALUE!</v>
          </cell>
          <cell r="F428" t="e">
            <v>#VALUE!</v>
          </cell>
          <cell r="G428" t="e">
            <v>#REF!</v>
          </cell>
          <cell r="H428" t="e">
            <v>#REF!</v>
          </cell>
          <cell r="I428" t="e">
            <v>#REF!</v>
          </cell>
          <cell r="J428" t="e">
            <v>#REF!</v>
          </cell>
          <cell r="K428" t="e">
            <v>#REF!</v>
          </cell>
          <cell r="L428" t="e">
            <v>#REF!</v>
          </cell>
          <cell r="M428" t="e">
            <v>#REF!</v>
          </cell>
          <cell r="N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</row>
        <row r="429">
          <cell r="A429" t="e">
            <v>#REF!</v>
          </cell>
          <cell r="B429">
            <v>425</v>
          </cell>
          <cell r="C429" t="e">
            <v>#REF!</v>
          </cell>
          <cell r="D429" t="e">
            <v>#VALUE!</v>
          </cell>
          <cell r="E429" t="e">
            <v>#VALUE!</v>
          </cell>
          <cell r="F429" t="e">
            <v>#VALUE!</v>
          </cell>
          <cell r="G429" t="e">
            <v>#REF!</v>
          </cell>
          <cell r="H429" t="e">
            <v>#REF!</v>
          </cell>
          <cell r="I429" t="e">
            <v>#REF!</v>
          </cell>
          <cell r="J429" t="e">
            <v>#REF!</v>
          </cell>
          <cell r="K429" t="e">
            <v>#REF!</v>
          </cell>
          <cell r="L429" t="e">
            <v>#REF!</v>
          </cell>
          <cell r="M429" t="e">
            <v>#REF!</v>
          </cell>
          <cell r="N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</row>
        <row r="430">
          <cell r="A430" t="e">
            <v>#REF!</v>
          </cell>
          <cell r="B430">
            <v>426</v>
          </cell>
          <cell r="C430" t="e">
            <v>#REF!</v>
          </cell>
          <cell r="D430" t="e">
            <v>#VALUE!</v>
          </cell>
          <cell r="E430" t="e">
            <v>#VALUE!</v>
          </cell>
          <cell r="F430" t="e">
            <v>#VALUE!</v>
          </cell>
          <cell r="G430" t="e">
            <v>#REF!</v>
          </cell>
          <cell r="H430" t="e">
            <v>#REF!</v>
          </cell>
          <cell r="I430" t="e">
            <v>#REF!</v>
          </cell>
          <cell r="J430" t="e">
            <v>#REF!</v>
          </cell>
          <cell r="K430" t="e">
            <v>#REF!</v>
          </cell>
          <cell r="L430" t="e">
            <v>#REF!</v>
          </cell>
          <cell r="M430" t="e">
            <v>#REF!</v>
          </cell>
          <cell r="N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</row>
        <row r="431">
          <cell r="A431" t="e">
            <v>#REF!</v>
          </cell>
          <cell r="B431">
            <v>427</v>
          </cell>
          <cell r="C431" t="e">
            <v>#REF!</v>
          </cell>
          <cell r="D431" t="e">
            <v>#VALUE!</v>
          </cell>
          <cell r="E431" t="e">
            <v>#VALUE!</v>
          </cell>
          <cell r="F431" t="e">
            <v>#VALUE!</v>
          </cell>
          <cell r="G431" t="e">
            <v>#REF!</v>
          </cell>
          <cell r="H431" t="e">
            <v>#REF!</v>
          </cell>
          <cell r="I431" t="e">
            <v>#REF!</v>
          </cell>
          <cell r="J431" t="e">
            <v>#REF!</v>
          </cell>
          <cell r="K431" t="e">
            <v>#REF!</v>
          </cell>
          <cell r="L431" t="e">
            <v>#REF!</v>
          </cell>
          <cell r="M431" t="e">
            <v>#REF!</v>
          </cell>
          <cell r="N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</row>
        <row r="432">
          <cell r="A432" t="e">
            <v>#REF!</v>
          </cell>
          <cell r="B432">
            <v>428</v>
          </cell>
          <cell r="C432" t="e">
            <v>#REF!</v>
          </cell>
          <cell r="D432" t="e">
            <v>#VALUE!</v>
          </cell>
          <cell r="E432" t="e">
            <v>#VALUE!</v>
          </cell>
          <cell r="F432" t="e">
            <v>#VALUE!</v>
          </cell>
          <cell r="G432" t="e">
            <v>#REF!</v>
          </cell>
          <cell r="H432" t="e">
            <v>#REF!</v>
          </cell>
          <cell r="I432" t="e">
            <v>#REF!</v>
          </cell>
          <cell r="J432" t="e">
            <v>#REF!</v>
          </cell>
          <cell r="K432" t="e">
            <v>#REF!</v>
          </cell>
          <cell r="L432" t="e">
            <v>#REF!</v>
          </cell>
          <cell r="M432" t="e">
            <v>#REF!</v>
          </cell>
          <cell r="N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</row>
        <row r="433">
          <cell r="A433" t="e">
            <v>#REF!</v>
          </cell>
          <cell r="B433">
            <v>429</v>
          </cell>
          <cell r="C433" t="e">
            <v>#REF!</v>
          </cell>
          <cell r="D433" t="e">
            <v>#VALUE!</v>
          </cell>
          <cell r="E433" t="e">
            <v>#VALUE!</v>
          </cell>
          <cell r="F433" t="e">
            <v>#VALUE!</v>
          </cell>
          <cell r="G433" t="e">
            <v>#REF!</v>
          </cell>
          <cell r="H433" t="e">
            <v>#REF!</v>
          </cell>
          <cell r="I433" t="e">
            <v>#REF!</v>
          </cell>
          <cell r="J433" t="e">
            <v>#REF!</v>
          </cell>
          <cell r="K433" t="e">
            <v>#REF!</v>
          </cell>
          <cell r="L433" t="e">
            <v>#REF!</v>
          </cell>
          <cell r="M433" t="e">
            <v>#REF!</v>
          </cell>
          <cell r="N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</row>
        <row r="434">
          <cell r="A434" t="e">
            <v>#REF!</v>
          </cell>
          <cell r="B434">
            <v>430</v>
          </cell>
          <cell r="C434" t="e">
            <v>#REF!</v>
          </cell>
          <cell r="D434" t="e">
            <v>#VALUE!</v>
          </cell>
          <cell r="E434" t="e">
            <v>#VALUE!</v>
          </cell>
          <cell r="F434" t="e">
            <v>#VALUE!</v>
          </cell>
          <cell r="G434" t="e">
            <v>#REF!</v>
          </cell>
          <cell r="H434" t="e">
            <v>#REF!</v>
          </cell>
          <cell r="I434" t="e">
            <v>#REF!</v>
          </cell>
          <cell r="J434" t="e">
            <v>#REF!</v>
          </cell>
          <cell r="K434" t="e">
            <v>#REF!</v>
          </cell>
          <cell r="L434" t="e">
            <v>#REF!</v>
          </cell>
          <cell r="M434" t="e">
            <v>#REF!</v>
          </cell>
          <cell r="N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</row>
        <row r="435">
          <cell r="A435" t="e">
            <v>#REF!</v>
          </cell>
          <cell r="B435">
            <v>431</v>
          </cell>
          <cell r="C435" t="e">
            <v>#REF!</v>
          </cell>
          <cell r="D435" t="e">
            <v>#VALUE!</v>
          </cell>
          <cell r="E435" t="e">
            <v>#VALUE!</v>
          </cell>
          <cell r="F435" t="e">
            <v>#VALUE!</v>
          </cell>
          <cell r="G435" t="e">
            <v>#REF!</v>
          </cell>
          <cell r="H435" t="e">
            <v>#REF!</v>
          </cell>
          <cell r="I435" t="e">
            <v>#REF!</v>
          </cell>
          <cell r="J435" t="e">
            <v>#REF!</v>
          </cell>
          <cell r="K435" t="e">
            <v>#REF!</v>
          </cell>
          <cell r="L435" t="e">
            <v>#REF!</v>
          </cell>
          <cell r="M435" t="e">
            <v>#REF!</v>
          </cell>
          <cell r="N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</row>
        <row r="436">
          <cell r="A436" t="e">
            <v>#REF!</v>
          </cell>
          <cell r="B436">
            <v>432</v>
          </cell>
          <cell r="C436" t="e">
            <v>#REF!</v>
          </cell>
          <cell r="D436" t="e">
            <v>#VALUE!</v>
          </cell>
          <cell r="E436" t="e">
            <v>#VALUE!</v>
          </cell>
          <cell r="F436" t="e">
            <v>#VALUE!</v>
          </cell>
          <cell r="G436" t="e">
            <v>#REF!</v>
          </cell>
          <cell r="H436" t="e">
            <v>#REF!</v>
          </cell>
          <cell r="I436" t="e">
            <v>#REF!</v>
          </cell>
          <cell r="J436" t="e">
            <v>#REF!</v>
          </cell>
          <cell r="K436" t="e">
            <v>#REF!</v>
          </cell>
          <cell r="L436" t="e">
            <v>#REF!</v>
          </cell>
          <cell r="M436" t="e">
            <v>#REF!</v>
          </cell>
          <cell r="N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</row>
        <row r="437">
          <cell r="A437" t="e">
            <v>#REF!</v>
          </cell>
          <cell r="B437">
            <v>433</v>
          </cell>
          <cell r="C437" t="e">
            <v>#REF!</v>
          </cell>
          <cell r="D437" t="e">
            <v>#VALUE!</v>
          </cell>
          <cell r="E437" t="e">
            <v>#VALUE!</v>
          </cell>
          <cell r="F437" t="e">
            <v>#VALUE!</v>
          </cell>
          <cell r="G437" t="e">
            <v>#REF!</v>
          </cell>
          <cell r="H437" t="e">
            <v>#REF!</v>
          </cell>
          <cell r="I437" t="e">
            <v>#REF!</v>
          </cell>
          <cell r="J437" t="e">
            <v>#REF!</v>
          </cell>
          <cell r="K437" t="e">
            <v>#REF!</v>
          </cell>
          <cell r="L437" t="e">
            <v>#REF!</v>
          </cell>
          <cell r="M437" t="e">
            <v>#REF!</v>
          </cell>
          <cell r="N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</row>
        <row r="438">
          <cell r="A438" t="e">
            <v>#REF!</v>
          </cell>
          <cell r="B438">
            <v>434</v>
          </cell>
          <cell r="C438" t="e">
            <v>#REF!</v>
          </cell>
          <cell r="D438" t="e">
            <v>#VALUE!</v>
          </cell>
          <cell r="E438" t="e">
            <v>#VALUE!</v>
          </cell>
          <cell r="F438" t="e">
            <v>#VALUE!</v>
          </cell>
          <cell r="G438" t="e">
            <v>#REF!</v>
          </cell>
          <cell r="H438" t="e">
            <v>#REF!</v>
          </cell>
          <cell r="I438" t="e">
            <v>#REF!</v>
          </cell>
          <cell r="J438" t="e">
            <v>#REF!</v>
          </cell>
          <cell r="K438" t="e">
            <v>#REF!</v>
          </cell>
          <cell r="L438" t="e">
            <v>#REF!</v>
          </cell>
          <cell r="M438" t="e">
            <v>#REF!</v>
          </cell>
          <cell r="N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</row>
        <row r="439">
          <cell r="A439" t="e">
            <v>#REF!</v>
          </cell>
          <cell r="B439">
            <v>435</v>
          </cell>
          <cell r="C439" t="e">
            <v>#REF!</v>
          </cell>
          <cell r="D439" t="e">
            <v>#VALUE!</v>
          </cell>
          <cell r="E439" t="e">
            <v>#VALUE!</v>
          </cell>
          <cell r="F439" t="e">
            <v>#VALUE!</v>
          </cell>
          <cell r="G439" t="e">
            <v>#REF!</v>
          </cell>
          <cell r="H439" t="e">
            <v>#REF!</v>
          </cell>
          <cell r="I439" t="e">
            <v>#REF!</v>
          </cell>
          <cell r="J439" t="e">
            <v>#REF!</v>
          </cell>
          <cell r="K439" t="e">
            <v>#REF!</v>
          </cell>
          <cell r="L439" t="e">
            <v>#REF!</v>
          </cell>
          <cell r="M439" t="e">
            <v>#REF!</v>
          </cell>
          <cell r="N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</row>
        <row r="440">
          <cell r="A440" t="e">
            <v>#REF!</v>
          </cell>
          <cell r="B440">
            <v>436</v>
          </cell>
          <cell r="C440" t="e">
            <v>#REF!</v>
          </cell>
          <cell r="D440" t="e">
            <v>#VALUE!</v>
          </cell>
          <cell r="E440" t="e">
            <v>#VALUE!</v>
          </cell>
          <cell r="F440" t="e">
            <v>#VALUE!</v>
          </cell>
          <cell r="G440" t="e">
            <v>#REF!</v>
          </cell>
          <cell r="H440" t="e">
            <v>#REF!</v>
          </cell>
          <cell r="I440" t="e">
            <v>#REF!</v>
          </cell>
          <cell r="J440" t="e">
            <v>#REF!</v>
          </cell>
          <cell r="K440" t="e">
            <v>#REF!</v>
          </cell>
          <cell r="L440" t="e">
            <v>#REF!</v>
          </cell>
          <cell r="M440" t="e">
            <v>#REF!</v>
          </cell>
          <cell r="N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</row>
        <row r="441">
          <cell r="A441" t="e">
            <v>#REF!</v>
          </cell>
          <cell r="B441">
            <v>437</v>
          </cell>
          <cell r="C441" t="e">
            <v>#REF!</v>
          </cell>
          <cell r="D441" t="e">
            <v>#VALUE!</v>
          </cell>
          <cell r="E441" t="e">
            <v>#VALUE!</v>
          </cell>
          <cell r="F441" t="e">
            <v>#VALUE!</v>
          </cell>
          <cell r="G441" t="e">
            <v>#REF!</v>
          </cell>
          <cell r="H441" t="e">
            <v>#REF!</v>
          </cell>
          <cell r="I441" t="e">
            <v>#REF!</v>
          </cell>
          <cell r="J441" t="e">
            <v>#REF!</v>
          </cell>
          <cell r="K441" t="e">
            <v>#REF!</v>
          </cell>
          <cell r="L441" t="e">
            <v>#REF!</v>
          </cell>
          <cell r="M441" t="e">
            <v>#REF!</v>
          </cell>
          <cell r="N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</row>
        <row r="442">
          <cell r="A442" t="e">
            <v>#REF!</v>
          </cell>
          <cell r="B442">
            <v>438</v>
          </cell>
          <cell r="C442" t="e">
            <v>#REF!</v>
          </cell>
          <cell r="D442" t="e">
            <v>#VALUE!</v>
          </cell>
          <cell r="E442" t="e">
            <v>#VALUE!</v>
          </cell>
          <cell r="F442" t="e">
            <v>#VALUE!</v>
          </cell>
          <cell r="G442" t="e">
            <v>#REF!</v>
          </cell>
          <cell r="H442" t="e">
            <v>#REF!</v>
          </cell>
          <cell r="I442" t="e">
            <v>#REF!</v>
          </cell>
          <cell r="J442" t="e">
            <v>#REF!</v>
          </cell>
          <cell r="K442" t="e">
            <v>#REF!</v>
          </cell>
          <cell r="L442" t="e">
            <v>#REF!</v>
          </cell>
          <cell r="M442" t="e">
            <v>#REF!</v>
          </cell>
          <cell r="N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</row>
        <row r="443">
          <cell r="A443" t="e">
            <v>#REF!</v>
          </cell>
          <cell r="B443">
            <v>439</v>
          </cell>
          <cell r="C443" t="e">
            <v>#REF!</v>
          </cell>
          <cell r="D443" t="e">
            <v>#VALUE!</v>
          </cell>
          <cell r="E443" t="e">
            <v>#VALUE!</v>
          </cell>
          <cell r="F443" t="e">
            <v>#VALUE!</v>
          </cell>
          <cell r="G443" t="e">
            <v>#REF!</v>
          </cell>
          <cell r="H443" t="e">
            <v>#REF!</v>
          </cell>
          <cell r="I443" t="e">
            <v>#REF!</v>
          </cell>
          <cell r="J443" t="e">
            <v>#REF!</v>
          </cell>
          <cell r="K443" t="e">
            <v>#REF!</v>
          </cell>
          <cell r="L443" t="e">
            <v>#REF!</v>
          </cell>
          <cell r="M443" t="e">
            <v>#REF!</v>
          </cell>
          <cell r="N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</row>
        <row r="444">
          <cell r="A444" t="e">
            <v>#REF!</v>
          </cell>
          <cell r="B444">
            <v>440</v>
          </cell>
          <cell r="C444" t="e">
            <v>#REF!</v>
          </cell>
          <cell r="D444" t="e">
            <v>#VALUE!</v>
          </cell>
          <cell r="E444" t="e">
            <v>#VALUE!</v>
          </cell>
          <cell r="F444" t="e">
            <v>#VALUE!</v>
          </cell>
          <cell r="G444" t="e">
            <v>#REF!</v>
          </cell>
          <cell r="H444" t="e">
            <v>#REF!</v>
          </cell>
          <cell r="I444" t="e">
            <v>#REF!</v>
          </cell>
          <cell r="J444" t="e">
            <v>#REF!</v>
          </cell>
          <cell r="K444" t="e">
            <v>#REF!</v>
          </cell>
          <cell r="L444" t="e">
            <v>#REF!</v>
          </cell>
          <cell r="M444" t="e">
            <v>#REF!</v>
          </cell>
          <cell r="N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</row>
        <row r="445">
          <cell r="A445" t="e">
            <v>#REF!</v>
          </cell>
          <cell r="B445">
            <v>441</v>
          </cell>
          <cell r="C445" t="e">
            <v>#REF!</v>
          </cell>
          <cell r="D445" t="e">
            <v>#VALUE!</v>
          </cell>
          <cell r="E445" t="e">
            <v>#VALUE!</v>
          </cell>
          <cell r="F445" t="e">
            <v>#VALUE!</v>
          </cell>
          <cell r="G445" t="e">
            <v>#REF!</v>
          </cell>
          <cell r="H445" t="e">
            <v>#REF!</v>
          </cell>
          <cell r="I445" t="e">
            <v>#REF!</v>
          </cell>
          <cell r="J445" t="e">
            <v>#REF!</v>
          </cell>
          <cell r="K445" t="e">
            <v>#REF!</v>
          </cell>
          <cell r="L445" t="e">
            <v>#REF!</v>
          </cell>
          <cell r="M445" t="e">
            <v>#REF!</v>
          </cell>
          <cell r="N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</row>
        <row r="446">
          <cell r="A446" t="e">
            <v>#REF!</v>
          </cell>
          <cell r="B446">
            <v>442</v>
          </cell>
          <cell r="C446" t="e">
            <v>#REF!</v>
          </cell>
          <cell r="D446" t="e">
            <v>#VALUE!</v>
          </cell>
          <cell r="E446" t="e">
            <v>#VALUE!</v>
          </cell>
          <cell r="F446" t="e">
            <v>#VALUE!</v>
          </cell>
          <cell r="G446" t="e">
            <v>#REF!</v>
          </cell>
          <cell r="H446" t="e">
            <v>#REF!</v>
          </cell>
          <cell r="I446" t="e">
            <v>#REF!</v>
          </cell>
          <cell r="J446" t="e">
            <v>#REF!</v>
          </cell>
          <cell r="K446" t="e">
            <v>#REF!</v>
          </cell>
          <cell r="L446" t="e">
            <v>#REF!</v>
          </cell>
          <cell r="M446" t="e">
            <v>#REF!</v>
          </cell>
          <cell r="N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</row>
        <row r="447">
          <cell r="A447" t="e">
            <v>#REF!</v>
          </cell>
          <cell r="B447">
            <v>443</v>
          </cell>
          <cell r="C447" t="e">
            <v>#REF!</v>
          </cell>
          <cell r="D447" t="e">
            <v>#VALUE!</v>
          </cell>
          <cell r="E447" t="e">
            <v>#VALUE!</v>
          </cell>
          <cell r="F447" t="e">
            <v>#VALUE!</v>
          </cell>
          <cell r="G447" t="e">
            <v>#REF!</v>
          </cell>
          <cell r="H447" t="e">
            <v>#REF!</v>
          </cell>
          <cell r="I447" t="e">
            <v>#REF!</v>
          </cell>
          <cell r="J447" t="e">
            <v>#REF!</v>
          </cell>
          <cell r="K447" t="e">
            <v>#REF!</v>
          </cell>
          <cell r="L447" t="e">
            <v>#REF!</v>
          </cell>
          <cell r="M447" t="e">
            <v>#REF!</v>
          </cell>
          <cell r="N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</row>
        <row r="448">
          <cell r="A448" t="e">
            <v>#REF!</v>
          </cell>
          <cell r="B448">
            <v>444</v>
          </cell>
          <cell r="C448" t="e">
            <v>#REF!</v>
          </cell>
          <cell r="D448" t="e">
            <v>#VALUE!</v>
          </cell>
          <cell r="E448" t="e">
            <v>#VALUE!</v>
          </cell>
          <cell r="F448" t="e">
            <v>#VALUE!</v>
          </cell>
          <cell r="G448" t="e">
            <v>#REF!</v>
          </cell>
          <cell r="H448" t="e">
            <v>#REF!</v>
          </cell>
          <cell r="I448" t="e">
            <v>#REF!</v>
          </cell>
          <cell r="J448" t="e">
            <v>#REF!</v>
          </cell>
          <cell r="K448" t="e">
            <v>#REF!</v>
          </cell>
          <cell r="L448" t="e">
            <v>#REF!</v>
          </cell>
          <cell r="M448" t="e">
            <v>#REF!</v>
          </cell>
          <cell r="N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</row>
        <row r="449">
          <cell r="A449" t="e">
            <v>#REF!</v>
          </cell>
          <cell r="B449">
            <v>445</v>
          </cell>
          <cell r="C449" t="e">
            <v>#REF!</v>
          </cell>
          <cell r="D449" t="e">
            <v>#VALUE!</v>
          </cell>
          <cell r="E449" t="e">
            <v>#VALUE!</v>
          </cell>
          <cell r="F449" t="e">
            <v>#VALUE!</v>
          </cell>
          <cell r="G449" t="e">
            <v>#REF!</v>
          </cell>
          <cell r="H449" t="e">
            <v>#REF!</v>
          </cell>
          <cell r="I449" t="e">
            <v>#REF!</v>
          </cell>
          <cell r="J449" t="e">
            <v>#REF!</v>
          </cell>
          <cell r="K449" t="e">
            <v>#REF!</v>
          </cell>
          <cell r="L449" t="e">
            <v>#REF!</v>
          </cell>
          <cell r="M449" t="e">
            <v>#REF!</v>
          </cell>
          <cell r="N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</row>
        <row r="450">
          <cell r="A450" t="e">
            <v>#REF!</v>
          </cell>
          <cell r="B450">
            <v>446</v>
          </cell>
          <cell r="C450" t="e">
            <v>#REF!</v>
          </cell>
          <cell r="D450" t="e">
            <v>#VALUE!</v>
          </cell>
          <cell r="E450" t="e">
            <v>#VALUE!</v>
          </cell>
          <cell r="F450" t="e">
            <v>#VALUE!</v>
          </cell>
          <cell r="G450" t="e">
            <v>#REF!</v>
          </cell>
          <cell r="H450" t="e">
            <v>#REF!</v>
          </cell>
          <cell r="I450" t="e">
            <v>#REF!</v>
          </cell>
          <cell r="J450" t="e">
            <v>#REF!</v>
          </cell>
          <cell r="K450" t="e">
            <v>#REF!</v>
          </cell>
          <cell r="L450" t="e">
            <v>#REF!</v>
          </cell>
          <cell r="M450" t="e">
            <v>#REF!</v>
          </cell>
          <cell r="N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</row>
        <row r="451">
          <cell r="A451" t="e">
            <v>#REF!</v>
          </cell>
          <cell r="B451">
            <v>447</v>
          </cell>
          <cell r="C451" t="e">
            <v>#REF!</v>
          </cell>
          <cell r="D451" t="e">
            <v>#VALUE!</v>
          </cell>
          <cell r="E451" t="e">
            <v>#VALUE!</v>
          </cell>
          <cell r="F451" t="e">
            <v>#VALUE!</v>
          </cell>
          <cell r="G451" t="e">
            <v>#REF!</v>
          </cell>
          <cell r="H451" t="e">
            <v>#REF!</v>
          </cell>
          <cell r="I451" t="e">
            <v>#REF!</v>
          </cell>
          <cell r="J451" t="e">
            <v>#REF!</v>
          </cell>
          <cell r="K451" t="e">
            <v>#REF!</v>
          </cell>
          <cell r="L451" t="e">
            <v>#REF!</v>
          </cell>
          <cell r="M451" t="e">
            <v>#REF!</v>
          </cell>
          <cell r="N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</row>
        <row r="452">
          <cell r="A452" t="e">
            <v>#REF!</v>
          </cell>
          <cell r="B452">
            <v>448</v>
          </cell>
          <cell r="C452" t="e">
            <v>#REF!</v>
          </cell>
          <cell r="D452" t="e">
            <v>#VALUE!</v>
          </cell>
          <cell r="E452" t="e">
            <v>#VALUE!</v>
          </cell>
          <cell r="F452" t="e">
            <v>#VALUE!</v>
          </cell>
          <cell r="G452" t="e">
            <v>#REF!</v>
          </cell>
          <cell r="H452" t="e">
            <v>#REF!</v>
          </cell>
          <cell r="I452" t="e">
            <v>#REF!</v>
          </cell>
          <cell r="J452" t="e">
            <v>#REF!</v>
          </cell>
          <cell r="K452" t="e">
            <v>#REF!</v>
          </cell>
          <cell r="L452" t="e">
            <v>#REF!</v>
          </cell>
          <cell r="M452" t="e">
            <v>#REF!</v>
          </cell>
          <cell r="N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</row>
        <row r="453">
          <cell r="A453" t="e">
            <v>#REF!</v>
          </cell>
          <cell r="B453">
            <v>449</v>
          </cell>
          <cell r="C453" t="e">
            <v>#REF!</v>
          </cell>
          <cell r="D453" t="e">
            <v>#VALUE!</v>
          </cell>
          <cell r="E453" t="e">
            <v>#VALUE!</v>
          </cell>
          <cell r="F453" t="e">
            <v>#VALUE!</v>
          </cell>
          <cell r="G453" t="e">
            <v>#REF!</v>
          </cell>
          <cell r="H453" t="e">
            <v>#REF!</v>
          </cell>
          <cell r="I453" t="e">
            <v>#REF!</v>
          </cell>
          <cell r="J453" t="e">
            <v>#REF!</v>
          </cell>
          <cell r="K453" t="e">
            <v>#REF!</v>
          </cell>
          <cell r="L453" t="e">
            <v>#REF!</v>
          </cell>
          <cell r="M453" t="e">
            <v>#REF!</v>
          </cell>
          <cell r="N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</row>
        <row r="454">
          <cell r="A454" t="e">
            <v>#REF!</v>
          </cell>
          <cell r="B454">
            <v>450</v>
          </cell>
          <cell r="C454" t="e">
            <v>#REF!</v>
          </cell>
          <cell r="D454" t="e">
            <v>#VALUE!</v>
          </cell>
          <cell r="E454" t="e">
            <v>#VALUE!</v>
          </cell>
          <cell r="F454" t="e">
            <v>#VALUE!</v>
          </cell>
          <cell r="G454" t="e">
            <v>#REF!</v>
          </cell>
          <cell r="H454" t="e">
            <v>#REF!</v>
          </cell>
          <cell r="I454" t="e">
            <v>#REF!</v>
          </cell>
          <cell r="J454" t="e">
            <v>#REF!</v>
          </cell>
          <cell r="K454" t="e">
            <v>#REF!</v>
          </cell>
          <cell r="L454" t="e">
            <v>#REF!</v>
          </cell>
          <cell r="M454" t="e">
            <v>#REF!</v>
          </cell>
          <cell r="N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</row>
        <row r="455">
          <cell r="A455" t="e">
            <v>#REF!</v>
          </cell>
          <cell r="B455">
            <v>451</v>
          </cell>
          <cell r="C455" t="e">
            <v>#REF!</v>
          </cell>
          <cell r="D455" t="e">
            <v>#VALUE!</v>
          </cell>
          <cell r="E455" t="e">
            <v>#VALUE!</v>
          </cell>
          <cell r="F455" t="e">
            <v>#VALUE!</v>
          </cell>
          <cell r="G455" t="e">
            <v>#REF!</v>
          </cell>
          <cell r="H455" t="e">
            <v>#REF!</v>
          </cell>
          <cell r="I455" t="e">
            <v>#REF!</v>
          </cell>
          <cell r="J455" t="e">
            <v>#REF!</v>
          </cell>
          <cell r="K455" t="e">
            <v>#REF!</v>
          </cell>
          <cell r="L455" t="e">
            <v>#REF!</v>
          </cell>
          <cell r="M455" t="e">
            <v>#REF!</v>
          </cell>
          <cell r="N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</row>
        <row r="456">
          <cell r="A456" t="e">
            <v>#REF!</v>
          </cell>
          <cell r="B456">
            <v>452</v>
          </cell>
          <cell r="C456" t="e">
            <v>#REF!</v>
          </cell>
          <cell r="D456" t="e">
            <v>#VALUE!</v>
          </cell>
          <cell r="E456" t="e">
            <v>#VALUE!</v>
          </cell>
          <cell r="F456" t="e">
            <v>#VALUE!</v>
          </cell>
          <cell r="G456" t="e">
            <v>#REF!</v>
          </cell>
          <cell r="H456" t="e">
            <v>#REF!</v>
          </cell>
          <cell r="I456" t="e">
            <v>#REF!</v>
          </cell>
          <cell r="J456" t="e">
            <v>#REF!</v>
          </cell>
          <cell r="K456" t="e">
            <v>#REF!</v>
          </cell>
          <cell r="L456" t="e">
            <v>#REF!</v>
          </cell>
          <cell r="M456" t="e">
            <v>#REF!</v>
          </cell>
          <cell r="N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</row>
        <row r="457">
          <cell r="A457" t="e">
            <v>#REF!</v>
          </cell>
          <cell r="B457">
            <v>453</v>
          </cell>
          <cell r="C457" t="e">
            <v>#REF!</v>
          </cell>
          <cell r="D457" t="e">
            <v>#VALUE!</v>
          </cell>
          <cell r="E457" t="e">
            <v>#VALUE!</v>
          </cell>
          <cell r="F457" t="e">
            <v>#VALUE!</v>
          </cell>
          <cell r="G457" t="e">
            <v>#REF!</v>
          </cell>
          <cell r="H457" t="e">
            <v>#REF!</v>
          </cell>
          <cell r="I457" t="e">
            <v>#REF!</v>
          </cell>
          <cell r="J457" t="e">
            <v>#REF!</v>
          </cell>
          <cell r="K457" t="e">
            <v>#REF!</v>
          </cell>
          <cell r="L457" t="e">
            <v>#REF!</v>
          </cell>
          <cell r="M457" t="e">
            <v>#REF!</v>
          </cell>
          <cell r="N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</row>
        <row r="458">
          <cell r="A458" t="e">
            <v>#REF!</v>
          </cell>
          <cell r="B458">
            <v>454</v>
          </cell>
          <cell r="C458" t="e">
            <v>#REF!</v>
          </cell>
          <cell r="D458" t="e">
            <v>#VALUE!</v>
          </cell>
          <cell r="E458" t="e">
            <v>#VALUE!</v>
          </cell>
          <cell r="F458" t="e">
            <v>#VALUE!</v>
          </cell>
          <cell r="G458" t="e">
            <v>#REF!</v>
          </cell>
          <cell r="H458" t="e">
            <v>#REF!</v>
          </cell>
          <cell r="I458" t="e">
            <v>#REF!</v>
          </cell>
          <cell r="J458" t="e">
            <v>#REF!</v>
          </cell>
          <cell r="K458" t="e">
            <v>#REF!</v>
          </cell>
          <cell r="L458" t="e">
            <v>#REF!</v>
          </cell>
          <cell r="M458" t="e">
            <v>#REF!</v>
          </cell>
          <cell r="N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</row>
        <row r="459">
          <cell r="A459" t="e">
            <v>#REF!</v>
          </cell>
          <cell r="B459">
            <v>455</v>
          </cell>
          <cell r="C459" t="e">
            <v>#REF!</v>
          </cell>
          <cell r="D459" t="e">
            <v>#VALUE!</v>
          </cell>
          <cell r="E459" t="e">
            <v>#VALUE!</v>
          </cell>
          <cell r="F459" t="e">
            <v>#VALUE!</v>
          </cell>
          <cell r="G459" t="e">
            <v>#REF!</v>
          </cell>
          <cell r="H459" t="e">
            <v>#REF!</v>
          </cell>
          <cell r="I459" t="e">
            <v>#REF!</v>
          </cell>
          <cell r="J459" t="e">
            <v>#REF!</v>
          </cell>
          <cell r="K459" t="e">
            <v>#REF!</v>
          </cell>
          <cell r="L459" t="e">
            <v>#REF!</v>
          </cell>
          <cell r="M459" t="e">
            <v>#REF!</v>
          </cell>
          <cell r="N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</row>
        <row r="460">
          <cell r="A460" t="e">
            <v>#REF!</v>
          </cell>
          <cell r="B460">
            <v>456</v>
          </cell>
          <cell r="C460" t="e">
            <v>#REF!</v>
          </cell>
          <cell r="D460" t="e">
            <v>#VALUE!</v>
          </cell>
          <cell r="E460" t="e">
            <v>#VALUE!</v>
          </cell>
          <cell r="F460" t="e">
            <v>#VALUE!</v>
          </cell>
          <cell r="G460" t="e">
            <v>#REF!</v>
          </cell>
          <cell r="H460" t="e">
            <v>#REF!</v>
          </cell>
          <cell r="I460" t="e">
            <v>#REF!</v>
          </cell>
          <cell r="J460" t="e">
            <v>#REF!</v>
          </cell>
          <cell r="K460" t="e">
            <v>#REF!</v>
          </cell>
          <cell r="L460" t="e">
            <v>#REF!</v>
          </cell>
          <cell r="M460" t="e">
            <v>#REF!</v>
          </cell>
          <cell r="N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</row>
        <row r="461">
          <cell r="A461" t="e">
            <v>#REF!</v>
          </cell>
          <cell r="B461">
            <v>457</v>
          </cell>
          <cell r="C461" t="e">
            <v>#REF!</v>
          </cell>
          <cell r="D461" t="e">
            <v>#VALUE!</v>
          </cell>
          <cell r="E461" t="e">
            <v>#VALUE!</v>
          </cell>
          <cell r="F461" t="e">
            <v>#VALUE!</v>
          </cell>
          <cell r="G461" t="e">
            <v>#REF!</v>
          </cell>
          <cell r="H461" t="e">
            <v>#REF!</v>
          </cell>
          <cell r="I461" t="e">
            <v>#REF!</v>
          </cell>
          <cell r="J461" t="e">
            <v>#REF!</v>
          </cell>
          <cell r="K461" t="e">
            <v>#REF!</v>
          </cell>
          <cell r="L461" t="e">
            <v>#REF!</v>
          </cell>
          <cell r="M461" t="e">
            <v>#REF!</v>
          </cell>
          <cell r="N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</row>
        <row r="462">
          <cell r="A462" t="e">
            <v>#REF!</v>
          </cell>
          <cell r="B462">
            <v>458</v>
          </cell>
          <cell r="C462" t="e">
            <v>#REF!</v>
          </cell>
          <cell r="D462" t="e">
            <v>#VALUE!</v>
          </cell>
          <cell r="E462" t="e">
            <v>#VALUE!</v>
          </cell>
          <cell r="F462" t="e">
            <v>#VALUE!</v>
          </cell>
          <cell r="G462" t="e">
            <v>#REF!</v>
          </cell>
          <cell r="H462" t="e">
            <v>#REF!</v>
          </cell>
          <cell r="I462" t="e">
            <v>#REF!</v>
          </cell>
          <cell r="J462" t="e">
            <v>#REF!</v>
          </cell>
          <cell r="K462" t="e">
            <v>#REF!</v>
          </cell>
          <cell r="L462" t="e">
            <v>#REF!</v>
          </cell>
          <cell r="M462" t="e">
            <v>#REF!</v>
          </cell>
          <cell r="N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</row>
        <row r="463">
          <cell r="A463" t="e">
            <v>#REF!</v>
          </cell>
          <cell r="B463">
            <v>459</v>
          </cell>
          <cell r="C463" t="e">
            <v>#REF!</v>
          </cell>
          <cell r="D463" t="e">
            <v>#VALUE!</v>
          </cell>
          <cell r="E463" t="e">
            <v>#VALUE!</v>
          </cell>
          <cell r="F463" t="e">
            <v>#VALUE!</v>
          </cell>
          <cell r="G463" t="e">
            <v>#REF!</v>
          </cell>
          <cell r="H463" t="e">
            <v>#REF!</v>
          </cell>
          <cell r="I463" t="e">
            <v>#REF!</v>
          </cell>
          <cell r="J463" t="e">
            <v>#REF!</v>
          </cell>
          <cell r="K463" t="e">
            <v>#REF!</v>
          </cell>
          <cell r="L463" t="e">
            <v>#REF!</v>
          </cell>
          <cell r="M463" t="e">
            <v>#REF!</v>
          </cell>
          <cell r="N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</row>
        <row r="464">
          <cell r="A464" t="e">
            <v>#REF!</v>
          </cell>
          <cell r="B464">
            <v>460</v>
          </cell>
          <cell r="C464" t="e">
            <v>#REF!</v>
          </cell>
          <cell r="D464" t="e">
            <v>#VALUE!</v>
          </cell>
          <cell r="E464" t="e">
            <v>#VALUE!</v>
          </cell>
          <cell r="F464" t="e">
            <v>#VALUE!</v>
          </cell>
          <cell r="G464" t="e">
            <v>#REF!</v>
          </cell>
          <cell r="H464" t="e">
            <v>#REF!</v>
          </cell>
          <cell r="I464" t="e">
            <v>#REF!</v>
          </cell>
          <cell r="J464" t="e">
            <v>#REF!</v>
          </cell>
          <cell r="K464" t="e">
            <v>#REF!</v>
          </cell>
          <cell r="L464" t="e">
            <v>#REF!</v>
          </cell>
          <cell r="M464" t="e">
            <v>#REF!</v>
          </cell>
          <cell r="N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</row>
        <row r="465">
          <cell r="A465" t="e">
            <v>#REF!</v>
          </cell>
          <cell r="B465">
            <v>461</v>
          </cell>
          <cell r="C465" t="e">
            <v>#REF!</v>
          </cell>
          <cell r="D465" t="e">
            <v>#VALUE!</v>
          </cell>
          <cell r="E465" t="e">
            <v>#VALUE!</v>
          </cell>
          <cell r="F465" t="e">
            <v>#VALUE!</v>
          </cell>
          <cell r="G465" t="e">
            <v>#REF!</v>
          </cell>
          <cell r="H465" t="e">
            <v>#REF!</v>
          </cell>
          <cell r="I465" t="e">
            <v>#REF!</v>
          </cell>
          <cell r="J465" t="e">
            <v>#REF!</v>
          </cell>
          <cell r="K465" t="e">
            <v>#REF!</v>
          </cell>
          <cell r="L465" t="e">
            <v>#REF!</v>
          </cell>
          <cell r="M465" t="e">
            <v>#REF!</v>
          </cell>
          <cell r="N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</row>
        <row r="466">
          <cell r="A466" t="e">
            <v>#REF!</v>
          </cell>
          <cell r="B466">
            <v>462</v>
          </cell>
          <cell r="C466" t="e">
            <v>#REF!</v>
          </cell>
          <cell r="D466" t="e">
            <v>#VALUE!</v>
          </cell>
          <cell r="E466" t="e">
            <v>#VALUE!</v>
          </cell>
          <cell r="F466" t="e">
            <v>#VALUE!</v>
          </cell>
          <cell r="G466" t="e">
            <v>#REF!</v>
          </cell>
          <cell r="H466" t="e">
            <v>#REF!</v>
          </cell>
          <cell r="I466" t="e">
            <v>#REF!</v>
          </cell>
          <cell r="J466" t="e">
            <v>#REF!</v>
          </cell>
          <cell r="K466" t="e">
            <v>#REF!</v>
          </cell>
          <cell r="L466" t="e">
            <v>#REF!</v>
          </cell>
          <cell r="M466" t="e">
            <v>#REF!</v>
          </cell>
          <cell r="N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</row>
        <row r="467">
          <cell r="A467" t="e">
            <v>#REF!</v>
          </cell>
          <cell r="B467">
            <v>463</v>
          </cell>
          <cell r="C467" t="e">
            <v>#REF!</v>
          </cell>
          <cell r="D467" t="e">
            <v>#VALUE!</v>
          </cell>
          <cell r="E467" t="e">
            <v>#VALUE!</v>
          </cell>
          <cell r="F467" t="e">
            <v>#VALUE!</v>
          </cell>
          <cell r="G467" t="e">
            <v>#REF!</v>
          </cell>
          <cell r="H467" t="e">
            <v>#REF!</v>
          </cell>
          <cell r="I467" t="e">
            <v>#REF!</v>
          </cell>
          <cell r="J467" t="e">
            <v>#REF!</v>
          </cell>
          <cell r="K467" t="e">
            <v>#REF!</v>
          </cell>
          <cell r="L467" t="e">
            <v>#REF!</v>
          </cell>
          <cell r="M467" t="e">
            <v>#REF!</v>
          </cell>
          <cell r="N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</row>
        <row r="468">
          <cell r="A468" t="e">
            <v>#REF!</v>
          </cell>
          <cell r="B468">
            <v>464</v>
          </cell>
          <cell r="C468" t="e">
            <v>#REF!</v>
          </cell>
          <cell r="D468" t="e">
            <v>#VALUE!</v>
          </cell>
          <cell r="E468" t="e">
            <v>#VALUE!</v>
          </cell>
          <cell r="F468" t="e">
            <v>#VALUE!</v>
          </cell>
          <cell r="G468" t="e">
            <v>#REF!</v>
          </cell>
          <cell r="H468" t="e">
            <v>#REF!</v>
          </cell>
          <cell r="I468" t="e">
            <v>#REF!</v>
          </cell>
          <cell r="J468" t="e">
            <v>#REF!</v>
          </cell>
          <cell r="K468" t="e">
            <v>#REF!</v>
          </cell>
          <cell r="L468" t="e">
            <v>#REF!</v>
          </cell>
          <cell r="M468" t="e">
            <v>#REF!</v>
          </cell>
          <cell r="N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</row>
        <row r="469">
          <cell r="A469" t="e">
            <v>#REF!</v>
          </cell>
          <cell r="B469">
            <v>465</v>
          </cell>
          <cell r="C469" t="e">
            <v>#REF!</v>
          </cell>
          <cell r="D469" t="e">
            <v>#VALUE!</v>
          </cell>
          <cell r="E469" t="e">
            <v>#VALUE!</v>
          </cell>
          <cell r="F469" t="e">
            <v>#VALUE!</v>
          </cell>
          <cell r="G469" t="e">
            <v>#REF!</v>
          </cell>
          <cell r="H469" t="e">
            <v>#REF!</v>
          </cell>
          <cell r="I469" t="e">
            <v>#REF!</v>
          </cell>
          <cell r="J469" t="e">
            <v>#REF!</v>
          </cell>
          <cell r="K469" t="e">
            <v>#REF!</v>
          </cell>
          <cell r="L469" t="e">
            <v>#REF!</v>
          </cell>
          <cell r="M469" t="e">
            <v>#REF!</v>
          </cell>
          <cell r="N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</row>
        <row r="470">
          <cell r="A470" t="e">
            <v>#REF!</v>
          </cell>
          <cell r="B470">
            <v>466</v>
          </cell>
          <cell r="C470" t="e">
            <v>#REF!</v>
          </cell>
          <cell r="D470" t="e">
            <v>#VALUE!</v>
          </cell>
          <cell r="E470" t="e">
            <v>#VALUE!</v>
          </cell>
          <cell r="F470" t="e">
            <v>#VALUE!</v>
          </cell>
          <cell r="G470" t="e">
            <v>#REF!</v>
          </cell>
          <cell r="H470" t="e">
            <v>#REF!</v>
          </cell>
          <cell r="I470" t="e">
            <v>#REF!</v>
          </cell>
          <cell r="J470" t="e">
            <v>#REF!</v>
          </cell>
          <cell r="K470" t="e">
            <v>#REF!</v>
          </cell>
          <cell r="L470" t="e">
            <v>#REF!</v>
          </cell>
          <cell r="M470" t="e">
            <v>#REF!</v>
          </cell>
          <cell r="N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</row>
        <row r="471">
          <cell r="A471" t="e">
            <v>#REF!</v>
          </cell>
          <cell r="B471">
            <v>467</v>
          </cell>
          <cell r="C471" t="e">
            <v>#REF!</v>
          </cell>
          <cell r="D471" t="e">
            <v>#VALUE!</v>
          </cell>
          <cell r="E471" t="e">
            <v>#VALUE!</v>
          </cell>
          <cell r="F471" t="e">
            <v>#VALUE!</v>
          </cell>
          <cell r="G471" t="e">
            <v>#REF!</v>
          </cell>
          <cell r="H471" t="e">
            <v>#REF!</v>
          </cell>
          <cell r="I471" t="e">
            <v>#REF!</v>
          </cell>
          <cell r="J471" t="e">
            <v>#REF!</v>
          </cell>
          <cell r="K471" t="e">
            <v>#REF!</v>
          </cell>
          <cell r="L471" t="e">
            <v>#REF!</v>
          </cell>
          <cell r="M471" t="e">
            <v>#REF!</v>
          </cell>
          <cell r="N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</row>
        <row r="472">
          <cell r="A472" t="e">
            <v>#REF!</v>
          </cell>
          <cell r="B472">
            <v>468</v>
          </cell>
          <cell r="C472" t="e">
            <v>#REF!</v>
          </cell>
          <cell r="D472" t="e">
            <v>#VALUE!</v>
          </cell>
          <cell r="E472" t="e">
            <v>#VALUE!</v>
          </cell>
          <cell r="F472" t="e">
            <v>#VALUE!</v>
          </cell>
          <cell r="G472" t="e">
            <v>#REF!</v>
          </cell>
          <cell r="H472" t="e">
            <v>#REF!</v>
          </cell>
          <cell r="I472" t="e">
            <v>#REF!</v>
          </cell>
          <cell r="J472" t="e">
            <v>#REF!</v>
          </cell>
          <cell r="K472" t="e">
            <v>#REF!</v>
          </cell>
          <cell r="L472" t="e">
            <v>#REF!</v>
          </cell>
          <cell r="M472" t="e">
            <v>#REF!</v>
          </cell>
          <cell r="N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</row>
        <row r="473">
          <cell r="A473" t="e">
            <v>#REF!</v>
          </cell>
          <cell r="B473">
            <v>469</v>
          </cell>
          <cell r="C473" t="e">
            <v>#REF!</v>
          </cell>
          <cell r="D473" t="e">
            <v>#VALUE!</v>
          </cell>
          <cell r="E473" t="e">
            <v>#VALUE!</v>
          </cell>
          <cell r="F473" t="e">
            <v>#VALUE!</v>
          </cell>
          <cell r="G473" t="e">
            <v>#REF!</v>
          </cell>
          <cell r="H473" t="e">
            <v>#REF!</v>
          </cell>
          <cell r="I473" t="e">
            <v>#REF!</v>
          </cell>
          <cell r="J473" t="e">
            <v>#REF!</v>
          </cell>
          <cell r="K473" t="e">
            <v>#REF!</v>
          </cell>
          <cell r="L473" t="e">
            <v>#REF!</v>
          </cell>
          <cell r="M473" t="e">
            <v>#REF!</v>
          </cell>
          <cell r="N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</row>
        <row r="474">
          <cell r="A474" t="e">
            <v>#REF!</v>
          </cell>
          <cell r="B474">
            <v>470</v>
          </cell>
          <cell r="C474" t="e">
            <v>#REF!</v>
          </cell>
          <cell r="D474" t="e">
            <v>#VALUE!</v>
          </cell>
          <cell r="E474" t="e">
            <v>#VALUE!</v>
          </cell>
          <cell r="F474" t="e">
            <v>#VALUE!</v>
          </cell>
          <cell r="G474" t="e">
            <v>#REF!</v>
          </cell>
          <cell r="H474" t="e">
            <v>#REF!</v>
          </cell>
          <cell r="I474" t="e">
            <v>#REF!</v>
          </cell>
          <cell r="J474" t="e">
            <v>#REF!</v>
          </cell>
          <cell r="K474" t="e">
            <v>#REF!</v>
          </cell>
          <cell r="L474" t="e">
            <v>#REF!</v>
          </cell>
          <cell r="M474" t="e">
            <v>#REF!</v>
          </cell>
          <cell r="N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</row>
        <row r="475">
          <cell r="A475" t="e">
            <v>#REF!</v>
          </cell>
          <cell r="B475">
            <v>471</v>
          </cell>
          <cell r="C475" t="e">
            <v>#REF!</v>
          </cell>
          <cell r="D475" t="e">
            <v>#VALUE!</v>
          </cell>
          <cell r="E475" t="e">
            <v>#VALUE!</v>
          </cell>
          <cell r="F475" t="e">
            <v>#VALUE!</v>
          </cell>
          <cell r="G475" t="e">
            <v>#REF!</v>
          </cell>
          <cell r="H475" t="e">
            <v>#REF!</v>
          </cell>
          <cell r="I475" t="e">
            <v>#REF!</v>
          </cell>
          <cell r="J475" t="e">
            <v>#REF!</v>
          </cell>
          <cell r="K475" t="e">
            <v>#REF!</v>
          </cell>
          <cell r="L475" t="e">
            <v>#REF!</v>
          </cell>
          <cell r="M475" t="e">
            <v>#REF!</v>
          </cell>
          <cell r="N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</row>
        <row r="476">
          <cell r="A476" t="e">
            <v>#REF!</v>
          </cell>
          <cell r="B476">
            <v>472</v>
          </cell>
          <cell r="C476" t="e">
            <v>#REF!</v>
          </cell>
          <cell r="D476" t="e">
            <v>#VALUE!</v>
          </cell>
          <cell r="E476" t="e">
            <v>#VALUE!</v>
          </cell>
          <cell r="F476" t="e">
            <v>#VALUE!</v>
          </cell>
          <cell r="G476" t="e">
            <v>#REF!</v>
          </cell>
          <cell r="H476" t="e">
            <v>#REF!</v>
          </cell>
          <cell r="I476" t="e">
            <v>#REF!</v>
          </cell>
          <cell r="J476" t="e">
            <v>#REF!</v>
          </cell>
          <cell r="K476" t="e">
            <v>#REF!</v>
          </cell>
          <cell r="L476" t="e">
            <v>#REF!</v>
          </cell>
          <cell r="M476" t="e">
            <v>#REF!</v>
          </cell>
          <cell r="N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</row>
        <row r="477">
          <cell r="A477" t="e">
            <v>#REF!</v>
          </cell>
          <cell r="B477">
            <v>473</v>
          </cell>
          <cell r="C477" t="e">
            <v>#REF!</v>
          </cell>
          <cell r="D477" t="e">
            <v>#VALUE!</v>
          </cell>
          <cell r="E477" t="e">
            <v>#VALUE!</v>
          </cell>
          <cell r="F477" t="e">
            <v>#VALUE!</v>
          </cell>
          <cell r="G477" t="e">
            <v>#REF!</v>
          </cell>
          <cell r="H477" t="e">
            <v>#REF!</v>
          </cell>
          <cell r="I477" t="e">
            <v>#REF!</v>
          </cell>
          <cell r="J477" t="e">
            <v>#REF!</v>
          </cell>
          <cell r="K477" t="e">
            <v>#REF!</v>
          </cell>
          <cell r="L477" t="e">
            <v>#REF!</v>
          </cell>
          <cell r="M477" t="e">
            <v>#REF!</v>
          </cell>
          <cell r="N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</row>
        <row r="478">
          <cell r="A478" t="e">
            <v>#REF!</v>
          </cell>
          <cell r="B478">
            <v>474</v>
          </cell>
          <cell r="C478" t="e">
            <v>#REF!</v>
          </cell>
          <cell r="D478" t="e">
            <v>#VALUE!</v>
          </cell>
          <cell r="E478" t="e">
            <v>#VALUE!</v>
          </cell>
          <cell r="F478" t="e">
            <v>#VALUE!</v>
          </cell>
          <cell r="G478" t="e">
            <v>#REF!</v>
          </cell>
          <cell r="H478" t="e">
            <v>#REF!</v>
          </cell>
          <cell r="I478" t="e">
            <v>#REF!</v>
          </cell>
          <cell r="J478" t="e">
            <v>#REF!</v>
          </cell>
          <cell r="K478" t="e">
            <v>#REF!</v>
          </cell>
          <cell r="L478" t="e">
            <v>#REF!</v>
          </cell>
          <cell r="M478" t="e">
            <v>#REF!</v>
          </cell>
          <cell r="N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</row>
        <row r="479">
          <cell r="A479" t="e">
            <v>#REF!</v>
          </cell>
          <cell r="B479">
            <v>475</v>
          </cell>
          <cell r="C479" t="e">
            <v>#REF!</v>
          </cell>
          <cell r="D479" t="e">
            <v>#VALUE!</v>
          </cell>
          <cell r="E479" t="e">
            <v>#VALUE!</v>
          </cell>
          <cell r="F479" t="e">
            <v>#VALUE!</v>
          </cell>
          <cell r="G479" t="e">
            <v>#REF!</v>
          </cell>
          <cell r="H479" t="e">
            <v>#REF!</v>
          </cell>
          <cell r="I479" t="e">
            <v>#REF!</v>
          </cell>
          <cell r="J479" t="e">
            <v>#REF!</v>
          </cell>
          <cell r="K479" t="e">
            <v>#REF!</v>
          </cell>
          <cell r="L479" t="e">
            <v>#REF!</v>
          </cell>
          <cell r="M479" t="e">
            <v>#REF!</v>
          </cell>
          <cell r="N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</row>
        <row r="480">
          <cell r="A480" t="e">
            <v>#REF!</v>
          </cell>
          <cell r="B480">
            <v>476</v>
          </cell>
          <cell r="C480" t="e">
            <v>#REF!</v>
          </cell>
          <cell r="D480" t="e">
            <v>#VALUE!</v>
          </cell>
          <cell r="E480" t="e">
            <v>#VALUE!</v>
          </cell>
          <cell r="F480" t="e">
            <v>#VALUE!</v>
          </cell>
          <cell r="G480" t="e">
            <v>#REF!</v>
          </cell>
          <cell r="H480" t="e">
            <v>#REF!</v>
          </cell>
          <cell r="I480" t="e">
            <v>#REF!</v>
          </cell>
          <cell r="J480" t="e">
            <v>#REF!</v>
          </cell>
          <cell r="K480" t="e">
            <v>#REF!</v>
          </cell>
          <cell r="L480" t="e">
            <v>#REF!</v>
          </cell>
          <cell r="M480" t="e">
            <v>#REF!</v>
          </cell>
          <cell r="N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</row>
        <row r="481">
          <cell r="A481" t="e">
            <v>#REF!</v>
          </cell>
          <cell r="B481">
            <v>477</v>
          </cell>
          <cell r="C481" t="e">
            <v>#REF!</v>
          </cell>
          <cell r="D481" t="e">
            <v>#VALUE!</v>
          </cell>
          <cell r="E481" t="e">
            <v>#VALUE!</v>
          </cell>
          <cell r="F481" t="e">
            <v>#VALUE!</v>
          </cell>
          <cell r="G481" t="e">
            <v>#REF!</v>
          </cell>
          <cell r="H481" t="e">
            <v>#REF!</v>
          </cell>
          <cell r="I481" t="e">
            <v>#REF!</v>
          </cell>
          <cell r="J481" t="e">
            <v>#REF!</v>
          </cell>
          <cell r="K481" t="e">
            <v>#REF!</v>
          </cell>
          <cell r="L481" t="e">
            <v>#REF!</v>
          </cell>
          <cell r="M481" t="e">
            <v>#REF!</v>
          </cell>
          <cell r="N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</row>
        <row r="482">
          <cell r="A482" t="e">
            <v>#REF!</v>
          </cell>
          <cell r="B482">
            <v>478</v>
          </cell>
          <cell r="C482" t="e">
            <v>#REF!</v>
          </cell>
          <cell r="D482" t="e">
            <v>#VALUE!</v>
          </cell>
          <cell r="E482" t="e">
            <v>#VALUE!</v>
          </cell>
          <cell r="F482" t="e">
            <v>#VALUE!</v>
          </cell>
          <cell r="G482" t="e">
            <v>#REF!</v>
          </cell>
          <cell r="H482" t="e">
            <v>#REF!</v>
          </cell>
          <cell r="I482" t="e">
            <v>#REF!</v>
          </cell>
          <cell r="J482" t="e">
            <v>#REF!</v>
          </cell>
          <cell r="K482" t="e">
            <v>#REF!</v>
          </cell>
          <cell r="L482" t="e">
            <v>#REF!</v>
          </cell>
          <cell r="M482" t="e">
            <v>#REF!</v>
          </cell>
          <cell r="N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</row>
        <row r="483">
          <cell r="A483" t="e">
            <v>#REF!</v>
          </cell>
          <cell r="B483">
            <v>479</v>
          </cell>
          <cell r="C483" t="e">
            <v>#REF!</v>
          </cell>
          <cell r="D483" t="e">
            <v>#VALUE!</v>
          </cell>
          <cell r="E483" t="e">
            <v>#VALUE!</v>
          </cell>
          <cell r="F483" t="e">
            <v>#VALUE!</v>
          </cell>
          <cell r="G483" t="e">
            <v>#REF!</v>
          </cell>
          <cell r="H483" t="e">
            <v>#REF!</v>
          </cell>
          <cell r="I483" t="e">
            <v>#REF!</v>
          </cell>
          <cell r="J483" t="e">
            <v>#REF!</v>
          </cell>
          <cell r="K483" t="e">
            <v>#REF!</v>
          </cell>
          <cell r="L483" t="e">
            <v>#REF!</v>
          </cell>
          <cell r="M483" t="e">
            <v>#REF!</v>
          </cell>
          <cell r="N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</row>
        <row r="484">
          <cell r="A484" t="e">
            <v>#REF!</v>
          </cell>
          <cell r="B484">
            <v>480</v>
          </cell>
          <cell r="C484" t="e">
            <v>#REF!</v>
          </cell>
          <cell r="D484" t="e">
            <v>#VALUE!</v>
          </cell>
          <cell r="E484" t="e">
            <v>#VALUE!</v>
          </cell>
          <cell r="F484" t="e">
            <v>#VALUE!</v>
          </cell>
          <cell r="G484" t="e">
            <v>#REF!</v>
          </cell>
          <cell r="H484" t="e">
            <v>#REF!</v>
          </cell>
          <cell r="I484" t="e">
            <v>#REF!</v>
          </cell>
          <cell r="J484" t="e">
            <v>#REF!</v>
          </cell>
          <cell r="K484" t="e">
            <v>#REF!</v>
          </cell>
          <cell r="L484" t="e">
            <v>#REF!</v>
          </cell>
          <cell r="M484" t="e">
            <v>#REF!</v>
          </cell>
          <cell r="N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</row>
        <row r="485">
          <cell r="A485" t="e">
            <v>#REF!</v>
          </cell>
          <cell r="B485">
            <v>481</v>
          </cell>
          <cell r="C485" t="e">
            <v>#REF!</v>
          </cell>
          <cell r="D485" t="e">
            <v>#VALUE!</v>
          </cell>
          <cell r="E485" t="e">
            <v>#VALUE!</v>
          </cell>
          <cell r="F485" t="e">
            <v>#VALUE!</v>
          </cell>
          <cell r="G485" t="e">
            <v>#REF!</v>
          </cell>
          <cell r="H485" t="e">
            <v>#REF!</v>
          </cell>
          <cell r="I485" t="e">
            <v>#REF!</v>
          </cell>
          <cell r="J485" t="e">
            <v>#REF!</v>
          </cell>
          <cell r="K485" t="e">
            <v>#REF!</v>
          </cell>
          <cell r="L485" t="e">
            <v>#REF!</v>
          </cell>
          <cell r="M485" t="e">
            <v>#REF!</v>
          </cell>
          <cell r="N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</row>
        <row r="486">
          <cell r="A486" t="e">
            <v>#REF!</v>
          </cell>
          <cell r="B486">
            <v>482</v>
          </cell>
          <cell r="C486" t="e">
            <v>#REF!</v>
          </cell>
          <cell r="D486" t="e">
            <v>#VALUE!</v>
          </cell>
          <cell r="E486" t="e">
            <v>#VALUE!</v>
          </cell>
          <cell r="F486" t="e">
            <v>#VALUE!</v>
          </cell>
          <cell r="G486" t="e">
            <v>#REF!</v>
          </cell>
          <cell r="H486" t="e">
            <v>#REF!</v>
          </cell>
          <cell r="I486" t="e">
            <v>#REF!</v>
          </cell>
          <cell r="J486" t="e">
            <v>#REF!</v>
          </cell>
          <cell r="K486" t="e">
            <v>#REF!</v>
          </cell>
          <cell r="L486" t="e">
            <v>#REF!</v>
          </cell>
          <cell r="M486" t="e">
            <v>#REF!</v>
          </cell>
          <cell r="N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</row>
        <row r="487">
          <cell r="A487" t="e">
            <v>#REF!</v>
          </cell>
          <cell r="B487">
            <v>483</v>
          </cell>
          <cell r="C487" t="e">
            <v>#REF!</v>
          </cell>
          <cell r="D487" t="e">
            <v>#VALUE!</v>
          </cell>
          <cell r="E487" t="e">
            <v>#VALUE!</v>
          </cell>
          <cell r="F487" t="e">
            <v>#VALUE!</v>
          </cell>
          <cell r="G487" t="e">
            <v>#REF!</v>
          </cell>
          <cell r="H487" t="e">
            <v>#REF!</v>
          </cell>
          <cell r="I487" t="e">
            <v>#REF!</v>
          </cell>
          <cell r="J487" t="e">
            <v>#REF!</v>
          </cell>
          <cell r="K487" t="e">
            <v>#REF!</v>
          </cell>
          <cell r="L487" t="e">
            <v>#REF!</v>
          </cell>
          <cell r="M487" t="e">
            <v>#REF!</v>
          </cell>
          <cell r="N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</row>
        <row r="488">
          <cell r="A488" t="e">
            <v>#REF!</v>
          </cell>
          <cell r="B488">
            <v>484</v>
          </cell>
          <cell r="C488" t="e">
            <v>#REF!</v>
          </cell>
          <cell r="D488" t="e">
            <v>#VALUE!</v>
          </cell>
          <cell r="E488" t="e">
            <v>#VALUE!</v>
          </cell>
          <cell r="F488" t="e">
            <v>#VALUE!</v>
          </cell>
          <cell r="G488" t="e">
            <v>#REF!</v>
          </cell>
          <cell r="H488" t="e">
            <v>#REF!</v>
          </cell>
          <cell r="I488" t="e">
            <v>#REF!</v>
          </cell>
          <cell r="J488" t="e">
            <v>#REF!</v>
          </cell>
          <cell r="K488" t="e">
            <v>#REF!</v>
          </cell>
          <cell r="L488" t="e">
            <v>#REF!</v>
          </cell>
          <cell r="M488" t="e">
            <v>#REF!</v>
          </cell>
          <cell r="N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</row>
        <row r="489">
          <cell r="A489" t="e">
            <v>#REF!</v>
          </cell>
          <cell r="B489">
            <v>485</v>
          </cell>
          <cell r="C489" t="e">
            <v>#REF!</v>
          </cell>
          <cell r="D489" t="e">
            <v>#VALUE!</v>
          </cell>
          <cell r="E489" t="e">
            <v>#VALUE!</v>
          </cell>
          <cell r="F489" t="e">
            <v>#VALUE!</v>
          </cell>
          <cell r="G489" t="e">
            <v>#REF!</v>
          </cell>
          <cell r="H489" t="e">
            <v>#REF!</v>
          </cell>
          <cell r="I489" t="e">
            <v>#REF!</v>
          </cell>
          <cell r="J489" t="e">
            <v>#REF!</v>
          </cell>
          <cell r="K489" t="e">
            <v>#REF!</v>
          </cell>
          <cell r="L489" t="e">
            <v>#REF!</v>
          </cell>
          <cell r="M489" t="e">
            <v>#REF!</v>
          </cell>
          <cell r="N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</row>
        <row r="490">
          <cell r="A490" t="e">
            <v>#REF!</v>
          </cell>
          <cell r="B490">
            <v>486</v>
          </cell>
          <cell r="C490" t="e">
            <v>#REF!</v>
          </cell>
          <cell r="D490" t="e">
            <v>#VALUE!</v>
          </cell>
          <cell r="E490" t="e">
            <v>#VALUE!</v>
          </cell>
          <cell r="F490" t="e">
            <v>#VALUE!</v>
          </cell>
          <cell r="G490" t="e">
            <v>#REF!</v>
          </cell>
          <cell r="H490" t="e">
            <v>#REF!</v>
          </cell>
          <cell r="I490" t="e">
            <v>#REF!</v>
          </cell>
          <cell r="J490" t="e">
            <v>#REF!</v>
          </cell>
          <cell r="K490" t="e">
            <v>#REF!</v>
          </cell>
          <cell r="L490" t="e">
            <v>#REF!</v>
          </cell>
          <cell r="M490" t="e">
            <v>#REF!</v>
          </cell>
          <cell r="N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</row>
        <row r="491">
          <cell r="A491" t="e">
            <v>#REF!</v>
          </cell>
          <cell r="B491">
            <v>487</v>
          </cell>
          <cell r="C491" t="e">
            <v>#REF!</v>
          </cell>
          <cell r="D491" t="e">
            <v>#VALUE!</v>
          </cell>
          <cell r="E491" t="e">
            <v>#VALUE!</v>
          </cell>
          <cell r="F491" t="e">
            <v>#VALUE!</v>
          </cell>
          <cell r="G491" t="e">
            <v>#REF!</v>
          </cell>
          <cell r="H491" t="e">
            <v>#REF!</v>
          </cell>
          <cell r="I491" t="e">
            <v>#REF!</v>
          </cell>
          <cell r="J491" t="e">
            <v>#REF!</v>
          </cell>
          <cell r="K491" t="e">
            <v>#REF!</v>
          </cell>
          <cell r="L491" t="e">
            <v>#REF!</v>
          </cell>
          <cell r="M491" t="e">
            <v>#REF!</v>
          </cell>
          <cell r="N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</row>
        <row r="492">
          <cell r="A492" t="e">
            <v>#REF!</v>
          </cell>
          <cell r="B492">
            <v>488</v>
          </cell>
          <cell r="C492" t="e">
            <v>#REF!</v>
          </cell>
          <cell r="D492" t="e">
            <v>#VALUE!</v>
          </cell>
          <cell r="E492" t="e">
            <v>#VALUE!</v>
          </cell>
          <cell r="F492" t="e">
            <v>#VALUE!</v>
          </cell>
          <cell r="G492" t="e">
            <v>#REF!</v>
          </cell>
          <cell r="H492" t="e">
            <v>#REF!</v>
          </cell>
          <cell r="I492" t="e">
            <v>#REF!</v>
          </cell>
          <cell r="J492" t="e">
            <v>#REF!</v>
          </cell>
          <cell r="K492" t="e">
            <v>#REF!</v>
          </cell>
          <cell r="L492" t="e">
            <v>#REF!</v>
          </cell>
          <cell r="M492" t="e">
            <v>#REF!</v>
          </cell>
          <cell r="N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</row>
        <row r="493">
          <cell r="A493" t="e">
            <v>#REF!</v>
          </cell>
          <cell r="B493">
            <v>489</v>
          </cell>
          <cell r="C493" t="e">
            <v>#REF!</v>
          </cell>
          <cell r="D493" t="e">
            <v>#VALUE!</v>
          </cell>
          <cell r="E493" t="e">
            <v>#VALUE!</v>
          </cell>
          <cell r="F493" t="e">
            <v>#VALUE!</v>
          </cell>
          <cell r="G493" t="e">
            <v>#REF!</v>
          </cell>
          <cell r="H493" t="e">
            <v>#REF!</v>
          </cell>
          <cell r="I493" t="e">
            <v>#REF!</v>
          </cell>
          <cell r="J493" t="e">
            <v>#REF!</v>
          </cell>
          <cell r="K493" t="e">
            <v>#REF!</v>
          </cell>
          <cell r="L493" t="e">
            <v>#REF!</v>
          </cell>
          <cell r="M493" t="e">
            <v>#REF!</v>
          </cell>
          <cell r="N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</row>
        <row r="494">
          <cell r="A494" t="e">
            <v>#REF!</v>
          </cell>
          <cell r="B494">
            <v>490</v>
          </cell>
          <cell r="C494" t="e">
            <v>#REF!</v>
          </cell>
          <cell r="D494" t="e">
            <v>#VALUE!</v>
          </cell>
          <cell r="E494" t="e">
            <v>#VALUE!</v>
          </cell>
          <cell r="F494" t="e">
            <v>#VALUE!</v>
          </cell>
          <cell r="G494" t="e">
            <v>#REF!</v>
          </cell>
          <cell r="H494" t="e">
            <v>#REF!</v>
          </cell>
          <cell r="I494" t="e">
            <v>#REF!</v>
          </cell>
          <cell r="J494" t="e">
            <v>#REF!</v>
          </cell>
          <cell r="K494" t="e">
            <v>#REF!</v>
          </cell>
          <cell r="L494" t="e">
            <v>#REF!</v>
          </cell>
          <cell r="M494" t="e">
            <v>#REF!</v>
          </cell>
          <cell r="N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</row>
        <row r="495">
          <cell r="A495" t="e">
            <v>#REF!</v>
          </cell>
          <cell r="B495">
            <v>491</v>
          </cell>
          <cell r="C495" t="e">
            <v>#REF!</v>
          </cell>
          <cell r="D495" t="e">
            <v>#VALUE!</v>
          </cell>
          <cell r="E495" t="e">
            <v>#VALUE!</v>
          </cell>
          <cell r="F495" t="e">
            <v>#VALUE!</v>
          </cell>
          <cell r="G495" t="e">
            <v>#REF!</v>
          </cell>
          <cell r="H495" t="e">
            <v>#REF!</v>
          </cell>
          <cell r="I495" t="e">
            <v>#REF!</v>
          </cell>
          <cell r="J495" t="e">
            <v>#REF!</v>
          </cell>
          <cell r="K495" t="e">
            <v>#REF!</v>
          </cell>
          <cell r="L495" t="e">
            <v>#REF!</v>
          </cell>
          <cell r="M495" t="e">
            <v>#REF!</v>
          </cell>
          <cell r="N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</row>
        <row r="496">
          <cell r="A496" t="e">
            <v>#REF!</v>
          </cell>
          <cell r="B496">
            <v>492</v>
          </cell>
          <cell r="C496" t="e">
            <v>#REF!</v>
          </cell>
          <cell r="D496" t="e">
            <v>#VALUE!</v>
          </cell>
          <cell r="E496" t="e">
            <v>#VALUE!</v>
          </cell>
          <cell r="F496" t="e">
            <v>#VALUE!</v>
          </cell>
          <cell r="G496" t="e">
            <v>#REF!</v>
          </cell>
          <cell r="H496" t="e">
            <v>#REF!</v>
          </cell>
          <cell r="I496" t="e">
            <v>#REF!</v>
          </cell>
          <cell r="J496" t="e">
            <v>#REF!</v>
          </cell>
          <cell r="K496" t="e">
            <v>#REF!</v>
          </cell>
          <cell r="L496" t="e">
            <v>#REF!</v>
          </cell>
          <cell r="M496" t="e">
            <v>#REF!</v>
          </cell>
          <cell r="N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</row>
        <row r="497">
          <cell r="A497" t="e">
            <v>#REF!</v>
          </cell>
          <cell r="B497">
            <v>493</v>
          </cell>
          <cell r="C497" t="e">
            <v>#REF!</v>
          </cell>
          <cell r="D497" t="e">
            <v>#VALUE!</v>
          </cell>
          <cell r="E497" t="e">
            <v>#VALUE!</v>
          </cell>
          <cell r="F497" t="e">
            <v>#VALUE!</v>
          </cell>
          <cell r="G497" t="e">
            <v>#REF!</v>
          </cell>
          <cell r="H497" t="e">
            <v>#REF!</v>
          </cell>
          <cell r="I497" t="e">
            <v>#REF!</v>
          </cell>
          <cell r="J497" t="e">
            <v>#REF!</v>
          </cell>
          <cell r="K497" t="e">
            <v>#REF!</v>
          </cell>
          <cell r="L497" t="e">
            <v>#REF!</v>
          </cell>
          <cell r="M497" t="e">
            <v>#REF!</v>
          </cell>
          <cell r="N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</row>
        <row r="498">
          <cell r="A498" t="e">
            <v>#REF!</v>
          </cell>
          <cell r="B498">
            <v>494</v>
          </cell>
          <cell r="C498" t="e">
            <v>#REF!</v>
          </cell>
          <cell r="D498" t="e">
            <v>#VALUE!</v>
          </cell>
          <cell r="E498" t="e">
            <v>#VALUE!</v>
          </cell>
          <cell r="F498" t="e">
            <v>#VALUE!</v>
          </cell>
          <cell r="G498" t="e">
            <v>#REF!</v>
          </cell>
          <cell r="H498" t="e">
            <v>#REF!</v>
          </cell>
          <cell r="I498" t="e">
            <v>#REF!</v>
          </cell>
          <cell r="J498" t="e">
            <v>#REF!</v>
          </cell>
          <cell r="K498" t="e">
            <v>#REF!</v>
          </cell>
          <cell r="L498" t="e">
            <v>#REF!</v>
          </cell>
          <cell r="M498" t="e">
            <v>#REF!</v>
          </cell>
          <cell r="N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</row>
        <row r="499">
          <cell r="A499" t="e">
            <v>#REF!</v>
          </cell>
          <cell r="B499">
            <v>495</v>
          </cell>
          <cell r="C499" t="e">
            <v>#REF!</v>
          </cell>
          <cell r="D499" t="e">
            <v>#VALUE!</v>
          </cell>
          <cell r="E499" t="e">
            <v>#VALUE!</v>
          </cell>
          <cell r="F499" t="e">
            <v>#VALUE!</v>
          </cell>
          <cell r="G499" t="e">
            <v>#REF!</v>
          </cell>
          <cell r="H499" t="e">
            <v>#REF!</v>
          </cell>
          <cell r="I499" t="e">
            <v>#REF!</v>
          </cell>
          <cell r="J499" t="e">
            <v>#REF!</v>
          </cell>
          <cell r="K499" t="e">
            <v>#REF!</v>
          </cell>
          <cell r="L499" t="e">
            <v>#REF!</v>
          </cell>
          <cell r="M499" t="e">
            <v>#REF!</v>
          </cell>
          <cell r="N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</row>
        <row r="500">
          <cell r="A500" t="e">
            <v>#REF!</v>
          </cell>
          <cell r="B500">
            <v>496</v>
          </cell>
          <cell r="C500" t="e">
            <v>#REF!</v>
          </cell>
          <cell r="D500" t="e">
            <v>#VALUE!</v>
          </cell>
          <cell r="E500" t="e">
            <v>#VALUE!</v>
          </cell>
          <cell r="F500" t="e">
            <v>#VALUE!</v>
          </cell>
          <cell r="G500" t="e">
            <v>#REF!</v>
          </cell>
          <cell r="H500" t="e">
            <v>#REF!</v>
          </cell>
          <cell r="I500" t="e">
            <v>#REF!</v>
          </cell>
          <cell r="J500" t="e">
            <v>#REF!</v>
          </cell>
          <cell r="K500" t="e">
            <v>#REF!</v>
          </cell>
          <cell r="L500" t="e">
            <v>#REF!</v>
          </cell>
          <cell r="M500" t="e">
            <v>#REF!</v>
          </cell>
          <cell r="N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</row>
        <row r="501">
          <cell r="A501" t="e">
            <v>#REF!</v>
          </cell>
          <cell r="B501">
            <v>497</v>
          </cell>
          <cell r="C501" t="e">
            <v>#REF!</v>
          </cell>
          <cell r="D501" t="e">
            <v>#VALUE!</v>
          </cell>
          <cell r="E501" t="e">
            <v>#VALUE!</v>
          </cell>
          <cell r="F501" t="e">
            <v>#VALUE!</v>
          </cell>
          <cell r="G501" t="e">
            <v>#REF!</v>
          </cell>
          <cell r="H501" t="e">
            <v>#REF!</v>
          </cell>
          <cell r="I501" t="e">
            <v>#REF!</v>
          </cell>
          <cell r="J501" t="e">
            <v>#REF!</v>
          </cell>
          <cell r="K501" t="e">
            <v>#REF!</v>
          </cell>
          <cell r="L501" t="e">
            <v>#REF!</v>
          </cell>
          <cell r="M501" t="e">
            <v>#REF!</v>
          </cell>
          <cell r="N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</row>
        <row r="502">
          <cell r="A502" t="e">
            <v>#REF!</v>
          </cell>
          <cell r="B502">
            <v>498</v>
          </cell>
          <cell r="C502" t="e">
            <v>#REF!</v>
          </cell>
          <cell r="D502" t="e">
            <v>#VALUE!</v>
          </cell>
          <cell r="E502" t="e">
            <v>#VALUE!</v>
          </cell>
          <cell r="F502" t="e">
            <v>#VALUE!</v>
          </cell>
          <cell r="G502" t="e">
            <v>#REF!</v>
          </cell>
          <cell r="H502" t="e">
            <v>#REF!</v>
          </cell>
          <cell r="I502" t="e">
            <v>#REF!</v>
          </cell>
          <cell r="J502" t="e">
            <v>#REF!</v>
          </cell>
          <cell r="K502" t="e">
            <v>#REF!</v>
          </cell>
          <cell r="L502" t="e">
            <v>#REF!</v>
          </cell>
          <cell r="M502" t="e">
            <v>#REF!</v>
          </cell>
          <cell r="N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</row>
        <row r="503">
          <cell r="A503" t="e">
            <v>#REF!</v>
          </cell>
          <cell r="B503">
            <v>499</v>
          </cell>
          <cell r="C503" t="e">
            <v>#REF!</v>
          </cell>
          <cell r="D503" t="e">
            <v>#VALUE!</v>
          </cell>
          <cell r="E503" t="e">
            <v>#VALUE!</v>
          </cell>
          <cell r="F503" t="e">
            <v>#VALUE!</v>
          </cell>
          <cell r="G503" t="e">
            <v>#REF!</v>
          </cell>
          <cell r="H503" t="e">
            <v>#REF!</v>
          </cell>
          <cell r="I503" t="e">
            <v>#REF!</v>
          </cell>
          <cell r="J503" t="e">
            <v>#REF!</v>
          </cell>
          <cell r="K503" t="e">
            <v>#REF!</v>
          </cell>
          <cell r="L503" t="e">
            <v>#REF!</v>
          </cell>
          <cell r="M503" t="e">
            <v>#REF!</v>
          </cell>
          <cell r="N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</row>
        <row r="504">
          <cell r="A504" t="e">
            <v>#REF!</v>
          </cell>
          <cell r="B504">
            <v>500</v>
          </cell>
          <cell r="C504" t="e">
            <v>#REF!</v>
          </cell>
          <cell r="D504" t="e">
            <v>#VALUE!</v>
          </cell>
          <cell r="E504" t="e">
            <v>#VALUE!</v>
          </cell>
          <cell r="F504" t="e">
            <v>#VALUE!</v>
          </cell>
          <cell r="G504" t="e">
            <v>#REF!</v>
          </cell>
          <cell r="H504" t="e">
            <v>#REF!</v>
          </cell>
          <cell r="I504" t="e">
            <v>#REF!</v>
          </cell>
          <cell r="J504" t="e">
            <v>#REF!</v>
          </cell>
          <cell r="K504" t="e">
            <v>#REF!</v>
          </cell>
          <cell r="L504" t="e">
            <v>#REF!</v>
          </cell>
          <cell r="M504" t="e">
            <v>#REF!</v>
          </cell>
          <cell r="N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</row>
      </sheetData>
      <sheetData sheetId="12" refreshError="1">
        <row r="2">
          <cell r="H2" t="str">
            <v>Dashboard</v>
          </cell>
        </row>
        <row r="4">
          <cell r="A4" t="str">
            <v>Index Score Trends</v>
          </cell>
          <cell r="E4" t="str">
            <v>Factor Score Trends (% figures represent factor importance)</v>
          </cell>
        </row>
        <row r="34">
          <cell r="E34" t="str">
            <v>Overall Ratings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id Descriptions"/>
      <sheetName val="Project Details"/>
      <sheetName val="Group Details"/>
      <sheetName val="GroupRank"/>
      <sheetName val="SuperGroupRank"/>
      <sheetName val="Range"/>
      <sheetName val="TOC"/>
      <sheetName val="CoverPage"/>
      <sheetName val="dashboard (1)"/>
      <sheetName val="score trends (2)"/>
      <sheetName val="priority analysis (3)"/>
      <sheetName val="standards trend (4)"/>
      <sheetName val="Sales Initiation (5)"/>
      <sheetName val="Timing-1 (6)"/>
      <sheetName val="Purchase-1 (7)"/>
      <sheetName val="Purchase-2 (8)"/>
      <sheetName val="Demographic (10)"/>
      <sheetName val="Mgmt Rpt Data - 1"/>
      <sheetName val="priority analysis(mgmt sum)"/>
      <sheetName val="score card (mgmt sum)"/>
      <sheetName val="Slide Mgmt"/>
      <sheetName val="Sheet1"/>
      <sheetName val="score card - summary"/>
      <sheetName val="dashboard _1_"/>
      <sheetName val="standards trend _4_"/>
      <sheetName val="Sales Initiation _5_"/>
      <sheetName val="Timing_1 _6_"/>
      <sheetName val="SRP FH"/>
      <sheetName val="dashboard"/>
      <sheetName val="score trends"/>
      <sheetName val="priority analysis"/>
      <sheetName val="standards trend"/>
      <sheetName val="service timing"/>
      <sheetName val="Fix it First Time"/>
      <sheetName val="Product Problems"/>
      <sheetName val="Parts"/>
      <sheetName val="Sample India"/>
      <sheetName val="Sample Indo"/>
      <sheetName val="Sample MY"/>
      <sheetName val="Sample PH"/>
      <sheetName val="Sample TH"/>
      <sheetName val="Profit"/>
      <sheetName val="3.４Ｒ損益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07">
          <cell r="A307" t="str">
            <v>Pakistan</v>
          </cell>
          <cell r="B307" t="str">
            <v>UniqueName</v>
          </cell>
          <cell r="C307" t="str">
            <v>Comparison segment</v>
          </cell>
          <cell r="D307" t="str">
            <v>Ranked Type</v>
          </cell>
          <cell r="G307" t="str">
            <v>Report Type</v>
          </cell>
        </row>
        <row r="308">
          <cell r="A308">
            <v>1</v>
          </cell>
          <cell r="B308" t="str">
            <v>Study Total</v>
          </cell>
          <cell r="C308" t="str">
            <v>Study Total</v>
          </cell>
          <cell r="E308" t="str">
            <v>Best Dealer</v>
          </cell>
          <cell r="F308" t="str">
            <v>Study Total.honda</v>
          </cell>
          <cell r="G308" t="str">
            <v>Study Total</v>
          </cell>
        </row>
        <row r="309">
          <cell r="A309">
            <v>2</v>
          </cell>
          <cell r="B309" t="str">
            <v>Honda Total</v>
          </cell>
          <cell r="C309" t="str">
            <v>Study Total</v>
          </cell>
          <cell r="E309" t="str">
            <v>Best Dealer</v>
          </cell>
          <cell r="F309" t="str">
            <v>Honda Total.honda</v>
          </cell>
        </row>
        <row r="310">
          <cell r="A310">
            <v>3</v>
          </cell>
          <cell r="B310" t="str">
            <v>Toyota Total</v>
          </cell>
          <cell r="C310" t="str">
            <v>Honda Total</v>
          </cell>
          <cell r="E310" t="str">
            <v>Best Dealer</v>
          </cell>
          <cell r="F310" t="str">
            <v>Toyota Total.honda</v>
          </cell>
        </row>
        <row r="311">
          <cell r="A311">
            <v>4</v>
          </cell>
          <cell r="B311" t="str">
            <v>Civic</v>
          </cell>
          <cell r="C311" t="str">
            <v>Honda Total</v>
          </cell>
          <cell r="D311" t="str">
            <v>Vehicle Type</v>
          </cell>
          <cell r="E311" t="str">
            <v>Best Dealer</v>
          </cell>
          <cell r="F311" t="str">
            <v>Civic.honda</v>
          </cell>
        </row>
        <row r="312">
          <cell r="A312">
            <v>5</v>
          </cell>
          <cell r="B312" t="str">
            <v>City</v>
          </cell>
          <cell r="C312" t="str">
            <v>Honda Total</v>
          </cell>
          <cell r="D312" t="str">
            <v>Vehicle Type</v>
          </cell>
          <cell r="E312" t="str">
            <v>Best Dealer</v>
          </cell>
          <cell r="F312" t="str">
            <v>City.honda</v>
          </cell>
        </row>
        <row r="313">
          <cell r="A313">
            <v>6</v>
          </cell>
          <cell r="B313" t="str">
            <v>Accord</v>
          </cell>
          <cell r="C313" t="str">
            <v>Honda Total</v>
          </cell>
          <cell r="D313" t="str">
            <v>Vehicle Type</v>
          </cell>
          <cell r="E313" t="str">
            <v>Best Dealer</v>
          </cell>
          <cell r="F313" t="str">
            <v>Accord.honda</v>
          </cell>
        </row>
        <row r="314">
          <cell r="A314">
            <v>7</v>
          </cell>
          <cell r="B314" t="str">
            <v>Corolla Petrol</v>
          </cell>
          <cell r="C314" t="str">
            <v>Toyota Total</v>
          </cell>
          <cell r="D314" t="str">
            <v>Vehicle Type</v>
          </cell>
          <cell r="E314" t="str">
            <v>Best Dealer</v>
          </cell>
          <cell r="F314" t="str">
            <v>Corolla Petrol.honda</v>
          </cell>
        </row>
        <row r="315">
          <cell r="A315">
            <v>8</v>
          </cell>
          <cell r="B315" t="str">
            <v>Corolla Diesel</v>
          </cell>
          <cell r="C315" t="str">
            <v>Toyota Total</v>
          </cell>
          <cell r="D315" t="str">
            <v>Vehicle Type</v>
          </cell>
          <cell r="E315" t="str">
            <v>Best Dealer</v>
          </cell>
          <cell r="F315" t="str">
            <v>Corolla Diesel.honda</v>
          </cell>
        </row>
        <row r="316">
          <cell r="A316">
            <v>9</v>
          </cell>
          <cell r="B316" t="str">
            <v>Shahrah-e-Faisal Honda</v>
          </cell>
          <cell r="C316" t="str">
            <v>Honda Total</v>
          </cell>
          <cell r="D316" t="str">
            <v>Dealer</v>
          </cell>
          <cell r="E316" t="str">
            <v>Best Dealer</v>
          </cell>
          <cell r="F316" t="str">
            <v>Shahrah-e-Faisal Honda.honda</v>
          </cell>
        </row>
        <row r="317">
          <cell r="A317">
            <v>10</v>
          </cell>
          <cell r="B317" t="str">
            <v>Site Honda</v>
          </cell>
          <cell r="C317" t="str">
            <v>Honda Total</v>
          </cell>
          <cell r="D317" t="str">
            <v>Dealer</v>
          </cell>
          <cell r="E317" t="str">
            <v>Best Dealer</v>
          </cell>
          <cell r="F317" t="str">
            <v>Site Honda.honda</v>
          </cell>
        </row>
        <row r="318">
          <cell r="A318">
            <v>11</v>
          </cell>
          <cell r="B318" t="str">
            <v>South Honda</v>
          </cell>
          <cell r="C318" t="str">
            <v>Honda Total</v>
          </cell>
          <cell r="D318" t="str">
            <v>Dealer</v>
          </cell>
          <cell r="E318" t="str">
            <v>Best Dealer</v>
          </cell>
          <cell r="F318" t="str">
            <v>South Honda.honda</v>
          </cell>
        </row>
        <row r="319">
          <cell r="A319">
            <v>12</v>
          </cell>
          <cell r="B319" t="str">
            <v>Drive Inn Honda</v>
          </cell>
          <cell r="C319" t="str">
            <v>Honda Total</v>
          </cell>
          <cell r="D319" t="str">
            <v>Dealer</v>
          </cell>
          <cell r="E319" t="str">
            <v>Best Dealer</v>
          </cell>
          <cell r="F319" t="str">
            <v>Drive Inn Honda.honda</v>
          </cell>
        </row>
        <row r="320">
          <cell r="A320">
            <v>13</v>
          </cell>
          <cell r="B320" t="str">
            <v>Defence Honda</v>
          </cell>
          <cell r="C320" t="str">
            <v>Honda Total</v>
          </cell>
          <cell r="D320" t="str">
            <v>Dealer</v>
          </cell>
          <cell r="E320" t="str">
            <v>Best Dealer</v>
          </cell>
          <cell r="F320" t="str">
            <v>Defence Honda.honda</v>
          </cell>
        </row>
        <row r="321">
          <cell r="A321">
            <v>14</v>
          </cell>
          <cell r="B321" t="str">
            <v>Quaideen Honda</v>
          </cell>
          <cell r="C321" t="str">
            <v>Honda Total</v>
          </cell>
          <cell r="D321" t="str">
            <v>Dealer</v>
          </cell>
          <cell r="E321" t="str">
            <v>Best Dealer</v>
          </cell>
          <cell r="F321" t="str">
            <v>Quaideen Honda.honda</v>
          </cell>
        </row>
        <row r="322">
          <cell r="A322">
            <v>15</v>
          </cell>
          <cell r="B322" t="str">
            <v>City Sales Honda</v>
          </cell>
          <cell r="C322" t="str">
            <v>Honda Total</v>
          </cell>
          <cell r="D322" t="str">
            <v>Dealer</v>
          </cell>
          <cell r="E322" t="str">
            <v>Best Dealer</v>
          </cell>
          <cell r="F322" t="str">
            <v>City Sales Honda.honda</v>
          </cell>
        </row>
        <row r="323">
          <cell r="A323">
            <v>16</v>
          </cell>
          <cell r="B323" t="str">
            <v>Fort Honda</v>
          </cell>
          <cell r="C323" t="str">
            <v>Honda Total</v>
          </cell>
          <cell r="D323" t="str">
            <v>Dealer</v>
          </cell>
          <cell r="E323" t="str">
            <v>Best Dealer</v>
          </cell>
          <cell r="F323" t="str">
            <v>Fort Honda.honda</v>
          </cell>
        </row>
        <row r="324">
          <cell r="A324">
            <v>17</v>
          </cell>
          <cell r="B324" t="str">
            <v>Yakata Honda</v>
          </cell>
          <cell r="C324" t="str">
            <v>Honda Total</v>
          </cell>
          <cell r="D324" t="str">
            <v>Dealer</v>
          </cell>
          <cell r="E324" t="str">
            <v>Best Dealer</v>
          </cell>
          <cell r="F324" t="str">
            <v>Yakata Honda.honda</v>
          </cell>
        </row>
        <row r="325">
          <cell r="A325">
            <v>18</v>
          </cell>
          <cell r="B325" t="str">
            <v>Classic Honda</v>
          </cell>
          <cell r="C325" t="str">
            <v>Honda Total</v>
          </cell>
          <cell r="D325" t="str">
            <v>Dealer</v>
          </cell>
          <cell r="E325" t="str">
            <v>Best Dealer</v>
          </cell>
          <cell r="F325" t="str">
            <v>Classic Honda.honda</v>
          </cell>
        </row>
        <row r="326">
          <cell r="A326">
            <v>19</v>
          </cell>
          <cell r="B326" t="str">
            <v>Classic Lounge Honda</v>
          </cell>
          <cell r="C326" t="str">
            <v>Honda Total</v>
          </cell>
          <cell r="D326" t="str">
            <v>Dealer</v>
          </cell>
          <cell r="E326" t="str">
            <v>Best Dealer</v>
          </cell>
          <cell r="F326" t="str">
            <v>Classic Lounge Honda.honda</v>
          </cell>
        </row>
        <row r="327">
          <cell r="A327">
            <v>20</v>
          </cell>
          <cell r="B327" t="str">
            <v>Faisalabad Honda</v>
          </cell>
          <cell r="C327" t="str">
            <v>Honda Total</v>
          </cell>
          <cell r="D327" t="str">
            <v>Dealer</v>
          </cell>
          <cell r="E327" t="str">
            <v>Best Dealer</v>
          </cell>
          <cell r="F327" t="str">
            <v>Faisalabad Honda.honda</v>
          </cell>
        </row>
        <row r="328">
          <cell r="A328">
            <v>21</v>
          </cell>
          <cell r="B328" t="str">
            <v>Falcon Honda</v>
          </cell>
          <cell r="C328" t="str">
            <v>Honda Total</v>
          </cell>
          <cell r="D328" t="str">
            <v>Dealer</v>
          </cell>
          <cell r="E328" t="str">
            <v>Best Dealer</v>
          </cell>
          <cell r="F328" t="str">
            <v>Falcon Honda.honda</v>
          </cell>
        </row>
        <row r="329">
          <cell r="A329">
            <v>22</v>
          </cell>
          <cell r="B329" t="str">
            <v>Breeze Honda</v>
          </cell>
          <cell r="C329" t="str">
            <v>Honda Total</v>
          </cell>
          <cell r="D329" t="str">
            <v>Dealer</v>
          </cell>
          <cell r="E329" t="str">
            <v>Best Dealer</v>
          </cell>
          <cell r="F329" t="str">
            <v>Breeze Honda.honda</v>
          </cell>
        </row>
        <row r="330">
          <cell r="A330">
            <v>23</v>
          </cell>
          <cell r="B330" t="str">
            <v>North Honda</v>
          </cell>
          <cell r="C330" t="str">
            <v>Honda Total</v>
          </cell>
          <cell r="D330" t="str">
            <v>Dealer</v>
          </cell>
          <cell r="E330" t="str">
            <v>Best Dealer</v>
          </cell>
          <cell r="F330" t="str">
            <v>North Honda.honda</v>
          </cell>
        </row>
        <row r="331">
          <cell r="A331">
            <v>24</v>
          </cell>
          <cell r="B331" t="str">
            <v>Palace Honda</v>
          </cell>
          <cell r="C331" t="str">
            <v>Honda Total</v>
          </cell>
          <cell r="D331" t="str">
            <v>Dealer</v>
          </cell>
          <cell r="E331" t="str">
            <v>Best Dealer</v>
          </cell>
          <cell r="F331" t="str">
            <v>Palace Honda.honda</v>
          </cell>
        </row>
        <row r="332">
          <cell r="A332">
            <v>25</v>
          </cell>
          <cell r="B332" t="str">
            <v>Gujranwala Honda</v>
          </cell>
          <cell r="C332" t="str">
            <v>Honda Total</v>
          </cell>
          <cell r="D332" t="str">
            <v>Dealer</v>
          </cell>
          <cell r="E332" t="str">
            <v>Best Dealer</v>
          </cell>
          <cell r="F332" t="str">
            <v>Gujranwala Honda.honda</v>
          </cell>
        </row>
        <row r="333">
          <cell r="A333">
            <v>26</v>
          </cell>
          <cell r="B333" t="str">
            <v>Mirpur Empire Honda</v>
          </cell>
          <cell r="C333" t="str">
            <v>Honda Total</v>
          </cell>
          <cell r="D333" t="str">
            <v>Dealer</v>
          </cell>
          <cell r="E333" t="str">
            <v>Best Dealer</v>
          </cell>
          <cell r="F333" t="str">
            <v>Mirpur Empire Honda.honda</v>
          </cell>
        </row>
        <row r="336">
          <cell r="A336" t="str">
            <v>Korea</v>
          </cell>
          <cell r="B336" t="str">
            <v>UniqueName</v>
          </cell>
          <cell r="C336" t="str">
            <v>Comparison segment</v>
          </cell>
          <cell r="D336" t="str">
            <v>Ranked Type</v>
          </cell>
          <cell r="G336" t="str">
            <v>Report Type</v>
          </cell>
        </row>
        <row r="337">
          <cell r="A337">
            <v>1</v>
          </cell>
          <cell r="B337" t="str">
            <v>Study Total</v>
          </cell>
          <cell r="C337" t="str">
            <v>Study Total</v>
          </cell>
          <cell r="E337" t="str">
            <v>Best Dealer</v>
          </cell>
          <cell r="F337" t="str">
            <v>Study Total.honda</v>
          </cell>
          <cell r="G337" t="str">
            <v>Study Total</v>
          </cell>
        </row>
      </sheetData>
      <sheetData sheetId="6" refreshError="1">
        <row r="25">
          <cell r="V25" t="str">
            <v>Order 1</v>
          </cell>
          <cell r="W25" t="str">
            <v>Thailand</v>
          </cell>
          <cell r="X25" t="str">
            <v>Malaysia</v>
          </cell>
          <cell r="Y25" t="str">
            <v>Philippines</v>
          </cell>
          <cell r="Z25" t="str">
            <v>Indonesia</v>
          </cell>
          <cell r="AA25" t="str">
            <v>India</v>
          </cell>
          <cell r="AB25" t="str">
            <v>Pakistan</v>
          </cell>
          <cell r="AC25" t="str">
            <v>Korea</v>
          </cell>
        </row>
        <row r="26">
          <cell r="V26">
            <v>1</v>
          </cell>
          <cell r="W26">
            <v>2004</v>
          </cell>
          <cell r="X26">
            <v>2005</v>
          </cell>
          <cell r="Y26">
            <v>2005</v>
          </cell>
          <cell r="Z26">
            <v>2005</v>
          </cell>
          <cell r="AA26">
            <v>2005</v>
          </cell>
          <cell r="AB26">
            <v>2005</v>
          </cell>
          <cell r="AC26">
            <v>2005</v>
          </cell>
        </row>
        <row r="27">
          <cell r="V27">
            <v>2</v>
          </cell>
          <cell r="W27">
            <v>2004</v>
          </cell>
          <cell r="X27">
            <v>2005</v>
          </cell>
          <cell r="Y27">
            <v>2005</v>
          </cell>
          <cell r="Z27">
            <v>2005</v>
          </cell>
          <cell r="AA27">
            <v>2005</v>
          </cell>
          <cell r="AB27">
            <v>2006</v>
          </cell>
          <cell r="AC27">
            <v>2006</v>
          </cell>
        </row>
        <row r="28">
          <cell r="V28">
            <v>3</v>
          </cell>
          <cell r="W28">
            <v>2005</v>
          </cell>
          <cell r="X28">
            <v>2005</v>
          </cell>
          <cell r="Y28">
            <v>2005</v>
          </cell>
          <cell r="Z28">
            <v>2005</v>
          </cell>
          <cell r="AA28">
            <v>2005</v>
          </cell>
          <cell r="AB28">
            <v>2006</v>
          </cell>
          <cell r="AC28">
            <v>2006</v>
          </cell>
        </row>
        <row r="29">
          <cell r="V29">
            <v>4</v>
          </cell>
          <cell r="W29">
            <v>2005</v>
          </cell>
          <cell r="X29">
            <v>2005</v>
          </cell>
          <cell r="Y29">
            <v>2005</v>
          </cell>
          <cell r="Z29">
            <v>2005</v>
          </cell>
          <cell r="AA29">
            <v>2005</v>
          </cell>
          <cell r="AB29">
            <v>2007</v>
          </cell>
          <cell r="AC29">
            <v>2007</v>
          </cell>
        </row>
        <row r="30">
          <cell r="V30">
            <v>5</v>
          </cell>
          <cell r="W30">
            <v>2005</v>
          </cell>
          <cell r="X30">
            <v>2006</v>
          </cell>
          <cell r="Y30">
            <v>2006</v>
          </cell>
          <cell r="Z30">
            <v>2006</v>
          </cell>
          <cell r="AA30">
            <v>2006</v>
          </cell>
          <cell r="AB30">
            <v>2007</v>
          </cell>
          <cell r="AC30">
            <v>2007</v>
          </cell>
        </row>
        <row r="31">
          <cell r="V31">
            <v>6</v>
          </cell>
          <cell r="W31">
            <v>2006</v>
          </cell>
          <cell r="X31">
            <v>2006</v>
          </cell>
          <cell r="Y31">
            <v>2006</v>
          </cell>
          <cell r="Z31">
            <v>2006</v>
          </cell>
          <cell r="AA31">
            <v>2006</v>
          </cell>
          <cell r="AB31">
            <v>2008</v>
          </cell>
          <cell r="AC31">
            <v>2008</v>
          </cell>
        </row>
        <row r="32">
          <cell r="V32">
            <v>7</v>
          </cell>
          <cell r="W32">
            <v>2006</v>
          </cell>
          <cell r="X32">
            <v>2006</v>
          </cell>
          <cell r="Y32">
            <v>2006</v>
          </cell>
          <cell r="Z32">
            <v>2006</v>
          </cell>
          <cell r="AA32">
            <v>2006</v>
          </cell>
          <cell r="AB32">
            <v>2008</v>
          </cell>
          <cell r="AC32">
            <v>2008</v>
          </cell>
        </row>
        <row r="33">
          <cell r="V33">
            <v>8</v>
          </cell>
          <cell r="W33">
            <v>2006</v>
          </cell>
          <cell r="X33">
            <v>2006</v>
          </cell>
          <cell r="Y33">
            <v>2006</v>
          </cell>
          <cell r="Z33">
            <v>2006</v>
          </cell>
          <cell r="AA33">
            <v>2006</v>
          </cell>
          <cell r="AB33">
            <v>2009</v>
          </cell>
          <cell r="AC33">
            <v>2009</v>
          </cell>
        </row>
        <row r="34">
          <cell r="V34">
            <v>9</v>
          </cell>
          <cell r="W34">
            <v>2006</v>
          </cell>
        </row>
        <row r="35">
          <cell r="V35">
            <v>10</v>
          </cell>
          <cell r="W35">
            <v>2007</v>
          </cell>
        </row>
        <row r="36">
          <cell r="V36">
            <v>11</v>
          </cell>
          <cell r="W36">
            <v>2007</v>
          </cell>
        </row>
        <row r="37">
          <cell r="V37">
            <v>12</v>
          </cell>
          <cell r="W37">
            <v>2007</v>
          </cell>
        </row>
        <row r="38">
          <cell r="V38">
            <v>13</v>
          </cell>
          <cell r="W38">
            <v>2007</v>
          </cell>
        </row>
        <row r="39">
          <cell r="V39">
            <v>14</v>
          </cell>
          <cell r="W39">
            <v>2008</v>
          </cell>
        </row>
        <row r="40">
          <cell r="V40">
            <v>15</v>
          </cell>
          <cell r="W40">
            <v>2008</v>
          </cell>
        </row>
        <row r="41">
          <cell r="V41">
            <v>16</v>
          </cell>
          <cell r="W41">
            <v>2008</v>
          </cell>
        </row>
        <row r="42">
          <cell r="V42">
            <v>17</v>
          </cell>
          <cell r="W42">
            <v>2008</v>
          </cell>
        </row>
        <row r="43">
          <cell r="V43">
            <v>18</v>
          </cell>
        </row>
      </sheetData>
      <sheetData sheetId="7" refreshError="1"/>
      <sheetData sheetId="8" refreshError="1">
        <row r="20">
          <cell r="Y20">
            <v>0</v>
          </cell>
        </row>
      </sheetData>
      <sheetData sheetId="9" refreshError="1"/>
      <sheetData sheetId="10" refreshError="1"/>
      <sheetData sheetId="11" refreshError="1">
        <row r="8">
          <cell r="M8">
            <v>2</v>
          </cell>
          <cell r="O8" t="e">
            <v>#N/A</v>
          </cell>
          <cell r="P8" t="e">
            <v>#VALUE!</v>
          </cell>
          <cell r="Q8" t="e">
            <v>#VALUE!</v>
          </cell>
          <cell r="T8" t="e">
            <v>#VALUE!</v>
          </cell>
          <cell r="V8">
            <v>110</v>
          </cell>
          <cell r="X8" t="e">
            <v>#N/A</v>
          </cell>
          <cell r="Y8" t="e">
            <v>#N/A</v>
          </cell>
        </row>
        <row r="9">
          <cell r="P9" t="e">
            <v>#VALUE!</v>
          </cell>
          <cell r="X9" t="e">
            <v>#N/A</v>
          </cell>
          <cell r="Y9" t="e">
            <v>#N/A</v>
          </cell>
        </row>
        <row r="10">
          <cell r="P10" t="e">
            <v>#VALUE!</v>
          </cell>
          <cell r="X10" t="e">
            <v>#N/A</v>
          </cell>
          <cell r="Y10" t="e">
            <v>#N/A</v>
          </cell>
        </row>
        <row r="11">
          <cell r="P11" t="e">
            <v>#VALUE!</v>
          </cell>
          <cell r="X11" t="e">
            <v>#N/A</v>
          </cell>
          <cell r="Y11" t="e">
            <v>#N/A</v>
          </cell>
        </row>
        <row r="12">
          <cell r="P12" t="e">
            <v>#VALUE!</v>
          </cell>
          <cell r="X12" t="e">
            <v>#N/A</v>
          </cell>
          <cell r="Y12" t="e">
            <v>#N/A</v>
          </cell>
        </row>
        <row r="13">
          <cell r="P13" t="e">
            <v>#VALUE!</v>
          </cell>
          <cell r="X13" t="e">
            <v>#N/A</v>
          </cell>
          <cell r="Y13" t="e">
            <v>#N/A</v>
          </cell>
        </row>
        <row r="14">
          <cell r="P14" t="e">
            <v>#VALUE!</v>
          </cell>
          <cell r="X14" t="e">
            <v>#N/A</v>
          </cell>
          <cell r="Y14" t="e">
            <v>#N/A</v>
          </cell>
        </row>
        <row r="15">
          <cell r="P15" t="e">
            <v>#VALUE!</v>
          </cell>
          <cell r="X15" t="e">
            <v>#N/A</v>
          </cell>
          <cell r="Y15" t="e">
            <v>#N/A</v>
          </cell>
        </row>
        <row r="16">
          <cell r="P16" t="e">
            <v>#VALUE!</v>
          </cell>
          <cell r="X16" t="e">
            <v>#N/A</v>
          </cell>
          <cell r="Y16" t="e">
            <v>#N/A</v>
          </cell>
        </row>
        <row r="17">
          <cell r="P17" t="e">
            <v>#VALUE!</v>
          </cell>
          <cell r="X17" t="e">
            <v>#N/A</v>
          </cell>
          <cell r="Y17" t="e">
            <v>#N/A</v>
          </cell>
        </row>
        <row r="18">
          <cell r="P18" t="e">
            <v>#VALUE!</v>
          </cell>
          <cell r="X18" t="e">
            <v>#N/A</v>
          </cell>
          <cell r="Y18" t="e">
            <v>#N/A</v>
          </cell>
        </row>
        <row r="19">
          <cell r="P19" t="e">
            <v>#VALUE!</v>
          </cell>
          <cell r="X19" t="e">
            <v>#N/A</v>
          </cell>
          <cell r="Y19" t="e">
            <v>#N/A</v>
          </cell>
        </row>
        <row r="20">
          <cell r="P20" t="e">
            <v>#VALUE!</v>
          </cell>
          <cell r="X20" t="e">
            <v>#N/A</v>
          </cell>
          <cell r="Y20" t="e">
            <v>#N/A</v>
          </cell>
        </row>
        <row r="21">
          <cell r="P21" t="e">
            <v>#VALUE!</v>
          </cell>
          <cell r="X21" t="e">
            <v>#N/A</v>
          </cell>
          <cell r="Y21" t="e">
            <v>#N/A</v>
          </cell>
        </row>
        <row r="22">
          <cell r="P22" t="e">
            <v>#VALUE!</v>
          </cell>
          <cell r="X22" t="e">
            <v>#N/A</v>
          </cell>
          <cell r="Y22" t="e">
            <v>#N/A</v>
          </cell>
        </row>
        <row r="23">
          <cell r="P23" t="e">
            <v>#VALUE!</v>
          </cell>
          <cell r="X23" t="e">
            <v>#N/A</v>
          </cell>
          <cell r="Y23" t="e">
            <v>#N/A</v>
          </cell>
        </row>
        <row r="24">
          <cell r="P24" t="e">
            <v>#VALUE!</v>
          </cell>
          <cell r="X24" t="e">
            <v>#N/A</v>
          </cell>
          <cell r="Y24" t="e">
            <v>#N/A</v>
          </cell>
        </row>
        <row r="25">
          <cell r="P25" t="e">
            <v>#VALUE!</v>
          </cell>
          <cell r="X25" t="e">
            <v>#N/A</v>
          </cell>
          <cell r="Y25" t="e">
            <v>#N/A</v>
          </cell>
        </row>
        <row r="30">
          <cell r="O30" t="str">
            <v>Short Label</v>
          </cell>
          <cell r="P30" t="str">
            <v>Wave 1 '05</v>
          </cell>
        </row>
        <row r="31">
          <cell r="P31" t="e">
            <v>#VALUE!</v>
          </cell>
        </row>
        <row r="32">
          <cell r="P32" t="e">
            <v>#VALUE!</v>
          </cell>
        </row>
        <row r="33">
          <cell r="P33" t="e">
            <v>#VALUE!</v>
          </cell>
        </row>
        <row r="34">
          <cell r="P34" t="e">
            <v>#VALUE!</v>
          </cell>
        </row>
        <row r="35">
          <cell r="P35" t="e">
            <v>#VALUE!</v>
          </cell>
        </row>
        <row r="36">
          <cell r="P36" t="e">
            <v>#VALUE!</v>
          </cell>
        </row>
        <row r="37">
          <cell r="P37" t="e">
            <v>#VALUE!</v>
          </cell>
        </row>
        <row r="38">
          <cell r="P38" t="e">
            <v>#VALUE!</v>
          </cell>
        </row>
        <row r="39">
          <cell r="P39" t="e">
            <v>#VALUE!</v>
          </cell>
        </row>
        <row r="40">
          <cell r="P40" t="e">
            <v>#VALUE!</v>
          </cell>
        </row>
        <row r="46">
          <cell r="O46" t="str">
            <v>Short Label</v>
          </cell>
          <cell r="P46" t="str">
            <v>Wave 1 '05</v>
          </cell>
        </row>
        <row r="47">
          <cell r="P47" t="e">
            <v>#VALUE!</v>
          </cell>
        </row>
        <row r="48">
          <cell r="P48" t="e">
            <v>#VALUE!</v>
          </cell>
        </row>
        <row r="49">
          <cell r="P49" t="e">
            <v>#VALUE!</v>
          </cell>
        </row>
        <row r="50">
          <cell r="P50" t="e">
            <v>#VALUE!</v>
          </cell>
        </row>
        <row r="51">
          <cell r="P51" t="e">
            <v>#VALUE!</v>
          </cell>
        </row>
        <row r="52">
          <cell r="P52" t="e">
            <v>#VALUE!</v>
          </cell>
        </row>
        <row r="53">
          <cell r="P53" t="e">
            <v>#VALUE!</v>
          </cell>
        </row>
        <row r="54">
          <cell r="P54" t="e">
            <v>#VALUE!</v>
          </cell>
        </row>
      </sheetData>
      <sheetData sheetId="12" refreshError="1">
        <row r="5">
          <cell r="S5">
            <v>0</v>
          </cell>
        </row>
        <row r="6">
          <cell r="S6">
            <v>0</v>
          </cell>
        </row>
        <row r="7">
          <cell r="S7">
            <v>0</v>
          </cell>
        </row>
        <row r="14">
          <cell r="S14">
            <v>0</v>
          </cell>
        </row>
        <row r="15">
          <cell r="S15">
            <v>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0</v>
          </cell>
        </row>
      </sheetData>
      <sheetData sheetId="13" refreshError="1">
        <row r="5">
          <cell r="S5">
            <v>0</v>
          </cell>
        </row>
        <row r="6">
          <cell r="S6">
            <v>0</v>
          </cell>
        </row>
        <row r="7">
          <cell r="S7">
            <v>0</v>
          </cell>
        </row>
        <row r="20">
          <cell r="S20">
            <v>0</v>
          </cell>
        </row>
        <row r="21">
          <cell r="S21">
            <v>0</v>
          </cell>
        </row>
        <row r="22">
          <cell r="S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推移データ"/>
      <sheetName val="工数集計"/>
      <sheetName val="工数推移グラフ"/>
      <sheetName val="推移データ全体"/>
      <sheetName val="工数海外比率"/>
      <sheetName val="Sheet1"/>
      <sheetName val="FW_STEXCEL"/>
      <sheetName val="静ﾊﾟﾀﾝ分析"/>
      <sheetName val="VN48 A,Btype 標準工数"/>
    </sheetNames>
    <sheetDataSet>
      <sheetData sheetId="0" refreshError="1"/>
      <sheetData sheetId="1" refreshError="1">
        <row r="7">
          <cell r="W7" t="e">
            <v>#DIV/0!</v>
          </cell>
        </row>
        <row r="12">
          <cell r="H12" t="str">
            <v>1期/98</v>
          </cell>
          <cell r="I12" t="str">
            <v>2期</v>
          </cell>
          <cell r="J12" t="str">
            <v>3期</v>
          </cell>
          <cell r="K12" t="str">
            <v>4期</v>
          </cell>
          <cell r="L12" t="str">
            <v>1期/99</v>
          </cell>
          <cell r="M12" t="str">
            <v>2期</v>
          </cell>
          <cell r="N12" t="str">
            <v>3期</v>
          </cell>
          <cell r="O12" t="str">
            <v>4期</v>
          </cell>
          <cell r="P12" t="str">
            <v>4/99</v>
          </cell>
          <cell r="Q12">
            <v>5</v>
          </cell>
          <cell r="R12">
            <v>6</v>
          </cell>
          <cell r="S12">
            <v>7</v>
          </cell>
          <cell r="T12">
            <v>8</v>
          </cell>
          <cell r="U12">
            <v>9</v>
          </cell>
        </row>
        <row r="13">
          <cell r="H13">
            <v>911.63536721594448</v>
          </cell>
          <cell r="I13">
            <v>864.86612715199999</v>
          </cell>
          <cell r="J13">
            <v>1037.4220305622223</v>
          </cell>
          <cell r="K13">
            <v>1067.6464159911111</v>
          </cell>
          <cell r="L13">
            <v>925.65459008666664</v>
          </cell>
          <cell r="M13">
            <v>991.58903618055649</v>
          </cell>
          <cell r="N13">
            <v>1065.7903349499986</v>
          </cell>
          <cell r="O13">
            <v>1017.4339438783334</v>
          </cell>
          <cell r="P13">
            <v>880.86184928499995</v>
          </cell>
          <cell r="Q13">
            <v>871.31904069833331</v>
          </cell>
          <cell r="R13">
            <v>1024.7828802766667</v>
          </cell>
          <cell r="S13">
            <v>968.62952243666678</v>
          </cell>
          <cell r="T13">
            <v>859.76961560666837</v>
          </cell>
          <cell r="U13">
            <v>1146.3679704983342</v>
          </cell>
        </row>
        <row r="14">
          <cell r="H14">
            <v>132.6707966388889</v>
          </cell>
          <cell r="I14">
            <v>119.18302976944445</v>
          </cell>
          <cell r="J14">
            <v>112.05870575</v>
          </cell>
          <cell r="K14">
            <v>115.81196729888889</v>
          </cell>
          <cell r="L14">
            <v>105.82511802833334</v>
          </cell>
          <cell r="M14">
            <v>105.18626430888889</v>
          </cell>
          <cell r="N14">
            <v>128.13824024666664</v>
          </cell>
          <cell r="O14">
            <v>122.8741453516667</v>
          </cell>
          <cell r="P14">
            <v>99.585889976666664</v>
          </cell>
          <cell r="Q14">
            <v>96.078370918333334</v>
          </cell>
          <cell r="R14">
            <v>121.81109318999999</v>
          </cell>
          <cell r="S14">
            <v>111.35389752166662</v>
          </cell>
          <cell r="T14">
            <v>81.464741761666744</v>
          </cell>
          <cell r="U14">
            <v>122.74015364333331</v>
          </cell>
        </row>
        <row r="15">
          <cell r="H15">
            <v>155.1714972811111</v>
          </cell>
          <cell r="I15">
            <v>168.78820022333332</v>
          </cell>
          <cell r="J15">
            <v>251.40946557166666</v>
          </cell>
          <cell r="K15">
            <v>247.91523304944445</v>
          </cell>
          <cell r="L15">
            <v>211.80332070999998</v>
          </cell>
          <cell r="M15">
            <v>199.7246674283333</v>
          </cell>
          <cell r="N15">
            <v>222.25074446000005</v>
          </cell>
          <cell r="O15">
            <v>248.61360235916675</v>
          </cell>
          <cell r="P15">
            <v>214.52895638833334</v>
          </cell>
          <cell r="Q15">
            <v>195.29172019666666</v>
          </cell>
          <cell r="R15">
            <v>225.589285545</v>
          </cell>
          <cell r="S15">
            <v>212.12017915499993</v>
          </cell>
          <cell r="T15">
            <v>173.9161725383334</v>
          </cell>
          <cell r="U15">
            <v>213.13765059166661</v>
          </cell>
        </row>
        <row r="16">
          <cell r="H16">
            <v>353.61598823927778</v>
          </cell>
          <cell r="I16">
            <v>324.89875283644443</v>
          </cell>
          <cell r="J16">
            <v>407.68028073722223</v>
          </cell>
          <cell r="K16">
            <v>386.74969810388887</v>
          </cell>
          <cell r="L16">
            <v>294.46675523888894</v>
          </cell>
          <cell r="M16">
            <v>341.79797184444436</v>
          </cell>
          <cell r="N16">
            <v>382.35072640833329</v>
          </cell>
          <cell r="O16">
            <v>354.87345265499977</v>
          </cell>
          <cell r="P16">
            <v>287.78001825500002</v>
          </cell>
          <cell r="Q16">
            <v>274.63538359666666</v>
          </cell>
          <cell r="R16">
            <v>320.98486386500002</v>
          </cell>
          <cell r="S16">
            <v>296.62567730166637</v>
          </cell>
          <cell r="T16">
            <v>293.78386980166647</v>
          </cell>
          <cell r="U16">
            <v>434.98436843000007</v>
          </cell>
        </row>
        <row r="17">
          <cell r="H17">
            <v>153.24681323999999</v>
          </cell>
          <cell r="I17">
            <v>129.71095556500001</v>
          </cell>
          <cell r="J17">
            <v>133.64100665999999</v>
          </cell>
          <cell r="K17">
            <v>163.77490273555554</v>
          </cell>
          <cell r="L17">
            <v>187.16038977944444</v>
          </cell>
          <cell r="M17">
            <v>179.6744152316667</v>
          </cell>
          <cell r="N17">
            <v>171.18643802333332</v>
          </cell>
          <cell r="O17">
            <v>143.02124817083336</v>
          </cell>
          <cell r="P17">
            <v>157.95440745666667</v>
          </cell>
          <cell r="Q17">
            <v>193.04192805</v>
          </cell>
          <cell r="R17">
            <v>210.48483383166666</v>
          </cell>
          <cell r="S17">
            <v>202.05746071666672</v>
          </cell>
          <cell r="T17">
            <v>155.52956272499998</v>
          </cell>
          <cell r="U17">
            <v>181.43622225333345</v>
          </cell>
        </row>
        <row r="18">
          <cell r="H18">
            <v>38.761956661666666</v>
          </cell>
          <cell r="I18">
            <v>54.333133757222221</v>
          </cell>
          <cell r="J18">
            <v>45.364102207777776</v>
          </cell>
          <cell r="K18">
            <v>65.884443911111106</v>
          </cell>
          <cell r="L18">
            <v>47.879458790000001</v>
          </cell>
          <cell r="M18">
            <v>60.387770687222222</v>
          </cell>
          <cell r="N18">
            <v>59.69961039833332</v>
          </cell>
          <cell r="O18">
            <v>72.801383933333369</v>
          </cell>
          <cell r="P18">
            <v>49.884109306666666</v>
          </cell>
          <cell r="Q18">
            <v>44.142332878333335</v>
          </cell>
          <cell r="R18">
            <v>49.611934185000003</v>
          </cell>
          <cell r="S18">
            <v>51.647834808333343</v>
          </cell>
          <cell r="T18">
            <v>56.492087263333325</v>
          </cell>
          <cell r="U18">
            <v>73.023389989999998</v>
          </cell>
        </row>
        <row r="19">
          <cell r="H19">
            <v>11.981056000555556</v>
          </cell>
          <cell r="I19">
            <v>21.209219297777778</v>
          </cell>
          <cell r="J19">
            <v>58.068594199444448</v>
          </cell>
          <cell r="K19">
            <v>51.776850937222221</v>
          </cell>
          <cell r="L19">
            <v>53.11351170333333</v>
          </cell>
          <cell r="M19">
            <v>58.638030121111107</v>
          </cell>
          <cell r="N19">
            <v>44.953369428333332</v>
          </cell>
          <cell r="O19">
            <v>33.449137656666664</v>
          </cell>
          <cell r="P19">
            <v>46.490558248333336</v>
          </cell>
          <cell r="Q19">
            <v>48.099429174999997</v>
          </cell>
          <cell r="R19">
            <v>64.750547686666664</v>
          </cell>
          <cell r="S19">
            <v>64.894804806666656</v>
          </cell>
          <cell r="T19">
            <v>55.997807935000004</v>
          </cell>
          <cell r="U19">
            <v>55.021477621666669</v>
          </cell>
        </row>
        <row r="20">
          <cell r="H20">
            <v>66.187259154444448</v>
          </cell>
          <cell r="I20">
            <v>46.742835702777775</v>
          </cell>
          <cell r="J20">
            <v>29.19987543611111</v>
          </cell>
          <cell r="K20">
            <v>35.733319954999999</v>
          </cell>
          <cell r="L20">
            <v>25.406035836666671</v>
          </cell>
          <cell r="M20">
            <v>46.179916558888912</v>
          </cell>
          <cell r="N20">
            <v>57.211205984999992</v>
          </cell>
          <cell r="O20">
            <v>41.80097375166666</v>
          </cell>
          <cell r="P20">
            <v>24.637909653333335</v>
          </cell>
          <cell r="Q20">
            <v>20.029875883333332</v>
          </cell>
          <cell r="R20">
            <v>31.550321973333332</v>
          </cell>
          <cell r="S20">
            <v>29.929668126666666</v>
          </cell>
          <cell r="T20">
            <v>42.585373581666701</v>
          </cell>
          <cell r="U20">
            <v>66.02470796833336</v>
          </cell>
        </row>
        <row r="77">
          <cell r="H77" t="str">
            <v>98第1期</v>
          </cell>
          <cell r="I77" t="str">
            <v>第2期</v>
          </cell>
          <cell r="J77" t="str">
            <v>第3期</v>
          </cell>
          <cell r="K77" t="str">
            <v>第4期</v>
          </cell>
          <cell r="L77" t="str">
            <v>99第1期</v>
          </cell>
          <cell r="M77" t="str">
            <v>第2期</v>
          </cell>
          <cell r="N77" t="str">
            <v>第3期</v>
          </cell>
          <cell r="O77" t="str">
            <v>第4期</v>
          </cell>
          <cell r="P77" t="str">
            <v>4/99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</row>
        <row r="78">
          <cell r="H78">
            <v>100</v>
          </cell>
          <cell r="I78">
            <v>100</v>
          </cell>
          <cell r="J78">
            <v>100</v>
          </cell>
          <cell r="K78">
            <v>100</v>
          </cell>
          <cell r="L78">
            <v>100</v>
          </cell>
          <cell r="M78">
            <v>100</v>
          </cell>
          <cell r="N78">
            <v>100</v>
          </cell>
          <cell r="O78" t="str">
            <v>第4期</v>
          </cell>
          <cell r="P78">
            <v>100</v>
          </cell>
          <cell r="Q78">
            <v>100</v>
          </cell>
          <cell r="R78">
            <v>100</v>
          </cell>
          <cell r="S78">
            <v>100</v>
          </cell>
          <cell r="T78">
            <v>100</v>
          </cell>
          <cell r="U78">
            <v>100</v>
          </cell>
        </row>
        <row r="79">
          <cell r="H79">
            <v>14.553055027258763</v>
          </cell>
          <cell r="I79">
            <v>13.780517704157704</v>
          </cell>
          <cell r="J79">
            <v>10.801650866163959</v>
          </cell>
          <cell r="K79">
            <v>10.847408427009894</v>
          </cell>
          <cell r="L79">
            <v>11.432462946942792</v>
          </cell>
          <cell r="M79">
            <v>10.60784866218869</v>
          </cell>
          <cell r="N79">
            <v>12.022837517350748</v>
          </cell>
          <cell r="O79">
            <v>100</v>
          </cell>
          <cell r="P79">
            <v>11.305506085602531</v>
          </cell>
          <cell r="Q79">
            <v>11.026772792814182</v>
          </cell>
          <cell r="R79">
            <v>11.886526944821126</v>
          </cell>
          <cell r="S79">
            <v>11.49602556419577</v>
          </cell>
          <cell r="T79">
            <v>9.4751826864902409</v>
          </cell>
          <cell r="U79">
            <v>10.70687220875312</v>
          </cell>
        </row>
        <row r="80">
          <cell r="H80">
            <v>17.021223930242137</v>
          </cell>
          <cell r="I80">
            <v>19.516107166683941</v>
          </cell>
          <cell r="J80">
            <v>24.234058865649633</v>
          </cell>
          <cell r="K80">
            <v>23.220724514801208</v>
          </cell>
          <cell r="L80">
            <v>22.881463882782601</v>
          </cell>
          <cell r="M80">
            <v>20.141879361397642</v>
          </cell>
          <cell r="N80">
            <v>20.853139418873308</v>
          </cell>
          <cell r="O80">
            <v>12.076867111714941</v>
          </cell>
          <cell r="P80">
            <v>24.354438390363665</v>
          </cell>
          <cell r="Q80">
            <v>22.413342423935418</v>
          </cell>
          <cell r="R80">
            <v>22.013373748407695</v>
          </cell>
          <cell r="S80">
            <v>21.899000003777942</v>
          </cell>
          <cell r="T80">
            <v>20.228229677041462</v>
          </cell>
          <cell r="U80">
            <v>18.592428964934722</v>
          </cell>
        </row>
        <row r="81">
          <cell r="H81">
            <v>38.789191485537735</v>
          </cell>
          <cell r="I81">
            <v>37.566363467873863</v>
          </cell>
          <cell r="J81">
            <v>39.297438142535235</v>
          </cell>
          <cell r="K81">
            <v>36.22451144041576</v>
          </cell>
          <cell r="L81">
            <v>31.811731761770744</v>
          </cell>
          <cell r="M81">
            <v>34.469720758611437</v>
          </cell>
          <cell r="N81">
            <v>35.87485398113234</v>
          </cell>
          <cell r="O81">
            <v>24.435355617435192</v>
          </cell>
          <cell r="P81">
            <v>32.670278374366255</v>
          </cell>
          <cell r="Q81">
            <v>31.519497539793861</v>
          </cell>
          <cell r="R81">
            <v>31.322231278721386</v>
          </cell>
          <cell r="S81">
            <v>30.623233179542186</v>
          </cell>
          <cell r="T81">
            <v>34.170068872969821</v>
          </cell>
          <cell r="U81">
            <v>37.944567505746804</v>
          </cell>
        </row>
        <row r="82">
          <cell r="H82">
            <v>16.810099602432331</v>
          </cell>
          <cell r="I82">
            <v>14.997807347610843</v>
          </cell>
          <cell r="J82">
            <v>12.882028983669681</v>
          </cell>
          <cell r="K82">
            <v>15.339807288494573</v>
          </cell>
          <cell r="L82">
            <v>20.219247199100597</v>
          </cell>
          <cell r="M82">
            <v>18.119846899855208</v>
          </cell>
          <cell r="N82">
            <v>16.061924415120963</v>
          </cell>
          <cell r="O82">
            <v>34.879262166373742</v>
          </cell>
          <cell r="P82">
            <v>17.931802539169915</v>
          </cell>
          <cell r="Q82">
            <v>22.155137100560008</v>
          </cell>
          <cell r="R82">
            <v>20.539456491978168</v>
          </cell>
          <cell r="S82">
            <v>20.860138580989627</v>
          </cell>
          <cell r="T82">
            <v>18.089678897905181</v>
          </cell>
          <cell r="U82">
            <v>15.827049160703771</v>
          </cell>
        </row>
        <row r="83">
          <cell r="H83">
            <v>4.2519145324563627</v>
          </cell>
          <cell r="I83">
            <v>6.28225942159869</v>
          </cell>
          <cell r="J83">
            <v>4.37277220565608</v>
          </cell>
          <cell r="K83">
            <v>6.1709984620657075</v>
          </cell>
          <cell r="L83">
            <v>5.172497311931135</v>
          </cell>
          <cell r="M83">
            <v>6.089999837011745</v>
          </cell>
          <cell r="N83">
            <v>5.6014403997324784</v>
          </cell>
          <cell r="O83">
            <v>14.057054910675962</v>
          </cell>
          <cell r="P83">
            <v>5.6631024884501304</v>
          </cell>
          <cell r="Q83">
            <v>5.0661503785059852</v>
          </cell>
          <cell r="R83">
            <v>4.8412141869120591</v>
          </cell>
          <cell r="S83">
            <v>5.3320525146094031</v>
          </cell>
          <cell r="T83">
            <v>6.5706075485665458</v>
          </cell>
          <cell r="U83">
            <v>6.369978215481388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horpade "/>
      <sheetName val="WALVEKAR"/>
      <sheetName val="WALVEKAR (2)"/>
      <sheetName val="M80"/>
      <sheetName val="CHETAK2S"/>
      <sheetName val="Sheet3"/>
      <sheetName val="RATING"/>
      <sheetName val=" OEE IMPR. ( DSL) 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MISSION"/>
      <sheetName val="Sheet5"/>
      <sheetName val="未納部品"/>
      <sheetName val="A_K1納入状況"/>
      <sheetName val="A_K2納入状況"/>
      <sheetName val="協力企業一覧"/>
    </sheetNames>
    <sheetDataSet>
      <sheetData sheetId="0">
        <row r="1">
          <cell r="T1" t="str">
            <v>BOOK</v>
          </cell>
          <cell r="U1" t="str">
            <v>YEAR</v>
          </cell>
          <cell r="V1" t="str">
            <v>UPC</v>
          </cell>
          <cell r="W1" t="str">
            <v>A_FNA</v>
          </cell>
          <cell r="X1" t="str">
            <v>D_UPC</v>
          </cell>
          <cell r="Y1" t="str">
            <v>FNA</v>
          </cell>
          <cell r="Z1" t="str">
            <v>SEQ</v>
          </cell>
          <cell r="AA1" t="str">
            <v>P QTY</v>
          </cell>
          <cell r="AB1" t="str">
            <v>DES</v>
          </cell>
          <cell r="AC1" t="str">
            <v>KD</v>
          </cell>
          <cell r="AD1" t="str">
            <v>PRO</v>
          </cell>
          <cell r="AE1" t="str">
            <v>START</v>
          </cell>
          <cell r="AF1" t="str">
            <v>STR_DATE</v>
          </cell>
          <cell r="AG1" t="str">
            <v>STOP</v>
          </cell>
          <cell r="AH1" t="str">
            <v>STP_DATE</v>
          </cell>
          <cell r="AI1" t="str">
            <v>VL1</v>
          </cell>
          <cell r="AJ1" t="str">
            <v>UL1</v>
          </cell>
          <cell r="AK1" t="str">
            <v>VL2</v>
          </cell>
          <cell r="AL1" t="str">
            <v>UL2</v>
          </cell>
          <cell r="AM1" t="str">
            <v>DEPT2</v>
          </cell>
          <cell r="AN1" t="str">
            <v>VL3</v>
          </cell>
          <cell r="AO1" t="str">
            <v>UL3</v>
          </cell>
          <cell r="AP1" t="str">
            <v>DEPT3</v>
          </cell>
          <cell r="AQ1" t="str">
            <v>VL4</v>
          </cell>
          <cell r="AR1" t="str">
            <v>UL4</v>
          </cell>
          <cell r="AS1" t="str">
            <v>DEPT4</v>
          </cell>
          <cell r="AT1" t="str">
            <v>SK</v>
          </cell>
          <cell r="AU1" t="str">
            <v>KT</v>
          </cell>
          <cell r="AV1" t="str">
            <v>ZAI_1</v>
          </cell>
          <cell r="AW1" t="str">
            <v>ZAI_2</v>
          </cell>
          <cell r="AX1" t="str">
            <v>MAKER 2</v>
          </cell>
          <cell r="AY1" t="str">
            <v>ZAI 3</v>
          </cell>
          <cell r="AZ1" t="str">
            <v>MAKER 3</v>
          </cell>
          <cell r="BA1" t="str">
            <v>ZAI 4</v>
          </cell>
          <cell r="BB1" t="str">
            <v>MAKER 4</v>
          </cell>
          <cell r="BC1" t="str">
            <v>ZAI 5</v>
          </cell>
          <cell r="BD1" t="str">
            <v>MAKER 5</v>
          </cell>
          <cell r="BE1" t="str">
            <v>NR</v>
          </cell>
          <cell r="BF1" t="str">
            <v>U_CODE</v>
          </cell>
          <cell r="BG1" t="str">
            <v>ECS</v>
          </cell>
          <cell r="BH1" t="str">
            <v>R BK</v>
          </cell>
          <cell r="BI1" t="str">
            <v>R YR</v>
          </cell>
        </row>
        <row r="2">
          <cell r="T2" t="str">
            <v>5Q</v>
          </cell>
          <cell r="U2" t="str">
            <v>040</v>
          </cell>
          <cell r="V2" t="str">
            <v xml:space="preserve"> 7B 1A</v>
          </cell>
          <cell r="W2" t="str">
            <v>U7235</v>
          </cell>
          <cell r="Y2" t="str">
            <v>U7235E</v>
          </cell>
          <cell r="Z2" t="str">
            <v>AAB</v>
          </cell>
          <cell r="AB2" t="str">
            <v>T</v>
          </cell>
          <cell r="AD2" t="str">
            <v>*</v>
          </cell>
          <cell r="AE2" t="str">
            <v>2J653</v>
          </cell>
          <cell r="AF2" t="str">
            <v>021223</v>
          </cell>
          <cell r="AI2" t="str">
            <v>*</v>
          </cell>
          <cell r="AJ2" t="str">
            <v>T</v>
          </cell>
          <cell r="AT2" t="str">
            <v>A</v>
          </cell>
          <cell r="AU2" t="str">
            <v>0</v>
          </cell>
          <cell r="AV2" t="str">
            <v>3</v>
          </cell>
          <cell r="BE2" t="str">
            <v>4</v>
          </cell>
          <cell r="BF2" t="str">
            <v>0002</v>
          </cell>
          <cell r="BG2" t="str">
            <v>NCH03</v>
          </cell>
          <cell r="BH2" t="str">
            <v>2X</v>
          </cell>
          <cell r="BI2" t="str">
            <v>015</v>
          </cell>
        </row>
        <row r="3">
          <cell r="T3" t="str">
            <v>5Q</v>
          </cell>
          <cell r="U3" t="str">
            <v>040</v>
          </cell>
          <cell r="V3" t="str">
            <v xml:space="preserve"> 7B 1A</v>
          </cell>
          <cell r="W3" t="str">
            <v>U7100</v>
          </cell>
          <cell r="Y3" t="str">
            <v>U7100E</v>
          </cell>
          <cell r="Z3" t="str">
            <v>AAC</v>
          </cell>
          <cell r="AB3" t="str">
            <v>T</v>
          </cell>
          <cell r="AD3" t="str">
            <v>*</v>
          </cell>
          <cell r="AE3" t="str">
            <v>2J653</v>
          </cell>
          <cell r="AF3" t="str">
            <v>021223</v>
          </cell>
          <cell r="AI3" t="str">
            <v>*</v>
          </cell>
          <cell r="AJ3" t="str">
            <v>T</v>
          </cell>
          <cell r="AT3" t="str">
            <v>A</v>
          </cell>
          <cell r="AU3" t="str">
            <v>0</v>
          </cell>
          <cell r="AV3" t="str">
            <v>3</v>
          </cell>
          <cell r="BE3" t="str">
            <v>4</v>
          </cell>
          <cell r="BF3" t="str">
            <v>0005</v>
          </cell>
          <cell r="BG3" t="str">
            <v>NAU49</v>
          </cell>
          <cell r="BH3" t="str">
            <v>2P</v>
          </cell>
          <cell r="BI3" t="str">
            <v>030</v>
          </cell>
        </row>
        <row r="4">
          <cell r="T4" t="str">
            <v>5Q</v>
          </cell>
          <cell r="U4" t="str">
            <v>040</v>
          </cell>
          <cell r="V4" t="str">
            <v xml:space="preserve"> 5D</v>
          </cell>
          <cell r="W4" t="str">
            <v>U5165</v>
          </cell>
          <cell r="Y4" t="str">
            <v>U5165E</v>
          </cell>
          <cell r="Z4" t="str">
            <v>AAF</v>
          </cell>
          <cell r="AB4" t="str">
            <v>T</v>
          </cell>
          <cell r="AD4" t="str">
            <v>*</v>
          </cell>
          <cell r="AE4" t="str">
            <v>2J653</v>
          </cell>
          <cell r="AF4" t="str">
            <v>021223</v>
          </cell>
          <cell r="AI4" t="str">
            <v>*</v>
          </cell>
          <cell r="AJ4" t="str">
            <v>T</v>
          </cell>
          <cell r="AT4" t="str">
            <v>A</v>
          </cell>
          <cell r="AU4" t="str">
            <v>0</v>
          </cell>
          <cell r="AV4" t="str">
            <v>3</v>
          </cell>
          <cell r="BE4" t="str">
            <v>A</v>
          </cell>
          <cell r="BF4" t="str">
            <v>0003</v>
          </cell>
          <cell r="BG4" t="str">
            <v>2H814</v>
          </cell>
          <cell r="BH4" t="str">
            <v>5B</v>
          </cell>
          <cell r="BI4" t="str">
            <v>020</v>
          </cell>
        </row>
        <row r="5">
          <cell r="T5" t="str">
            <v>5Q</v>
          </cell>
          <cell r="U5" t="str">
            <v>040</v>
          </cell>
          <cell r="V5" t="str">
            <v xml:space="preserve"> 7B 1A</v>
          </cell>
          <cell r="W5" t="str">
            <v>U0722</v>
          </cell>
          <cell r="Y5" t="str">
            <v>U0722E</v>
          </cell>
          <cell r="Z5" t="str">
            <v>AAE</v>
          </cell>
          <cell r="AB5" t="str">
            <v>T</v>
          </cell>
          <cell r="AD5" t="str">
            <v>*</v>
          </cell>
          <cell r="AE5" t="str">
            <v>2J653</v>
          </cell>
          <cell r="AF5" t="str">
            <v>021223</v>
          </cell>
          <cell r="AI5" t="str">
            <v>*</v>
          </cell>
          <cell r="AJ5" t="str">
            <v>T</v>
          </cell>
          <cell r="BE5" t="str">
            <v>M</v>
          </cell>
          <cell r="BF5" t="str">
            <v>0001</v>
          </cell>
        </row>
        <row r="6">
          <cell r="T6" t="str">
            <v>5Q</v>
          </cell>
          <cell r="U6" t="str">
            <v>040</v>
          </cell>
          <cell r="V6" t="str">
            <v xml:space="preserve"> 7B 3A</v>
          </cell>
          <cell r="W6" t="str">
            <v>U0107</v>
          </cell>
          <cell r="Y6" t="str">
            <v>U0107E</v>
          </cell>
          <cell r="Z6" t="str">
            <v>AAA</v>
          </cell>
          <cell r="AB6" t="str">
            <v>U</v>
          </cell>
          <cell r="AD6" t="str">
            <v>*</v>
          </cell>
          <cell r="AE6" t="str">
            <v>2J653</v>
          </cell>
          <cell r="AF6" t="str">
            <v>021223</v>
          </cell>
          <cell r="AI6" t="str">
            <v>*</v>
          </cell>
          <cell r="AJ6" t="str">
            <v>T</v>
          </cell>
          <cell r="AT6" t="str">
            <v>A</v>
          </cell>
          <cell r="AU6" t="str">
            <v>0</v>
          </cell>
          <cell r="AV6" t="str">
            <v>3</v>
          </cell>
          <cell r="BF6" t="str">
            <v>0002</v>
          </cell>
          <cell r="BG6" t="str">
            <v>Z5809</v>
          </cell>
          <cell r="BH6" t="str">
            <v>E7</v>
          </cell>
        </row>
        <row r="7">
          <cell r="T7" t="str">
            <v>5Q</v>
          </cell>
          <cell r="U7" t="str">
            <v>040</v>
          </cell>
          <cell r="V7" t="str">
            <v>14H</v>
          </cell>
          <cell r="W7" t="str">
            <v>U4360</v>
          </cell>
          <cell r="Y7" t="str">
            <v>U4360E</v>
          </cell>
          <cell r="Z7" t="str">
            <v>AAA</v>
          </cell>
          <cell r="AB7" t="str">
            <v>T</v>
          </cell>
          <cell r="AD7" t="str">
            <v>*</v>
          </cell>
          <cell r="AE7" t="str">
            <v>2J653</v>
          </cell>
          <cell r="AF7" t="str">
            <v>021223</v>
          </cell>
          <cell r="AI7" t="str">
            <v>*</v>
          </cell>
          <cell r="AJ7" t="str">
            <v>T</v>
          </cell>
          <cell r="AT7" t="str">
            <v>A</v>
          </cell>
          <cell r="AU7" t="str">
            <v>0</v>
          </cell>
          <cell r="AV7" t="str">
            <v>3</v>
          </cell>
          <cell r="BE7" t="str">
            <v>1</v>
          </cell>
          <cell r="BF7" t="str">
            <v>0027</v>
          </cell>
          <cell r="BG7" t="str">
            <v>Z5761</v>
          </cell>
          <cell r="BH7" t="str">
            <v>P8</v>
          </cell>
          <cell r="BI7" t="str">
            <v>885</v>
          </cell>
        </row>
        <row r="8">
          <cell r="T8" t="str">
            <v>5Q</v>
          </cell>
          <cell r="U8" t="str">
            <v>040</v>
          </cell>
          <cell r="V8" t="str">
            <v>12E</v>
          </cell>
          <cell r="W8" t="str">
            <v>U0550</v>
          </cell>
          <cell r="Y8" t="str">
            <v>U0550E</v>
          </cell>
          <cell r="Z8" t="str">
            <v>AAD</v>
          </cell>
          <cell r="AB8" t="str">
            <v>T</v>
          </cell>
          <cell r="AD8" t="str">
            <v>*</v>
          </cell>
          <cell r="AE8" t="str">
            <v>2J653</v>
          </cell>
          <cell r="AF8" t="str">
            <v>021223</v>
          </cell>
          <cell r="AI8" t="str">
            <v>*</v>
          </cell>
          <cell r="AJ8" t="str">
            <v>T</v>
          </cell>
          <cell r="AT8" t="str">
            <v>A</v>
          </cell>
          <cell r="AU8" t="str">
            <v>0</v>
          </cell>
          <cell r="AV8" t="str">
            <v>3</v>
          </cell>
          <cell r="BE8" t="str">
            <v>ｻ</v>
          </cell>
          <cell r="BF8" t="str">
            <v>0005</v>
          </cell>
          <cell r="BG8" t="str">
            <v>2H811</v>
          </cell>
          <cell r="BH8" t="str">
            <v>Q2</v>
          </cell>
          <cell r="BI8" t="str">
            <v>030</v>
          </cell>
        </row>
        <row r="9">
          <cell r="T9" t="str">
            <v>5Q</v>
          </cell>
          <cell r="U9" t="str">
            <v>040</v>
          </cell>
          <cell r="V9" t="str">
            <v xml:space="preserve"> 7A</v>
          </cell>
          <cell r="W9" t="str">
            <v>U6200</v>
          </cell>
          <cell r="Y9" t="str">
            <v>U6200E</v>
          </cell>
          <cell r="Z9" t="str">
            <v>AAC</v>
          </cell>
          <cell r="AB9" t="str">
            <v>U</v>
          </cell>
          <cell r="AD9" t="str">
            <v>*</v>
          </cell>
          <cell r="AE9" t="str">
            <v>2J653</v>
          </cell>
          <cell r="AF9" t="str">
            <v>021223</v>
          </cell>
          <cell r="AI9" t="str">
            <v>*</v>
          </cell>
          <cell r="AJ9" t="str">
            <v>T</v>
          </cell>
          <cell r="AT9" t="str">
            <v>A</v>
          </cell>
          <cell r="AU9" t="str">
            <v>0</v>
          </cell>
          <cell r="AV9" t="str">
            <v>3</v>
          </cell>
          <cell r="BE9" t="str">
            <v>J</v>
          </cell>
          <cell r="BF9" t="str">
            <v>0002</v>
          </cell>
          <cell r="BG9" t="str">
            <v>2H811</v>
          </cell>
          <cell r="BH9" t="str">
            <v>Q2</v>
          </cell>
          <cell r="BI9" t="str">
            <v>030</v>
          </cell>
        </row>
        <row r="10">
          <cell r="T10" t="str">
            <v>5Q</v>
          </cell>
          <cell r="U10" t="str">
            <v>040</v>
          </cell>
          <cell r="V10" t="str">
            <v xml:space="preserve"> 7B 1A</v>
          </cell>
          <cell r="W10" t="str">
            <v>U7205</v>
          </cell>
          <cell r="Y10" t="str">
            <v>U7205E</v>
          </cell>
          <cell r="Z10" t="str">
            <v>AAC</v>
          </cell>
          <cell r="AB10" t="str">
            <v>T</v>
          </cell>
          <cell r="AD10" t="str">
            <v>*</v>
          </cell>
          <cell r="AE10" t="str">
            <v>2J653</v>
          </cell>
          <cell r="AF10" t="str">
            <v>021223</v>
          </cell>
          <cell r="AI10" t="str">
            <v>*</v>
          </cell>
          <cell r="AJ10" t="str">
            <v>T</v>
          </cell>
          <cell r="AT10" t="str">
            <v>A</v>
          </cell>
          <cell r="AU10" t="str">
            <v>0</v>
          </cell>
          <cell r="AV10" t="str">
            <v>3</v>
          </cell>
          <cell r="BE10" t="str">
            <v>ｻ</v>
          </cell>
          <cell r="BF10" t="str">
            <v>0034</v>
          </cell>
          <cell r="BG10" t="str">
            <v>2H811</v>
          </cell>
          <cell r="BH10" t="str">
            <v>Q2</v>
          </cell>
          <cell r="BI10" t="str">
            <v>030</v>
          </cell>
        </row>
        <row r="11">
          <cell r="T11" t="str">
            <v>5Q</v>
          </cell>
          <cell r="U11" t="str">
            <v>040</v>
          </cell>
          <cell r="V11" t="str">
            <v xml:space="preserve"> 7B 3A</v>
          </cell>
          <cell r="W11" t="str">
            <v>U0107</v>
          </cell>
          <cell r="Y11" t="str">
            <v>U0107E</v>
          </cell>
          <cell r="Z11" t="str">
            <v>AAB</v>
          </cell>
          <cell r="AB11" t="str">
            <v>U</v>
          </cell>
          <cell r="AD11" t="str">
            <v>*</v>
          </cell>
          <cell r="AE11" t="str">
            <v>2J653</v>
          </cell>
          <cell r="AF11" t="str">
            <v>021223</v>
          </cell>
          <cell r="AI11" t="str">
            <v>*</v>
          </cell>
          <cell r="AJ11" t="str">
            <v>T</v>
          </cell>
          <cell r="AT11" t="str">
            <v>A</v>
          </cell>
          <cell r="AU11" t="str">
            <v>0</v>
          </cell>
          <cell r="AV11" t="str">
            <v>3</v>
          </cell>
          <cell r="BF11" t="str">
            <v>0002</v>
          </cell>
          <cell r="BG11" t="str">
            <v>JK751</v>
          </cell>
          <cell r="BH11" t="str">
            <v>A4</v>
          </cell>
          <cell r="BI11" t="str">
            <v>945</v>
          </cell>
        </row>
        <row r="12">
          <cell r="T12" t="str">
            <v>5Q</v>
          </cell>
          <cell r="U12" t="str">
            <v>040</v>
          </cell>
          <cell r="V12" t="str">
            <v xml:space="preserve"> 7B 3A</v>
          </cell>
          <cell r="W12" t="str">
            <v>U1350</v>
          </cell>
          <cell r="Y12" t="str">
            <v>U1350E</v>
          </cell>
          <cell r="Z12" t="str">
            <v>AAB</v>
          </cell>
          <cell r="AB12" t="str">
            <v>U</v>
          </cell>
          <cell r="AD12" t="str">
            <v>*</v>
          </cell>
          <cell r="AE12" t="str">
            <v>2J653</v>
          </cell>
          <cell r="AF12" t="str">
            <v>021223</v>
          </cell>
          <cell r="AI12" t="str">
            <v>*</v>
          </cell>
          <cell r="AJ12" t="str">
            <v>T</v>
          </cell>
          <cell r="AT12" t="str">
            <v>A</v>
          </cell>
          <cell r="AU12" t="str">
            <v>0</v>
          </cell>
          <cell r="AV12" t="str">
            <v>3</v>
          </cell>
          <cell r="BF12" t="str">
            <v>0002</v>
          </cell>
          <cell r="BG12" t="str">
            <v>2J559</v>
          </cell>
          <cell r="BH12" t="str">
            <v>B6</v>
          </cell>
          <cell r="BI12" t="str">
            <v>970</v>
          </cell>
        </row>
        <row r="13">
          <cell r="T13" t="str">
            <v>5Q</v>
          </cell>
          <cell r="U13" t="str">
            <v>040</v>
          </cell>
          <cell r="V13" t="str">
            <v xml:space="preserve"> 7B 3D</v>
          </cell>
          <cell r="W13" t="str">
            <v>U1200</v>
          </cell>
          <cell r="Y13" t="str">
            <v>U1200E</v>
          </cell>
          <cell r="Z13" t="str">
            <v>AAA</v>
          </cell>
          <cell r="AB13" t="str">
            <v>U</v>
          </cell>
          <cell r="AD13" t="str">
            <v>*</v>
          </cell>
          <cell r="AE13" t="str">
            <v>2J653</v>
          </cell>
          <cell r="AF13" t="str">
            <v>021223</v>
          </cell>
          <cell r="AI13" t="str">
            <v>*</v>
          </cell>
          <cell r="AJ13" t="str">
            <v>T</v>
          </cell>
          <cell r="AT13" t="str">
            <v>A</v>
          </cell>
          <cell r="AU13" t="str">
            <v>0</v>
          </cell>
          <cell r="AV13" t="str">
            <v>3</v>
          </cell>
          <cell r="BF13" t="str">
            <v>0002</v>
          </cell>
          <cell r="BG13" t="str">
            <v>9W347</v>
          </cell>
          <cell r="BH13" t="str">
            <v>AW</v>
          </cell>
          <cell r="BI13" t="str">
            <v>950</v>
          </cell>
        </row>
        <row r="14">
          <cell r="T14" t="str">
            <v>5Q</v>
          </cell>
          <cell r="U14" t="str">
            <v>040</v>
          </cell>
          <cell r="V14" t="str">
            <v xml:space="preserve"> 7B 3C</v>
          </cell>
          <cell r="W14" t="str">
            <v>U1500</v>
          </cell>
          <cell r="Y14" t="str">
            <v>U1500E</v>
          </cell>
          <cell r="Z14" t="str">
            <v>AAA</v>
          </cell>
          <cell r="AB14" t="str">
            <v>U</v>
          </cell>
          <cell r="AD14" t="str">
            <v>*</v>
          </cell>
          <cell r="AE14" t="str">
            <v>2J653</v>
          </cell>
          <cell r="AF14" t="str">
            <v>021223</v>
          </cell>
          <cell r="AI14" t="str">
            <v>*</v>
          </cell>
          <cell r="AJ14" t="str">
            <v>T</v>
          </cell>
          <cell r="AT14" t="str">
            <v>A</v>
          </cell>
          <cell r="AU14" t="str">
            <v>0</v>
          </cell>
          <cell r="AV14" t="str">
            <v>3</v>
          </cell>
          <cell r="BF14" t="str">
            <v>0002</v>
          </cell>
          <cell r="BG14" t="str">
            <v>2N722</v>
          </cell>
          <cell r="BH14" t="str">
            <v>3X</v>
          </cell>
          <cell r="BI14" t="str">
            <v>950</v>
          </cell>
        </row>
        <row r="15">
          <cell r="T15" t="str">
            <v>5Q</v>
          </cell>
          <cell r="U15" t="str">
            <v>040</v>
          </cell>
          <cell r="V15" t="str">
            <v xml:space="preserve"> 7B 3C</v>
          </cell>
          <cell r="W15" t="str">
            <v>U1100</v>
          </cell>
          <cell r="Y15" t="str">
            <v>U1100E</v>
          </cell>
          <cell r="Z15" t="str">
            <v>AAA</v>
          </cell>
          <cell r="AB15" t="str">
            <v>U</v>
          </cell>
          <cell r="AD15" t="str">
            <v>*</v>
          </cell>
          <cell r="AE15" t="str">
            <v>2J653</v>
          </cell>
          <cell r="AF15" t="str">
            <v>021223</v>
          </cell>
          <cell r="AI15" t="str">
            <v>*</v>
          </cell>
          <cell r="AJ15" t="str">
            <v>T</v>
          </cell>
          <cell r="AT15" t="str">
            <v>A</v>
          </cell>
          <cell r="AU15" t="str">
            <v>0</v>
          </cell>
          <cell r="AV15" t="str">
            <v>3</v>
          </cell>
          <cell r="BF15" t="str">
            <v>0002</v>
          </cell>
          <cell r="BG15" t="str">
            <v>Z6146</v>
          </cell>
          <cell r="BH15" t="str">
            <v>B9</v>
          </cell>
          <cell r="BI15" t="str">
            <v>910</v>
          </cell>
        </row>
        <row r="16">
          <cell r="T16" t="str">
            <v>5Q</v>
          </cell>
          <cell r="U16" t="str">
            <v>040</v>
          </cell>
          <cell r="V16" t="str">
            <v xml:space="preserve"> 7B 1B1</v>
          </cell>
          <cell r="W16" t="str">
            <v>U1100</v>
          </cell>
          <cell r="Y16" t="str">
            <v>U1100E</v>
          </cell>
          <cell r="Z16" t="str">
            <v>AAB</v>
          </cell>
          <cell r="AB16" t="str">
            <v>T</v>
          </cell>
          <cell r="AD16" t="str">
            <v>*</v>
          </cell>
          <cell r="AE16" t="str">
            <v>2J653</v>
          </cell>
          <cell r="AF16" t="str">
            <v>021223</v>
          </cell>
          <cell r="AI16" t="str">
            <v>*</v>
          </cell>
          <cell r="AJ16" t="str">
            <v>T</v>
          </cell>
          <cell r="BE16" t="str">
            <v>M</v>
          </cell>
          <cell r="BF16" t="str">
            <v>0004</v>
          </cell>
        </row>
        <row r="17">
          <cell r="T17" t="str">
            <v>5Q</v>
          </cell>
          <cell r="U17" t="str">
            <v>040</v>
          </cell>
          <cell r="V17" t="str">
            <v>14H</v>
          </cell>
          <cell r="W17" t="str">
            <v>U4370</v>
          </cell>
          <cell r="Y17" t="str">
            <v>U4370E</v>
          </cell>
          <cell r="Z17" t="str">
            <v>AAA</v>
          </cell>
          <cell r="AB17" t="str">
            <v>T</v>
          </cell>
          <cell r="AD17" t="str">
            <v>*</v>
          </cell>
          <cell r="AE17" t="str">
            <v>2J653</v>
          </cell>
          <cell r="AF17" t="str">
            <v>021223</v>
          </cell>
          <cell r="AI17" t="str">
            <v>*</v>
          </cell>
          <cell r="AJ17" t="str">
            <v>T</v>
          </cell>
          <cell r="AT17" t="str">
            <v>A</v>
          </cell>
          <cell r="AU17" t="str">
            <v>0</v>
          </cell>
          <cell r="AV17" t="str">
            <v>3</v>
          </cell>
          <cell r="BE17" t="str">
            <v>1</v>
          </cell>
          <cell r="BF17" t="str">
            <v>0027</v>
          </cell>
          <cell r="BG17" t="str">
            <v>KOBAI</v>
          </cell>
          <cell r="BH17" t="str">
            <v>P8</v>
          </cell>
          <cell r="BI17" t="str">
            <v>850</v>
          </cell>
        </row>
        <row r="18">
          <cell r="T18" t="str">
            <v>5Q</v>
          </cell>
          <cell r="U18" t="str">
            <v>040</v>
          </cell>
          <cell r="V18" t="str">
            <v xml:space="preserve"> 7A</v>
          </cell>
          <cell r="W18" t="str">
            <v>U6160</v>
          </cell>
          <cell r="Y18" t="str">
            <v>U6160E</v>
          </cell>
          <cell r="Z18" t="str">
            <v>AAB</v>
          </cell>
          <cell r="AB18" t="str">
            <v>U</v>
          </cell>
          <cell r="AD18" t="str">
            <v>*</v>
          </cell>
          <cell r="AE18" t="str">
            <v>2J653</v>
          </cell>
          <cell r="AF18" t="str">
            <v>021223</v>
          </cell>
          <cell r="AI18" t="str">
            <v>*</v>
          </cell>
          <cell r="AJ18" t="str">
            <v>T</v>
          </cell>
          <cell r="AT18" t="str">
            <v>A</v>
          </cell>
          <cell r="AU18" t="str">
            <v>0</v>
          </cell>
          <cell r="AV18" t="str">
            <v>3</v>
          </cell>
          <cell r="BE18" t="str">
            <v>ｱ</v>
          </cell>
          <cell r="BF18" t="str">
            <v>0055</v>
          </cell>
          <cell r="BG18" t="str">
            <v>NAR93</v>
          </cell>
          <cell r="BH18" t="str">
            <v>B4</v>
          </cell>
          <cell r="BI18" t="str">
            <v>010</v>
          </cell>
        </row>
        <row r="19">
          <cell r="T19" t="str">
            <v>5Q</v>
          </cell>
          <cell r="U19" t="str">
            <v>040</v>
          </cell>
          <cell r="V19" t="str">
            <v xml:space="preserve"> 7B 1B1</v>
          </cell>
          <cell r="W19" t="str">
            <v>U1200</v>
          </cell>
          <cell r="Y19" t="str">
            <v>U1200E</v>
          </cell>
          <cell r="Z19" t="str">
            <v>AAB</v>
          </cell>
          <cell r="AB19" t="str">
            <v>T</v>
          </cell>
          <cell r="AD19" t="str">
            <v>*</v>
          </cell>
          <cell r="AE19" t="str">
            <v>2J653</v>
          </cell>
          <cell r="AF19" t="str">
            <v>021223</v>
          </cell>
          <cell r="AI19" t="str">
            <v>*</v>
          </cell>
          <cell r="AJ19" t="str">
            <v>T</v>
          </cell>
          <cell r="BE19" t="str">
            <v>M</v>
          </cell>
          <cell r="BF19" t="str">
            <v>0004</v>
          </cell>
        </row>
        <row r="20">
          <cell r="T20" t="str">
            <v>5Q</v>
          </cell>
          <cell r="U20" t="str">
            <v>040</v>
          </cell>
          <cell r="V20" t="str">
            <v xml:space="preserve"> 7B 1C</v>
          </cell>
          <cell r="W20" t="str">
            <v>U6700</v>
          </cell>
          <cell r="Y20" t="str">
            <v>U6700E</v>
          </cell>
          <cell r="Z20" t="str">
            <v>AAB</v>
          </cell>
          <cell r="AB20" t="str">
            <v>T</v>
          </cell>
          <cell r="AD20" t="str">
            <v>*</v>
          </cell>
          <cell r="AE20" t="str">
            <v>2J653</v>
          </cell>
          <cell r="AF20" t="str">
            <v>021223</v>
          </cell>
          <cell r="AI20" t="str">
            <v>*</v>
          </cell>
          <cell r="AJ20" t="str">
            <v>T</v>
          </cell>
          <cell r="BE20" t="str">
            <v>M</v>
          </cell>
          <cell r="BF20" t="str">
            <v>0008</v>
          </cell>
        </row>
        <row r="21">
          <cell r="T21" t="str">
            <v>5Q</v>
          </cell>
          <cell r="U21" t="str">
            <v>040</v>
          </cell>
          <cell r="V21" t="str">
            <v xml:space="preserve"> 7B 1D</v>
          </cell>
          <cell r="W21" t="str">
            <v>U7310</v>
          </cell>
          <cell r="Y21" t="str">
            <v>U7310E</v>
          </cell>
          <cell r="Z21" t="str">
            <v>AAA</v>
          </cell>
          <cell r="AB21" t="str">
            <v>T</v>
          </cell>
          <cell r="AD21" t="str">
            <v>*</v>
          </cell>
          <cell r="AE21" t="str">
            <v>2J653</v>
          </cell>
          <cell r="AF21" t="str">
            <v>021223</v>
          </cell>
          <cell r="AI21" t="str">
            <v>*</v>
          </cell>
          <cell r="AJ21" t="str">
            <v>T</v>
          </cell>
          <cell r="AT21" t="str">
            <v>A</v>
          </cell>
          <cell r="AU21" t="str">
            <v>0</v>
          </cell>
          <cell r="AV21" t="str">
            <v>3</v>
          </cell>
          <cell r="BF21" t="str">
            <v>0001</v>
          </cell>
          <cell r="BG21" t="str">
            <v>KOBAI</v>
          </cell>
        </row>
        <row r="22">
          <cell r="T22" t="str">
            <v>5Q</v>
          </cell>
          <cell r="U22" t="str">
            <v>040</v>
          </cell>
          <cell r="V22" t="str">
            <v xml:space="preserve"> 7B 1B1</v>
          </cell>
          <cell r="W22" t="str">
            <v>U0700</v>
          </cell>
          <cell r="Y22" t="str">
            <v>U0700E</v>
          </cell>
          <cell r="Z22" t="str">
            <v>AAA</v>
          </cell>
          <cell r="AB22" t="str">
            <v>T</v>
          </cell>
          <cell r="AD22" t="str">
            <v>*</v>
          </cell>
          <cell r="AE22" t="str">
            <v>2J653</v>
          </cell>
          <cell r="AF22" t="str">
            <v>021223</v>
          </cell>
          <cell r="AI22" t="str">
            <v>*</v>
          </cell>
          <cell r="AJ22" t="str">
            <v>T</v>
          </cell>
          <cell r="AT22" t="str">
            <v>A</v>
          </cell>
          <cell r="AU22" t="str">
            <v>0</v>
          </cell>
          <cell r="AV22" t="str">
            <v>3</v>
          </cell>
          <cell r="BF22" t="str">
            <v>0004</v>
          </cell>
          <cell r="BG22" t="str">
            <v>KOUBA</v>
          </cell>
        </row>
        <row r="23">
          <cell r="T23" t="str">
            <v>5Q</v>
          </cell>
          <cell r="U23" t="str">
            <v>040</v>
          </cell>
          <cell r="V23" t="str">
            <v xml:space="preserve"> 7B 6</v>
          </cell>
          <cell r="W23" t="str">
            <v>U0320</v>
          </cell>
          <cell r="Y23" t="str">
            <v>U0320E</v>
          </cell>
          <cell r="Z23" t="str">
            <v>AAA</v>
          </cell>
          <cell r="AB23" t="str">
            <v>U</v>
          </cell>
          <cell r="AD23" t="str">
            <v>*</v>
          </cell>
          <cell r="AE23" t="str">
            <v>2J653</v>
          </cell>
          <cell r="AF23" t="str">
            <v>021223</v>
          </cell>
          <cell r="AI23" t="str">
            <v>*</v>
          </cell>
          <cell r="AJ23" t="str">
            <v>T</v>
          </cell>
          <cell r="AT23" t="str">
            <v>A</v>
          </cell>
          <cell r="AU23" t="str">
            <v>0</v>
          </cell>
          <cell r="AV23" t="str">
            <v>3</v>
          </cell>
          <cell r="BE23" t="str">
            <v>5</v>
          </cell>
          <cell r="BF23" t="str">
            <v>0002</v>
          </cell>
          <cell r="BG23" t="str">
            <v>KOUBA</v>
          </cell>
        </row>
        <row r="24">
          <cell r="T24" t="str">
            <v>5Q</v>
          </cell>
          <cell r="U24" t="str">
            <v>040</v>
          </cell>
          <cell r="V24" t="str">
            <v xml:space="preserve"> 7B 6</v>
          </cell>
          <cell r="W24" t="str">
            <v>U0500</v>
          </cell>
          <cell r="Y24" t="str">
            <v>U0500E</v>
          </cell>
          <cell r="Z24" t="str">
            <v>AAB</v>
          </cell>
          <cell r="AB24" t="str">
            <v>U</v>
          </cell>
          <cell r="AD24" t="str">
            <v>*</v>
          </cell>
          <cell r="AE24" t="str">
            <v>2J653</v>
          </cell>
          <cell r="AF24" t="str">
            <v>021223</v>
          </cell>
          <cell r="AI24" t="str">
            <v>*</v>
          </cell>
          <cell r="AJ24" t="str">
            <v>T</v>
          </cell>
          <cell r="AT24" t="str">
            <v>A</v>
          </cell>
          <cell r="AU24" t="str">
            <v>0</v>
          </cell>
          <cell r="AV24" t="str">
            <v>3</v>
          </cell>
          <cell r="BF24" t="str">
            <v>0002</v>
          </cell>
          <cell r="BG24" t="str">
            <v>2A165</v>
          </cell>
          <cell r="BH24" t="str">
            <v>AN</v>
          </cell>
          <cell r="BI24" t="str">
            <v>950</v>
          </cell>
        </row>
        <row r="25">
          <cell r="T25" t="str">
            <v>5Q</v>
          </cell>
          <cell r="U25" t="str">
            <v>040</v>
          </cell>
          <cell r="V25" t="str">
            <v xml:space="preserve"> 7B 1B1</v>
          </cell>
          <cell r="W25" t="str">
            <v>U0600</v>
          </cell>
          <cell r="Y25" t="str">
            <v>U0600E</v>
          </cell>
          <cell r="Z25" t="str">
            <v>AAA</v>
          </cell>
          <cell r="AB25" t="str">
            <v>T</v>
          </cell>
          <cell r="AD25" t="str">
            <v>*</v>
          </cell>
          <cell r="AE25" t="str">
            <v>2J653</v>
          </cell>
          <cell r="AF25" t="str">
            <v>021223</v>
          </cell>
          <cell r="AI25" t="str">
            <v>*</v>
          </cell>
          <cell r="AJ25" t="str">
            <v>T</v>
          </cell>
          <cell r="AT25" t="str">
            <v>A</v>
          </cell>
          <cell r="AU25" t="str">
            <v>0</v>
          </cell>
          <cell r="AV25" t="str">
            <v>3</v>
          </cell>
          <cell r="BF25" t="str">
            <v>0004</v>
          </cell>
          <cell r="BG25" t="str">
            <v>9J178</v>
          </cell>
          <cell r="BH25" t="str">
            <v>M1</v>
          </cell>
        </row>
        <row r="26">
          <cell r="T26" t="str">
            <v>5Q</v>
          </cell>
          <cell r="U26" t="str">
            <v>040</v>
          </cell>
          <cell r="V26" t="str">
            <v xml:space="preserve"> 7B 1B1</v>
          </cell>
          <cell r="W26" t="str">
            <v>U0250</v>
          </cell>
          <cell r="Y26" t="str">
            <v>U0250E</v>
          </cell>
          <cell r="Z26" t="str">
            <v>AAA</v>
          </cell>
          <cell r="AB26" t="str">
            <v>T</v>
          </cell>
          <cell r="AD26" t="str">
            <v>*</v>
          </cell>
          <cell r="AE26" t="str">
            <v>2J653</v>
          </cell>
          <cell r="AF26" t="str">
            <v>021223</v>
          </cell>
          <cell r="AI26" t="str">
            <v>*</v>
          </cell>
          <cell r="AJ26" t="str">
            <v>T</v>
          </cell>
          <cell r="AT26" t="str">
            <v>A</v>
          </cell>
          <cell r="AU26" t="str">
            <v>0</v>
          </cell>
          <cell r="AV26" t="str">
            <v>3</v>
          </cell>
          <cell r="BE26" t="str">
            <v>ﾙ</v>
          </cell>
          <cell r="BF26" t="str">
            <v>0004</v>
          </cell>
          <cell r="BG26" t="str">
            <v>S1059</v>
          </cell>
          <cell r="BH26" t="str">
            <v>5R</v>
          </cell>
          <cell r="BI26" t="str">
            <v>020</v>
          </cell>
        </row>
        <row r="27">
          <cell r="T27" t="str">
            <v>5Q</v>
          </cell>
          <cell r="U27" t="str">
            <v>040</v>
          </cell>
          <cell r="V27" t="str">
            <v xml:space="preserve"> 7B 1B1</v>
          </cell>
          <cell r="W27" t="str">
            <v>U1300</v>
          </cell>
          <cell r="Y27" t="str">
            <v>U1300E</v>
          </cell>
          <cell r="Z27" t="str">
            <v>AAB</v>
          </cell>
          <cell r="AB27" t="str">
            <v>T</v>
          </cell>
          <cell r="AD27" t="str">
            <v>*</v>
          </cell>
          <cell r="AE27" t="str">
            <v>2J653</v>
          </cell>
          <cell r="AF27" t="str">
            <v>021223</v>
          </cell>
          <cell r="AI27" t="str">
            <v>*</v>
          </cell>
          <cell r="AJ27" t="str">
            <v>T</v>
          </cell>
          <cell r="AT27" t="str">
            <v>A</v>
          </cell>
          <cell r="AU27" t="str">
            <v>0</v>
          </cell>
          <cell r="AV27" t="str">
            <v>3</v>
          </cell>
          <cell r="BE27" t="str">
            <v>ﾙ</v>
          </cell>
          <cell r="BF27" t="str">
            <v>0004</v>
          </cell>
          <cell r="BG27" t="str">
            <v>S1059</v>
          </cell>
          <cell r="BH27" t="str">
            <v>5R</v>
          </cell>
          <cell r="BI27" t="str">
            <v>020</v>
          </cell>
        </row>
        <row r="28">
          <cell r="T28" t="str">
            <v>5Q</v>
          </cell>
          <cell r="U28" t="str">
            <v>040</v>
          </cell>
          <cell r="V28" t="str">
            <v xml:space="preserve"> 7B 1A</v>
          </cell>
          <cell r="W28" t="str">
            <v>U7230</v>
          </cell>
          <cell r="Y28" t="str">
            <v>U7230E</v>
          </cell>
          <cell r="Z28" t="str">
            <v>AAA</v>
          </cell>
          <cell r="AB28" t="str">
            <v>T</v>
          </cell>
          <cell r="AD28" t="str">
            <v>*</v>
          </cell>
          <cell r="AE28" t="str">
            <v>2J653</v>
          </cell>
          <cell r="AF28" t="str">
            <v>021223</v>
          </cell>
          <cell r="AI28" t="str">
            <v>*</v>
          </cell>
          <cell r="AJ28" t="str">
            <v>T</v>
          </cell>
          <cell r="AT28" t="str">
            <v>A</v>
          </cell>
          <cell r="AU28" t="str">
            <v>0</v>
          </cell>
          <cell r="AV28" t="str">
            <v>3</v>
          </cell>
          <cell r="BE28" t="str">
            <v>9</v>
          </cell>
          <cell r="BF28" t="str">
            <v>0002</v>
          </cell>
          <cell r="BG28" t="str">
            <v>9R041</v>
          </cell>
          <cell r="BH28" t="str">
            <v>E1</v>
          </cell>
        </row>
        <row r="29">
          <cell r="T29" t="str">
            <v>5Q</v>
          </cell>
          <cell r="U29" t="str">
            <v>040</v>
          </cell>
          <cell r="V29" t="str">
            <v xml:space="preserve"> 7B 3C</v>
          </cell>
          <cell r="W29" t="str">
            <v>U1000</v>
          </cell>
          <cell r="X29" t="str">
            <v xml:space="preserve"> 7B 3C</v>
          </cell>
          <cell r="Y29" t="str">
            <v>U1910Y</v>
          </cell>
          <cell r="Z29" t="str">
            <v>AAH</v>
          </cell>
          <cell r="AB29" t="str">
            <v>U</v>
          </cell>
          <cell r="AD29" t="str">
            <v>*</v>
          </cell>
          <cell r="AE29" t="str">
            <v>JBN49</v>
          </cell>
          <cell r="AF29" t="str">
            <v>020701</v>
          </cell>
          <cell r="AI29" t="str">
            <v>*</v>
          </cell>
          <cell r="AJ29" t="str">
            <v>T</v>
          </cell>
          <cell r="AT29" t="str">
            <v>A</v>
          </cell>
          <cell r="AU29" t="str">
            <v>0</v>
          </cell>
          <cell r="AV29" t="str">
            <v>3</v>
          </cell>
          <cell r="BF29" t="str">
            <v>0002</v>
          </cell>
          <cell r="BG29" t="str">
            <v>2P013</v>
          </cell>
          <cell r="BH29" t="str">
            <v>L6</v>
          </cell>
        </row>
        <row r="30">
          <cell r="T30" t="str">
            <v>5Q</v>
          </cell>
          <cell r="U30" t="str">
            <v>040</v>
          </cell>
          <cell r="V30" t="str">
            <v xml:space="preserve"> 7B 1A</v>
          </cell>
          <cell r="W30" t="str">
            <v>U7200</v>
          </cell>
          <cell r="X30" t="str">
            <v xml:space="preserve"> 7B 1A</v>
          </cell>
          <cell r="Y30" t="str">
            <v>U7225Y</v>
          </cell>
          <cell r="Z30" t="str">
            <v>AAC</v>
          </cell>
          <cell r="AB30" t="str">
            <v>T</v>
          </cell>
          <cell r="AD30" t="str">
            <v>*</v>
          </cell>
          <cell r="AE30" t="str">
            <v>JAS96</v>
          </cell>
          <cell r="AF30" t="str">
            <v>010917</v>
          </cell>
          <cell r="AI30" t="str">
            <v>*</v>
          </cell>
          <cell r="AJ30" t="str">
            <v>T</v>
          </cell>
          <cell r="AT30" t="str">
            <v>A</v>
          </cell>
          <cell r="AU30" t="str">
            <v>0</v>
          </cell>
          <cell r="AV30" t="str">
            <v>3</v>
          </cell>
          <cell r="BF30" t="str">
            <v>0034</v>
          </cell>
          <cell r="BG30" t="str">
            <v>2N444</v>
          </cell>
          <cell r="BH30" t="str">
            <v>E9</v>
          </cell>
        </row>
        <row r="31">
          <cell r="T31" t="str">
            <v>5Q</v>
          </cell>
          <cell r="U31" t="str">
            <v>040</v>
          </cell>
          <cell r="V31" t="str">
            <v xml:space="preserve"> 7B 1A</v>
          </cell>
          <cell r="W31" t="str">
            <v>U7200</v>
          </cell>
          <cell r="X31" t="str">
            <v xml:space="preserve"> 7B 1A</v>
          </cell>
          <cell r="Y31" t="str">
            <v>U7220Y</v>
          </cell>
          <cell r="Z31" t="str">
            <v>AAC</v>
          </cell>
          <cell r="AB31" t="str">
            <v>T</v>
          </cell>
          <cell r="AD31" t="str">
            <v>*</v>
          </cell>
          <cell r="AE31" t="str">
            <v>JAS96</v>
          </cell>
          <cell r="AF31" t="str">
            <v>010917</v>
          </cell>
          <cell r="AI31" t="str">
            <v>*</v>
          </cell>
          <cell r="AJ31" t="str">
            <v>T</v>
          </cell>
          <cell r="AT31" t="str">
            <v>A</v>
          </cell>
          <cell r="AU31" t="str">
            <v>0</v>
          </cell>
          <cell r="AV31" t="str">
            <v>3</v>
          </cell>
          <cell r="BF31" t="str">
            <v>0034</v>
          </cell>
          <cell r="BG31" t="str">
            <v>2N444</v>
          </cell>
          <cell r="BH31" t="str">
            <v>E9</v>
          </cell>
        </row>
        <row r="32">
          <cell r="T32" t="str">
            <v>5Q</v>
          </cell>
          <cell r="U32" t="str">
            <v>040</v>
          </cell>
          <cell r="V32" t="str">
            <v xml:space="preserve"> 7B 1D</v>
          </cell>
          <cell r="W32" t="str">
            <v>U7370</v>
          </cell>
          <cell r="Y32" t="str">
            <v>U7370E</v>
          </cell>
          <cell r="Z32" t="str">
            <v>AAA</v>
          </cell>
          <cell r="AB32" t="str">
            <v>T</v>
          </cell>
          <cell r="AD32" t="str">
            <v>*</v>
          </cell>
          <cell r="AE32" t="str">
            <v>2J653</v>
          </cell>
          <cell r="AF32" t="str">
            <v>021223</v>
          </cell>
          <cell r="AI32" t="str">
            <v>*</v>
          </cell>
          <cell r="AJ32" t="str">
            <v>T</v>
          </cell>
          <cell r="AT32" t="str">
            <v>A</v>
          </cell>
          <cell r="AU32" t="str">
            <v>0</v>
          </cell>
          <cell r="AV32" t="str">
            <v>3</v>
          </cell>
          <cell r="BE32" t="str">
            <v>ﾙ</v>
          </cell>
          <cell r="BF32" t="str">
            <v>0005</v>
          </cell>
          <cell r="BG32" t="str">
            <v>2J618</v>
          </cell>
          <cell r="BH32" t="str">
            <v>5P</v>
          </cell>
          <cell r="BI32" t="str">
            <v>020</v>
          </cell>
        </row>
        <row r="33">
          <cell r="T33" t="str">
            <v>5Q</v>
          </cell>
          <cell r="U33" t="str">
            <v>040</v>
          </cell>
          <cell r="V33" t="str">
            <v xml:space="preserve"> 7B 1A</v>
          </cell>
          <cell r="W33" t="str">
            <v>U0482</v>
          </cell>
          <cell r="Y33" t="str">
            <v>U0482E</v>
          </cell>
          <cell r="Z33" t="str">
            <v>AAA</v>
          </cell>
          <cell r="AB33" t="str">
            <v>T</v>
          </cell>
          <cell r="AD33" t="str">
            <v>*</v>
          </cell>
          <cell r="AE33" t="str">
            <v>2J653</v>
          </cell>
          <cell r="AF33" t="str">
            <v>021223</v>
          </cell>
          <cell r="AI33" t="str">
            <v>*</v>
          </cell>
          <cell r="AJ33" t="str">
            <v>T</v>
          </cell>
          <cell r="AT33" t="str">
            <v>A</v>
          </cell>
          <cell r="AU33" t="str">
            <v>0</v>
          </cell>
          <cell r="AV33" t="str">
            <v>3</v>
          </cell>
          <cell r="BE33" t="str">
            <v>1</v>
          </cell>
          <cell r="BF33" t="str">
            <v>0005</v>
          </cell>
          <cell r="BG33" t="str">
            <v>Z6158</v>
          </cell>
          <cell r="BH33" t="str">
            <v>5B</v>
          </cell>
          <cell r="BI33" t="str">
            <v>920</v>
          </cell>
        </row>
        <row r="34">
          <cell r="T34" t="str">
            <v>5Q</v>
          </cell>
          <cell r="U34" t="str">
            <v>040</v>
          </cell>
          <cell r="V34" t="str">
            <v xml:space="preserve"> 7B 1C</v>
          </cell>
          <cell r="W34" t="str">
            <v>U6100</v>
          </cell>
          <cell r="Y34" t="str">
            <v>U6100E</v>
          </cell>
          <cell r="Z34" t="str">
            <v>AAA</v>
          </cell>
          <cell r="AB34" t="str">
            <v>T</v>
          </cell>
          <cell r="AD34" t="str">
            <v>*</v>
          </cell>
          <cell r="AE34" t="str">
            <v>2J653</v>
          </cell>
          <cell r="AF34" t="str">
            <v>021223</v>
          </cell>
          <cell r="AI34" t="str">
            <v>*</v>
          </cell>
          <cell r="AJ34" t="str">
            <v>T</v>
          </cell>
          <cell r="AT34" t="str">
            <v>A</v>
          </cell>
          <cell r="AU34" t="str">
            <v>0</v>
          </cell>
          <cell r="AV34" t="str">
            <v>3</v>
          </cell>
          <cell r="BE34" t="str">
            <v>ﾙ</v>
          </cell>
          <cell r="BF34" t="str">
            <v>0008</v>
          </cell>
          <cell r="BG34" t="str">
            <v>2J618</v>
          </cell>
          <cell r="BH34" t="str">
            <v>5P</v>
          </cell>
          <cell r="BI34" t="str">
            <v>020</v>
          </cell>
        </row>
        <row r="35">
          <cell r="T35" t="str">
            <v>5Q</v>
          </cell>
          <cell r="U35" t="str">
            <v>040</v>
          </cell>
          <cell r="V35" t="str">
            <v xml:space="preserve"> 7A</v>
          </cell>
          <cell r="W35" t="str">
            <v>U6350</v>
          </cell>
          <cell r="Y35" t="str">
            <v>U6350E</v>
          </cell>
          <cell r="Z35" t="str">
            <v>AAC</v>
          </cell>
          <cell r="AB35" t="str">
            <v>T</v>
          </cell>
          <cell r="AD35" t="str">
            <v>*</v>
          </cell>
          <cell r="AE35" t="str">
            <v>2J653</v>
          </cell>
          <cell r="AF35" t="str">
            <v>021223</v>
          </cell>
          <cell r="AI35" t="str">
            <v>*</v>
          </cell>
          <cell r="AJ35" t="str">
            <v>T</v>
          </cell>
          <cell r="AT35" t="str">
            <v>A</v>
          </cell>
          <cell r="AU35" t="str">
            <v>0</v>
          </cell>
          <cell r="AV35" t="str">
            <v>3</v>
          </cell>
          <cell r="BE35" t="str">
            <v>E</v>
          </cell>
          <cell r="BF35" t="str">
            <v>0005</v>
          </cell>
          <cell r="BG35" t="str">
            <v>NH226</v>
          </cell>
          <cell r="BH35" t="str">
            <v>H8</v>
          </cell>
        </row>
        <row r="36">
          <cell r="T36" t="str">
            <v>5Q</v>
          </cell>
          <cell r="U36" t="str">
            <v>040</v>
          </cell>
          <cell r="V36" t="str">
            <v xml:space="preserve"> 5D</v>
          </cell>
          <cell r="W36" t="str">
            <v>U5050</v>
          </cell>
          <cell r="Y36" t="str">
            <v>U5050E</v>
          </cell>
          <cell r="Z36" t="str">
            <v>AAA</v>
          </cell>
          <cell r="AB36" t="str">
            <v>F</v>
          </cell>
          <cell r="AD36" t="str">
            <v>*</v>
          </cell>
          <cell r="AE36" t="str">
            <v>2J653</v>
          </cell>
          <cell r="AF36" t="str">
            <v>021223</v>
          </cell>
          <cell r="AI36" t="str">
            <v>*</v>
          </cell>
          <cell r="AJ36" t="str">
            <v>T</v>
          </cell>
          <cell r="AT36" t="str">
            <v>A</v>
          </cell>
          <cell r="AU36" t="str">
            <v>0</v>
          </cell>
          <cell r="AV36" t="str">
            <v>3</v>
          </cell>
          <cell r="BF36" t="str">
            <v>0003</v>
          </cell>
          <cell r="BG36" t="str">
            <v>JR388</v>
          </cell>
          <cell r="BH36" t="str">
            <v>M2</v>
          </cell>
        </row>
        <row r="37">
          <cell r="T37" t="str">
            <v>5Q</v>
          </cell>
          <cell r="U37" t="str">
            <v>040</v>
          </cell>
          <cell r="V37" t="str">
            <v xml:space="preserve"> 7B 1A</v>
          </cell>
          <cell r="W37" t="str">
            <v>U0760</v>
          </cell>
          <cell r="Y37" t="str">
            <v>U0760E</v>
          </cell>
          <cell r="Z37" t="str">
            <v>AAA</v>
          </cell>
          <cell r="AB37" t="str">
            <v>T</v>
          </cell>
          <cell r="AD37" t="str">
            <v>*</v>
          </cell>
          <cell r="AE37" t="str">
            <v>2J653</v>
          </cell>
          <cell r="AF37" t="str">
            <v>021223</v>
          </cell>
          <cell r="AI37" t="str">
            <v>*</v>
          </cell>
          <cell r="AJ37" t="str">
            <v>T</v>
          </cell>
          <cell r="AT37" t="str">
            <v>A</v>
          </cell>
          <cell r="AU37" t="str">
            <v>0</v>
          </cell>
          <cell r="AV37" t="str">
            <v>3</v>
          </cell>
          <cell r="BE37" t="str">
            <v>5</v>
          </cell>
          <cell r="BF37" t="str">
            <v>0001</v>
          </cell>
          <cell r="BG37" t="str">
            <v>T5884</v>
          </cell>
          <cell r="BH37" t="str">
            <v>5A</v>
          </cell>
          <cell r="BI37" t="str">
            <v>830</v>
          </cell>
        </row>
        <row r="38">
          <cell r="T38" t="str">
            <v>5Q</v>
          </cell>
          <cell r="U38" t="str">
            <v>040</v>
          </cell>
          <cell r="V38" t="str">
            <v xml:space="preserve"> 7B 1A</v>
          </cell>
          <cell r="W38" t="str">
            <v>U0085</v>
          </cell>
          <cell r="X38" t="str">
            <v xml:space="preserve"> 7B 1A</v>
          </cell>
          <cell r="Y38" t="str">
            <v>U0250Y</v>
          </cell>
          <cell r="Z38" t="str">
            <v>AAC</v>
          </cell>
          <cell r="AB38" t="str">
            <v>T</v>
          </cell>
          <cell r="AD38" t="str">
            <v>*</v>
          </cell>
          <cell r="AE38" t="str">
            <v>S0974</v>
          </cell>
          <cell r="AF38" t="str">
            <v>001127</v>
          </cell>
          <cell r="AI38" t="str">
            <v>*</v>
          </cell>
          <cell r="AJ38" t="str">
            <v>T</v>
          </cell>
          <cell r="AT38" t="str">
            <v>A</v>
          </cell>
          <cell r="AU38" t="str">
            <v>0</v>
          </cell>
          <cell r="AV38" t="str">
            <v>3</v>
          </cell>
          <cell r="BE38" t="str">
            <v>5</v>
          </cell>
          <cell r="BF38" t="str">
            <v>0004</v>
          </cell>
          <cell r="BG38" t="str">
            <v>Z6201</v>
          </cell>
          <cell r="BH38" t="str">
            <v>5B</v>
          </cell>
          <cell r="BI38" t="str">
            <v>920</v>
          </cell>
        </row>
        <row r="39">
          <cell r="T39" t="str">
            <v>5Q</v>
          </cell>
          <cell r="U39" t="str">
            <v>040</v>
          </cell>
          <cell r="V39" t="str">
            <v xml:space="preserve"> 5D</v>
          </cell>
          <cell r="W39" t="str">
            <v>U5050</v>
          </cell>
          <cell r="Y39" t="str">
            <v>U5050E</v>
          </cell>
          <cell r="Z39" t="str">
            <v>AAB</v>
          </cell>
          <cell r="AB39" t="str">
            <v>F</v>
          </cell>
          <cell r="AD39" t="str">
            <v>*</v>
          </cell>
          <cell r="AE39" t="str">
            <v>2J653</v>
          </cell>
          <cell r="AF39" t="str">
            <v>021223</v>
          </cell>
          <cell r="AI39" t="str">
            <v>*</v>
          </cell>
          <cell r="AJ39" t="str">
            <v>T</v>
          </cell>
          <cell r="AT39" t="str">
            <v>A</v>
          </cell>
          <cell r="AU39" t="str">
            <v>0</v>
          </cell>
          <cell r="AV39" t="str">
            <v>3</v>
          </cell>
          <cell r="BE39" t="str">
            <v>R</v>
          </cell>
          <cell r="BF39" t="str">
            <v>0038</v>
          </cell>
          <cell r="BG39" t="str">
            <v>JAY68</v>
          </cell>
          <cell r="BH39" t="str">
            <v>5Q</v>
          </cell>
          <cell r="BI39" t="str">
            <v>020</v>
          </cell>
        </row>
        <row r="40">
          <cell r="T40" t="str">
            <v>5Q</v>
          </cell>
          <cell r="U40" t="str">
            <v>040</v>
          </cell>
          <cell r="V40" t="str">
            <v xml:space="preserve"> 7B 1A</v>
          </cell>
          <cell r="W40" t="str">
            <v>U0085</v>
          </cell>
          <cell r="X40" t="str">
            <v xml:space="preserve"> 7B 1A</v>
          </cell>
          <cell r="Y40" t="str">
            <v>U0100Y</v>
          </cell>
          <cell r="Z40" t="str">
            <v>AAF</v>
          </cell>
          <cell r="AB40" t="str">
            <v>T</v>
          </cell>
          <cell r="AD40" t="str">
            <v>*</v>
          </cell>
          <cell r="AE40" t="str">
            <v>S1604</v>
          </cell>
          <cell r="AF40" t="str">
            <v>011022</v>
          </cell>
          <cell r="AI40" t="str">
            <v>*</v>
          </cell>
          <cell r="AJ40" t="str">
            <v>T</v>
          </cell>
          <cell r="AT40" t="str">
            <v>G</v>
          </cell>
          <cell r="AU40" t="str">
            <v>5</v>
          </cell>
          <cell r="AV40" t="str">
            <v>7</v>
          </cell>
          <cell r="BE40" t="str">
            <v>ﾙ</v>
          </cell>
          <cell r="BF40" t="str">
            <v>0004</v>
          </cell>
          <cell r="BG40" t="str">
            <v>S1604</v>
          </cell>
        </row>
        <row r="41">
          <cell r="T41" t="str">
            <v>5Q</v>
          </cell>
          <cell r="U41" t="str">
            <v>040</v>
          </cell>
          <cell r="V41" t="str">
            <v xml:space="preserve"> 7B 1A</v>
          </cell>
          <cell r="W41" t="str">
            <v>U0620</v>
          </cell>
          <cell r="X41" t="str">
            <v xml:space="preserve"> 7B 1A</v>
          </cell>
          <cell r="Y41" t="str">
            <v>U0650Y</v>
          </cell>
          <cell r="Z41" t="str">
            <v>AAG</v>
          </cell>
          <cell r="AB41" t="str">
            <v>T</v>
          </cell>
          <cell r="AD41" t="str">
            <v>X</v>
          </cell>
          <cell r="AE41" t="str">
            <v>Z6398</v>
          </cell>
          <cell r="AF41" t="str">
            <v>011029</v>
          </cell>
          <cell r="AI41" t="str">
            <v>*</v>
          </cell>
          <cell r="AJ41" t="str">
            <v>T</v>
          </cell>
          <cell r="AT41" t="str">
            <v>A</v>
          </cell>
          <cell r="AU41" t="str">
            <v>0</v>
          </cell>
          <cell r="AV41" t="str">
            <v>3</v>
          </cell>
          <cell r="BE41" t="str">
            <v>ﾙ</v>
          </cell>
          <cell r="BF41" t="str">
            <v>0057</v>
          </cell>
          <cell r="BG41" t="str">
            <v>Z6398</v>
          </cell>
        </row>
        <row r="42">
          <cell r="T42" t="str">
            <v>5Q</v>
          </cell>
          <cell r="U42" t="str">
            <v>040</v>
          </cell>
          <cell r="V42" t="str">
            <v xml:space="preserve"> 7B 1D</v>
          </cell>
          <cell r="W42" t="str">
            <v>U7120</v>
          </cell>
          <cell r="X42" t="str">
            <v xml:space="preserve"> 7B 1D</v>
          </cell>
          <cell r="Y42" t="str">
            <v>U6300Y</v>
          </cell>
          <cell r="Z42" t="str">
            <v>AAC</v>
          </cell>
          <cell r="AB42" t="str">
            <v>T</v>
          </cell>
          <cell r="AD42" t="str">
            <v>*</v>
          </cell>
          <cell r="AE42" t="str">
            <v>Z6396</v>
          </cell>
          <cell r="AF42" t="str">
            <v>011022</v>
          </cell>
          <cell r="AI42" t="str">
            <v>*</v>
          </cell>
          <cell r="AJ42" t="str">
            <v>T</v>
          </cell>
          <cell r="AT42" t="str">
            <v>A</v>
          </cell>
          <cell r="AU42" t="str">
            <v>0</v>
          </cell>
          <cell r="AV42" t="str">
            <v>3</v>
          </cell>
          <cell r="BE42" t="str">
            <v>ﾙ</v>
          </cell>
          <cell r="BF42" t="str">
            <v>0005</v>
          </cell>
          <cell r="BG42" t="str">
            <v>Z6396</v>
          </cell>
        </row>
        <row r="43">
          <cell r="T43" t="str">
            <v>5Q</v>
          </cell>
          <cell r="U43" t="str">
            <v>040</v>
          </cell>
          <cell r="V43" t="str">
            <v xml:space="preserve"> 7B 1D</v>
          </cell>
          <cell r="W43" t="str">
            <v>U7100</v>
          </cell>
          <cell r="Y43" t="str">
            <v>U7100E</v>
          </cell>
          <cell r="Z43" t="str">
            <v>AAA</v>
          </cell>
          <cell r="AB43" t="str">
            <v>T</v>
          </cell>
          <cell r="AD43" t="str">
            <v>*</v>
          </cell>
          <cell r="AE43" t="str">
            <v>2J653</v>
          </cell>
          <cell r="AF43" t="str">
            <v>021223</v>
          </cell>
          <cell r="AI43" t="str">
            <v>*</v>
          </cell>
          <cell r="AJ43" t="str">
            <v>T</v>
          </cell>
          <cell r="AT43" t="str">
            <v>H</v>
          </cell>
          <cell r="AU43" t="str">
            <v>5</v>
          </cell>
          <cell r="AV43" t="str">
            <v>8</v>
          </cell>
          <cell r="BE43" t="str">
            <v>ﾙ</v>
          </cell>
          <cell r="BF43" t="str">
            <v>0011</v>
          </cell>
          <cell r="BG43" t="str">
            <v>V PLA</v>
          </cell>
        </row>
        <row r="44">
          <cell r="T44" t="str">
            <v>5Q</v>
          </cell>
          <cell r="U44" t="str">
            <v>040</v>
          </cell>
          <cell r="V44" t="str">
            <v xml:space="preserve"> 7B 1D</v>
          </cell>
          <cell r="W44" t="str">
            <v>U7110</v>
          </cell>
          <cell r="Y44" t="str">
            <v>U7110E</v>
          </cell>
          <cell r="Z44" t="str">
            <v>AAD</v>
          </cell>
          <cell r="AB44" t="str">
            <v>T</v>
          </cell>
          <cell r="AD44" t="str">
            <v>*</v>
          </cell>
          <cell r="AE44" t="str">
            <v>2J653</v>
          </cell>
          <cell r="AF44" t="str">
            <v>021223</v>
          </cell>
          <cell r="AI44" t="str">
            <v>*</v>
          </cell>
          <cell r="AJ44" t="str">
            <v>T</v>
          </cell>
          <cell r="AT44" t="str">
            <v>2</v>
          </cell>
          <cell r="AU44" t="str">
            <v>0</v>
          </cell>
          <cell r="AV44" t="str">
            <v>7</v>
          </cell>
          <cell r="BE44" t="str">
            <v>ﾙ</v>
          </cell>
          <cell r="BF44" t="str">
            <v>0013</v>
          </cell>
          <cell r="BG44" t="str">
            <v>Z6400</v>
          </cell>
          <cell r="BH44" t="str">
            <v>5Q</v>
          </cell>
          <cell r="BI44" t="str">
            <v>020</v>
          </cell>
        </row>
        <row r="45">
          <cell r="T45" t="str">
            <v>5Q</v>
          </cell>
          <cell r="U45" t="str">
            <v>040</v>
          </cell>
          <cell r="V45" t="str">
            <v xml:space="preserve"> 7B 1D</v>
          </cell>
          <cell r="W45" t="str">
            <v>U7110</v>
          </cell>
          <cell r="Y45" t="str">
            <v>U7110E</v>
          </cell>
          <cell r="Z45" t="str">
            <v>AAE</v>
          </cell>
          <cell r="AB45" t="str">
            <v>T</v>
          </cell>
          <cell r="AD45" t="str">
            <v>*</v>
          </cell>
          <cell r="AE45" t="str">
            <v>2J653</v>
          </cell>
          <cell r="AF45" t="str">
            <v>021223</v>
          </cell>
          <cell r="AI45" t="str">
            <v>*</v>
          </cell>
          <cell r="AJ45" t="str">
            <v>T</v>
          </cell>
          <cell r="AT45" t="str">
            <v>2</v>
          </cell>
          <cell r="AU45" t="str">
            <v>0</v>
          </cell>
          <cell r="AV45" t="str">
            <v>7</v>
          </cell>
          <cell r="BE45" t="str">
            <v>ﾙ</v>
          </cell>
          <cell r="BF45" t="str">
            <v>0014</v>
          </cell>
          <cell r="BG45" t="str">
            <v>Z6400</v>
          </cell>
          <cell r="BH45" t="str">
            <v>5Q</v>
          </cell>
          <cell r="BI45" t="str">
            <v>020</v>
          </cell>
        </row>
        <row r="46">
          <cell r="T46" t="str">
            <v>5Q</v>
          </cell>
          <cell r="U46" t="str">
            <v>040</v>
          </cell>
          <cell r="V46" t="str">
            <v xml:space="preserve"> 7B 1D</v>
          </cell>
          <cell r="W46" t="str">
            <v>U7130</v>
          </cell>
          <cell r="Y46" t="str">
            <v>U7130E</v>
          </cell>
          <cell r="Z46" t="str">
            <v>AAD</v>
          </cell>
          <cell r="AB46" t="str">
            <v>T</v>
          </cell>
          <cell r="AD46" t="str">
            <v>*</v>
          </cell>
          <cell r="AE46" t="str">
            <v>2J653</v>
          </cell>
          <cell r="AF46" t="str">
            <v>021223</v>
          </cell>
          <cell r="AI46" t="str">
            <v>*</v>
          </cell>
          <cell r="AJ46" t="str">
            <v>T</v>
          </cell>
          <cell r="AT46" t="str">
            <v>2</v>
          </cell>
          <cell r="AU46" t="str">
            <v>0</v>
          </cell>
          <cell r="AV46" t="str">
            <v>7</v>
          </cell>
          <cell r="BE46" t="str">
            <v>ﾙ</v>
          </cell>
          <cell r="BF46" t="str">
            <v>0044</v>
          </cell>
          <cell r="BG46" t="str">
            <v>Z6326</v>
          </cell>
          <cell r="BH46" t="str">
            <v>5Q</v>
          </cell>
          <cell r="BI46" t="str">
            <v>020</v>
          </cell>
        </row>
        <row r="47">
          <cell r="T47" t="str">
            <v>5Q</v>
          </cell>
          <cell r="U47" t="str">
            <v>040</v>
          </cell>
          <cell r="V47" t="str">
            <v xml:space="preserve"> 7B 1D</v>
          </cell>
          <cell r="W47" t="str">
            <v>U7170</v>
          </cell>
          <cell r="Y47" t="str">
            <v>U7170E</v>
          </cell>
          <cell r="Z47" t="str">
            <v>AAB</v>
          </cell>
          <cell r="AB47" t="str">
            <v>T</v>
          </cell>
          <cell r="AD47" t="str">
            <v>*</v>
          </cell>
          <cell r="AE47" t="str">
            <v>2J653</v>
          </cell>
          <cell r="AF47" t="str">
            <v>021223</v>
          </cell>
          <cell r="AI47" t="str">
            <v>*</v>
          </cell>
          <cell r="AJ47" t="str">
            <v>T</v>
          </cell>
          <cell r="AT47" t="str">
            <v>2</v>
          </cell>
          <cell r="AU47" t="str">
            <v>0</v>
          </cell>
          <cell r="AV47" t="str">
            <v>7</v>
          </cell>
          <cell r="BE47" t="str">
            <v>ﾙ</v>
          </cell>
          <cell r="BF47" t="str">
            <v>0045</v>
          </cell>
          <cell r="BG47" t="str">
            <v>2J619</v>
          </cell>
          <cell r="BH47" t="str">
            <v>5Q</v>
          </cell>
          <cell r="BI47" t="str">
            <v>020</v>
          </cell>
        </row>
        <row r="48">
          <cell r="T48" t="str">
            <v>5Q</v>
          </cell>
          <cell r="U48" t="str">
            <v>040</v>
          </cell>
          <cell r="V48" t="str">
            <v xml:space="preserve"> 7B 1D</v>
          </cell>
          <cell r="W48" t="str">
            <v>U7190</v>
          </cell>
          <cell r="Y48" t="str">
            <v>U7190E</v>
          </cell>
          <cell r="Z48" t="str">
            <v>AAB</v>
          </cell>
          <cell r="AB48" t="str">
            <v>T</v>
          </cell>
          <cell r="AD48" t="str">
            <v>*</v>
          </cell>
          <cell r="AE48" t="str">
            <v>2J653</v>
          </cell>
          <cell r="AF48" t="str">
            <v>021223</v>
          </cell>
          <cell r="AI48" t="str">
            <v>*</v>
          </cell>
          <cell r="AJ48" t="str">
            <v>T</v>
          </cell>
          <cell r="AT48" t="str">
            <v>2</v>
          </cell>
          <cell r="AU48" t="str">
            <v>0</v>
          </cell>
          <cell r="AV48" t="str">
            <v>7</v>
          </cell>
          <cell r="BE48" t="str">
            <v>ﾙ</v>
          </cell>
          <cell r="BF48" t="str">
            <v>0045</v>
          </cell>
          <cell r="BG48" t="str">
            <v>2J619</v>
          </cell>
          <cell r="BH48" t="str">
            <v>5Q</v>
          </cell>
          <cell r="BI48" t="str">
            <v>020</v>
          </cell>
        </row>
        <row r="49">
          <cell r="T49" t="str">
            <v>5Q</v>
          </cell>
          <cell r="U49" t="str">
            <v>040</v>
          </cell>
          <cell r="V49" t="str">
            <v xml:space="preserve"> 7B 1D</v>
          </cell>
          <cell r="W49" t="str">
            <v>U7420</v>
          </cell>
          <cell r="Y49" t="str">
            <v>U7420E</v>
          </cell>
          <cell r="Z49" t="str">
            <v>AAB</v>
          </cell>
          <cell r="AB49" t="str">
            <v>T</v>
          </cell>
          <cell r="AD49" t="str">
            <v>*</v>
          </cell>
          <cell r="AE49" t="str">
            <v>2J653</v>
          </cell>
          <cell r="AF49" t="str">
            <v>021223</v>
          </cell>
          <cell r="AI49" t="str">
            <v>*</v>
          </cell>
          <cell r="AJ49" t="str">
            <v>T</v>
          </cell>
          <cell r="AT49" t="str">
            <v>2</v>
          </cell>
          <cell r="AU49" t="str">
            <v>0</v>
          </cell>
          <cell r="AV49" t="str">
            <v>7</v>
          </cell>
          <cell r="BE49" t="str">
            <v>ﾙ</v>
          </cell>
          <cell r="BF49" t="str">
            <v>0048</v>
          </cell>
          <cell r="BG49" t="str">
            <v>2J619</v>
          </cell>
          <cell r="BH49" t="str">
            <v>5Q</v>
          </cell>
          <cell r="BI49" t="str">
            <v>020</v>
          </cell>
        </row>
        <row r="50">
          <cell r="T50" t="str">
            <v>5Q</v>
          </cell>
          <cell r="U50" t="str">
            <v>040</v>
          </cell>
          <cell r="V50" t="str">
            <v xml:space="preserve"> 7B 1D</v>
          </cell>
          <cell r="W50" t="str">
            <v>U7100</v>
          </cell>
          <cell r="X50" t="str">
            <v xml:space="preserve"> 7B 1D</v>
          </cell>
          <cell r="Y50" t="str">
            <v>U0452Y</v>
          </cell>
          <cell r="Z50" t="str">
            <v>AAA</v>
          </cell>
          <cell r="AB50" t="str">
            <v>T</v>
          </cell>
          <cell r="AD50" t="str">
            <v>*</v>
          </cell>
          <cell r="AE50" t="str">
            <v>2J619</v>
          </cell>
          <cell r="AF50" t="str">
            <v>000809</v>
          </cell>
          <cell r="AI50" t="str">
            <v>*</v>
          </cell>
          <cell r="AJ50" t="str">
            <v>T</v>
          </cell>
          <cell r="AT50" t="str">
            <v>H</v>
          </cell>
          <cell r="AU50" t="str">
            <v>5</v>
          </cell>
          <cell r="AV50" t="str">
            <v>8</v>
          </cell>
          <cell r="BE50" t="str">
            <v>1</v>
          </cell>
          <cell r="BF50" t="str">
            <v>0011</v>
          </cell>
          <cell r="BG50" t="str">
            <v>V PLA</v>
          </cell>
        </row>
        <row r="51">
          <cell r="T51" t="str">
            <v>5Q</v>
          </cell>
          <cell r="U51" t="str">
            <v>040</v>
          </cell>
          <cell r="V51" t="str">
            <v xml:space="preserve"> 7B 1D</v>
          </cell>
          <cell r="W51" t="str">
            <v>U7110</v>
          </cell>
          <cell r="X51" t="str">
            <v xml:space="preserve"> 7B 1D</v>
          </cell>
          <cell r="Y51" t="str">
            <v>U0470Y</v>
          </cell>
          <cell r="Z51" t="str">
            <v>AAF</v>
          </cell>
          <cell r="AB51" t="str">
            <v>T</v>
          </cell>
          <cell r="AD51" t="str">
            <v>*</v>
          </cell>
          <cell r="AE51" t="str">
            <v>Z6400</v>
          </cell>
          <cell r="AF51" t="str">
            <v>011022</v>
          </cell>
          <cell r="AI51" t="str">
            <v>*</v>
          </cell>
          <cell r="AJ51" t="str">
            <v>T</v>
          </cell>
          <cell r="AT51" t="str">
            <v>H</v>
          </cell>
          <cell r="AU51" t="str">
            <v>5</v>
          </cell>
          <cell r="AV51" t="str">
            <v>8</v>
          </cell>
          <cell r="BE51" t="str">
            <v>ﾙ</v>
          </cell>
          <cell r="BF51" t="str">
            <v>0013</v>
          </cell>
          <cell r="BG51" t="str">
            <v>Z6328</v>
          </cell>
        </row>
        <row r="52">
          <cell r="T52" t="str">
            <v>5Q</v>
          </cell>
          <cell r="U52" t="str">
            <v>040</v>
          </cell>
          <cell r="V52" t="str">
            <v xml:space="preserve"> 7B 1D</v>
          </cell>
          <cell r="W52" t="str">
            <v>U7110</v>
          </cell>
          <cell r="X52" t="str">
            <v xml:space="preserve"> 7B 1D</v>
          </cell>
          <cell r="Y52" t="str">
            <v>U0470Y</v>
          </cell>
          <cell r="Z52" t="str">
            <v>AAG</v>
          </cell>
          <cell r="AB52" t="str">
            <v>T</v>
          </cell>
          <cell r="AD52" t="str">
            <v>*</v>
          </cell>
          <cell r="AE52" t="str">
            <v>Z6400</v>
          </cell>
          <cell r="AF52" t="str">
            <v>011022</v>
          </cell>
          <cell r="AI52" t="str">
            <v>*</v>
          </cell>
          <cell r="AJ52" t="str">
            <v>T</v>
          </cell>
          <cell r="AT52" t="str">
            <v>H</v>
          </cell>
          <cell r="AU52" t="str">
            <v>5</v>
          </cell>
          <cell r="AV52" t="str">
            <v>8</v>
          </cell>
          <cell r="BE52" t="str">
            <v>ﾙ</v>
          </cell>
          <cell r="BF52" t="str">
            <v>0014</v>
          </cell>
          <cell r="BG52" t="str">
            <v>Z6328</v>
          </cell>
        </row>
        <row r="53">
          <cell r="T53" t="str">
            <v>5Q</v>
          </cell>
          <cell r="U53" t="str">
            <v>040</v>
          </cell>
          <cell r="V53" t="str">
            <v xml:space="preserve"> 7B 1D</v>
          </cell>
          <cell r="W53" t="str">
            <v>U7130</v>
          </cell>
          <cell r="X53" t="str">
            <v xml:space="preserve"> 7B 1D</v>
          </cell>
          <cell r="Y53" t="str">
            <v>U0520Y</v>
          </cell>
          <cell r="Z53" t="str">
            <v>AAD</v>
          </cell>
          <cell r="AB53" t="str">
            <v>T</v>
          </cell>
          <cell r="AD53" t="str">
            <v>*</v>
          </cell>
          <cell r="AE53" t="str">
            <v>Z6326</v>
          </cell>
          <cell r="AF53" t="str">
            <v>001127</v>
          </cell>
          <cell r="AI53" t="str">
            <v>*</v>
          </cell>
          <cell r="AJ53" t="str">
            <v>T</v>
          </cell>
          <cell r="AT53" t="str">
            <v>B</v>
          </cell>
          <cell r="AU53" t="str">
            <v>5</v>
          </cell>
          <cell r="AV53" t="str">
            <v>3</v>
          </cell>
          <cell r="BE53" t="str">
            <v>ﾙ</v>
          </cell>
          <cell r="BF53" t="str">
            <v>0044</v>
          </cell>
          <cell r="BG53" t="str">
            <v>2J619</v>
          </cell>
        </row>
        <row r="54">
          <cell r="T54" t="str">
            <v>5Q</v>
          </cell>
          <cell r="U54" t="str">
            <v>040</v>
          </cell>
          <cell r="V54" t="str">
            <v xml:space="preserve"> 7B 1D</v>
          </cell>
          <cell r="W54" t="str">
            <v>U7170</v>
          </cell>
          <cell r="X54" t="str">
            <v xml:space="preserve"> 7B 1D</v>
          </cell>
          <cell r="Y54" t="str">
            <v>U0660Y</v>
          </cell>
          <cell r="Z54" t="str">
            <v>AAB</v>
          </cell>
          <cell r="AB54" t="str">
            <v>T</v>
          </cell>
          <cell r="AD54" t="str">
            <v>*</v>
          </cell>
          <cell r="AE54" t="str">
            <v>2J619</v>
          </cell>
          <cell r="AF54" t="str">
            <v>000809</v>
          </cell>
          <cell r="AI54" t="str">
            <v>*</v>
          </cell>
          <cell r="AJ54" t="str">
            <v>T</v>
          </cell>
          <cell r="AT54" t="str">
            <v>B</v>
          </cell>
          <cell r="AU54" t="str">
            <v>5</v>
          </cell>
          <cell r="AV54" t="str">
            <v>3</v>
          </cell>
          <cell r="BE54" t="str">
            <v>ﾙ</v>
          </cell>
          <cell r="BF54" t="str">
            <v>0045</v>
          </cell>
          <cell r="BG54" t="str">
            <v>2J619</v>
          </cell>
        </row>
        <row r="55">
          <cell r="T55" t="str">
            <v>5Q</v>
          </cell>
          <cell r="U55" t="str">
            <v>040</v>
          </cell>
          <cell r="V55" t="str">
            <v xml:space="preserve"> 7B 1D</v>
          </cell>
          <cell r="W55" t="str">
            <v>U7190</v>
          </cell>
          <cell r="X55" t="str">
            <v xml:space="preserve"> 7B 1D</v>
          </cell>
          <cell r="Y55" t="str">
            <v>U0820Y</v>
          </cell>
          <cell r="Z55" t="str">
            <v>AAC</v>
          </cell>
          <cell r="AB55" t="str">
            <v>T</v>
          </cell>
          <cell r="AD55" t="str">
            <v>*</v>
          </cell>
          <cell r="AE55" t="str">
            <v>S1392</v>
          </cell>
          <cell r="AF55" t="str">
            <v>010611</v>
          </cell>
          <cell r="AI55" t="str">
            <v>*</v>
          </cell>
          <cell r="AJ55" t="str">
            <v>T</v>
          </cell>
          <cell r="AT55" t="str">
            <v>B</v>
          </cell>
          <cell r="AU55" t="str">
            <v>5</v>
          </cell>
          <cell r="AV55" t="str">
            <v>3</v>
          </cell>
          <cell r="BE55" t="str">
            <v>ﾙ</v>
          </cell>
          <cell r="BF55" t="str">
            <v>0045</v>
          </cell>
          <cell r="BG55" t="str">
            <v>S1392</v>
          </cell>
        </row>
        <row r="56">
          <cell r="T56" t="str">
            <v>5Q</v>
          </cell>
          <cell r="U56" t="str">
            <v>040</v>
          </cell>
          <cell r="V56" t="str">
            <v xml:space="preserve"> 7B 1D</v>
          </cell>
          <cell r="W56" t="str">
            <v>U7270</v>
          </cell>
          <cell r="Y56" t="str">
            <v>U7270E</v>
          </cell>
          <cell r="Z56" t="str">
            <v>AAA</v>
          </cell>
          <cell r="AB56" t="str">
            <v>T</v>
          </cell>
          <cell r="AD56" t="str">
            <v>*</v>
          </cell>
          <cell r="AE56" t="str">
            <v>2J653</v>
          </cell>
          <cell r="AF56" t="str">
            <v>021223</v>
          </cell>
          <cell r="AI56" t="str">
            <v>*</v>
          </cell>
          <cell r="AJ56" t="str">
            <v>T</v>
          </cell>
          <cell r="AT56" t="str">
            <v>B</v>
          </cell>
          <cell r="AU56" t="str">
            <v>5</v>
          </cell>
          <cell r="AV56" t="str">
            <v>3</v>
          </cell>
          <cell r="BE56" t="str">
            <v>1</v>
          </cell>
          <cell r="BF56" t="str">
            <v>0018</v>
          </cell>
          <cell r="BG56" t="str">
            <v>V PLA</v>
          </cell>
        </row>
        <row r="57">
          <cell r="T57" t="str">
            <v>5Q</v>
          </cell>
          <cell r="U57" t="str">
            <v>040</v>
          </cell>
          <cell r="V57" t="str">
            <v xml:space="preserve"> 7B 1D</v>
          </cell>
          <cell r="W57" t="str">
            <v>U7320</v>
          </cell>
          <cell r="X57" t="str">
            <v xml:space="preserve"> 7B 1D</v>
          </cell>
          <cell r="Y57" t="str">
            <v>U1484Y</v>
          </cell>
          <cell r="Z57" t="str">
            <v>AAJ</v>
          </cell>
          <cell r="AB57" t="str">
            <v>T</v>
          </cell>
          <cell r="AD57" t="str">
            <v>*</v>
          </cell>
          <cell r="AE57" t="str">
            <v>Z6337</v>
          </cell>
          <cell r="AF57" t="str">
            <v>001211</v>
          </cell>
          <cell r="AI57" t="str">
            <v>*</v>
          </cell>
          <cell r="AJ57" t="str">
            <v>T</v>
          </cell>
          <cell r="AT57" t="str">
            <v>H</v>
          </cell>
          <cell r="AU57" t="str">
            <v>5</v>
          </cell>
          <cell r="AV57" t="str">
            <v>8</v>
          </cell>
          <cell r="BE57" t="str">
            <v>ﾙ</v>
          </cell>
          <cell r="BF57" t="str">
            <v>0020</v>
          </cell>
          <cell r="BG57" t="str">
            <v>Z6337</v>
          </cell>
        </row>
        <row r="58">
          <cell r="T58" t="str">
            <v>5Q</v>
          </cell>
          <cell r="U58" t="str">
            <v>040</v>
          </cell>
          <cell r="V58" t="str">
            <v xml:space="preserve"> 7B 1D</v>
          </cell>
          <cell r="W58" t="str">
            <v>U7420</v>
          </cell>
          <cell r="X58" t="str">
            <v xml:space="preserve"> 7B 1D</v>
          </cell>
          <cell r="Y58" t="str">
            <v>U1584Y</v>
          </cell>
          <cell r="Z58" t="str">
            <v>AAB</v>
          </cell>
          <cell r="AB58" t="str">
            <v>T</v>
          </cell>
          <cell r="AD58" t="str">
            <v>*</v>
          </cell>
          <cell r="AE58" t="str">
            <v>2J619</v>
          </cell>
          <cell r="AF58" t="str">
            <v>000809</v>
          </cell>
          <cell r="AI58" t="str">
            <v>*</v>
          </cell>
          <cell r="AJ58" t="str">
            <v>T</v>
          </cell>
          <cell r="AT58" t="str">
            <v>B</v>
          </cell>
          <cell r="AU58" t="str">
            <v>5</v>
          </cell>
          <cell r="AV58" t="str">
            <v>3</v>
          </cell>
          <cell r="BE58" t="str">
            <v>ﾙ</v>
          </cell>
          <cell r="BF58" t="str">
            <v>0048</v>
          </cell>
          <cell r="BG58" t="str">
            <v>2J619</v>
          </cell>
        </row>
        <row r="59">
          <cell r="T59" t="str">
            <v>5Q</v>
          </cell>
          <cell r="U59" t="str">
            <v>040</v>
          </cell>
          <cell r="V59" t="str">
            <v xml:space="preserve"> 7B 1D</v>
          </cell>
          <cell r="W59" t="str">
            <v>U7470</v>
          </cell>
          <cell r="Y59" t="str">
            <v>U7470E</v>
          </cell>
          <cell r="Z59" t="str">
            <v>AAB</v>
          </cell>
          <cell r="AB59" t="str">
            <v>T</v>
          </cell>
          <cell r="AD59" t="str">
            <v>*</v>
          </cell>
          <cell r="AE59" t="str">
            <v>2J653</v>
          </cell>
          <cell r="AF59" t="str">
            <v>021223</v>
          </cell>
          <cell r="AI59" t="str">
            <v>*</v>
          </cell>
          <cell r="AJ59" t="str">
            <v>T</v>
          </cell>
          <cell r="AT59" t="str">
            <v>B</v>
          </cell>
          <cell r="AU59" t="str">
            <v>5</v>
          </cell>
          <cell r="AV59" t="str">
            <v>3</v>
          </cell>
          <cell r="BF59" t="str">
            <v>0005</v>
          </cell>
          <cell r="BG59" t="str">
            <v>S1392</v>
          </cell>
          <cell r="BH59" t="str">
            <v>5Q</v>
          </cell>
          <cell r="BI59" t="str">
            <v>020</v>
          </cell>
        </row>
        <row r="60">
          <cell r="T60" t="str">
            <v>5Q</v>
          </cell>
          <cell r="U60" t="str">
            <v>040</v>
          </cell>
          <cell r="V60" t="str">
            <v xml:space="preserve"> 7B 1D</v>
          </cell>
          <cell r="W60" t="str">
            <v>U7120</v>
          </cell>
          <cell r="X60" t="str">
            <v xml:space="preserve"> 7B 1D</v>
          </cell>
          <cell r="Y60" t="str">
            <v>U6350Y</v>
          </cell>
          <cell r="Z60" t="str">
            <v>AAB</v>
          </cell>
          <cell r="AB60" t="str">
            <v>T</v>
          </cell>
          <cell r="AD60" t="str">
            <v>*</v>
          </cell>
          <cell r="AE60" t="str">
            <v>Z6360</v>
          </cell>
          <cell r="AF60" t="str">
            <v>010521</v>
          </cell>
          <cell r="AI60" t="str">
            <v>*</v>
          </cell>
          <cell r="AJ60" t="str">
            <v>T</v>
          </cell>
          <cell r="AT60" t="str">
            <v>B</v>
          </cell>
          <cell r="AU60" t="str">
            <v>5</v>
          </cell>
          <cell r="AV60" t="str">
            <v>3</v>
          </cell>
          <cell r="BE60" t="str">
            <v>ﾙ</v>
          </cell>
          <cell r="BF60" t="str">
            <v>0005</v>
          </cell>
          <cell r="BG60" t="str">
            <v>Z6360</v>
          </cell>
        </row>
        <row r="61">
          <cell r="T61" t="str">
            <v>5Q</v>
          </cell>
          <cell r="U61" t="str">
            <v>040</v>
          </cell>
          <cell r="V61" t="str">
            <v xml:space="preserve"> 7B 1D</v>
          </cell>
          <cell r="W61" t="str">
            <v>U7070</v>
          </cell>
          <cell r="X61" t="str">
            <v xml:space="preserve"> 7B 1D</v>
          </cell>
          <cell r="Y61" t="str">
            <v>U6360Y</v>
          </cell>
          <cell r="Z61" t="str">
            <v>AAA</v>
          </cell>
          <cell r="AB61" t="str">
            <v>T</v>
          </cell>
          <cell r="AD61" t="str">
            <v>X</v>
          </cell>
          <cell r="AE61" t="str">
            <v>2J619</v>
          </cell>
          <cell r="AF61" t="str">
            <v>000809</v>
          </cell>
          <cell r="AI61" t="str">
            <v>*</v>
          </cell>
          <cell r="AJ61" t="str">
            <v>T</v>
          </cell>
          <cell r="AT61" t="str">
            <v>B</v>
          </cell>
          <cell r="AU61" t="str">
            <v>6</v>
          </cell>
          <cell r="AV61" t="str">
            <v>3</v>
          </cell>
          <cell r="BE61" t="str">
            <v>1</v>
          </cell>
          <cell r="BF61" t="str">
            <v>0005</v>
          </cell>
          <cell r="BG61" t="str">
            <v>V PLA</v>
          </cell>
        </row>
        <row r="62">
          <cell r="T62" t="str">
            <v>5Q</v>
          </cell>
          <cell r="U62" t="str">
            <v>040</v>
          </cell>
          <cell r="V62" t="str">
            <v xml:space="preserve"> 7B 1D</v>
          </cell>
          <cell r="W62" t="str">
            <v>U7070</v>
          </cell>
          <cell r="X62" t="str">
            <v xml:space="preserve"> 7B 1D</v>
          </cell>
          <cell r="Y62" t="str">
            <v>U6310Y</v>
          </cell>
          <cell r="Z62" t="str">
            <v>AAC</v>
          </cell>
          <cell r="AB62" t="str">
            <v>T</v>
          </cell>
          <cell r="AD62" t="str">
            <v>X</v>
          </cell>
          <cell r="AE62" t="str">
            <v>Z6383</v>
          </cell>
          <cell r="AF62" t="str">
            <v>010820</v>
          </cell>
          <cell r="AI62" t="str">
            <v>*</v>
          </cell>
          <cell r="AJ62" t="str">
            <v>T</v>
          </cell>
          <cell r="AT62" t="str">
            <v>A</v>
          </cell>
          <cell r="AU62" t="str">
            <v>0</v>
          </cell>
          <cell r="AV62" t="str">
            <v>3</v>
          </cell>
          <cell r="BE62" t="str">
            <v>ﾙ</v>
          </cell>
          <cell r="BF62" t="str">
            <v>0005</v>
          </cell>
          <cell r="BG62" t="str">
            <v>Z6383</v>
          </cell>
        </row>
        <row r="63">
          <cell r="T63" t="str">
            <v>5Q</v>
          </cell>
          <cell r="U63" t="str">
            <v>040</v>
          </cell>
          <cell r="V63" t="str">
            <v xml:space="preserve"> 7B 1D</v>
          </cell>
          <cell r="W63" t="str">
            <v>U7440</v>
          </cell>
          <cell r="X63" t="str">
            <v xml:space="preserve"> 7B 1D</v>
          </cell>
          <cell r="Y63" t="str">
            <v>U6320Y</v>
          </cell>
          <cell r="Z63" t="str">
            <v>AAC</v>
          </cell>
          <cell r="AB63" t="str">
            <v>T</v>
          </cell>
          <cell r="AD63" t="str">
            <v>*</v>
          </cell>
          <cell r="AE63" t="str">
            <v>Z6325</v>
          </cell>
          <cell r="AF63" t="str">
            <v>001127</v>
          </cell>
          <cell r="AI63" t="str">
            <v>*</v>
          </cell>
          <cell r="AJ63" t="str">
            <v>T</v>
          </cell>
          <cell r="AT63" t="str">
            <v>A</v>
          </cell>
          <cell r="AU63" t="str">
            <v>0</v>
          </cell>
          <cell r="AV63" t="str">
            <v>3</v>
          </cell>
          <cell r="BE63" t="str">
            <v>ﾙ</v>
          </cell>
          <cell r="BF63" t="str">
            <v>0008</v>
          </cell>
          <cell r="BG63" t="str">
            <v>Z6325</v>
          </cell>
        </row>
        <row r="64">
          <cell r="T64" t="str">
            <v>5Q</v>
          </cell>
          <cell r="U64" t="str">
            <v>040</v>
          </cell>
          <cell r="V64" t="str">
            <v xml:space="preserve"> 7B 1D</v>
          </cell>
          <cell r="W64" t="str">
            <v>U7140</v>
          </cell>
          <cell r="Y64" t="str">
            <v>U7140E</v>
          </cell>
          <cell r="Z64" t="str">
            <v>AAC</v>
          </cell>
          <cell r="AB64" t="str">
            <v>T</v>
          </cell>
          <cell r="AD64" t="str">
            <v>*</v>
          </cell>
          <cell r="AE64" t="str">
            <v>2J653</v>
          </cell>
          <cell r="AF64" t="str">
            <v>021223</v>
          </cell>
          <cell r="AI64" t="str">
            <v>*</v>
          </cell>
          <cell r="AJ64" t="str">
            <v>T</v>
          </cell>
          <cell r="AT64" t="str">
            <v>A</v>
          </cell>
          <cell r="AU64" t="str">
            <v>0</v>
          </cell>
          <cell r="AV64" t="str">
            <v>3</v>
          </cell>
          <cell r="BE64" t="str">
            <v>ﾙ</v>
          </cell>
          <cell r="BF64" t="str">
            <v>0005</v>
          </cell>
          <cell r="BG64" t="str">
            <v>Z6360</v>
          </cell>
          <cell r="BH64" t="str">
            <v>5Q</v>
          </cell>
          <cell r="BI64" t="str">
            <v>020</v>
          </cell>
        </row>
        <row r="65">
          <cell r="T65" t="str">
            <v>5Q</v>
          </cell>
          <cell r="U65" t="str">
            <v>040</v>
          </cell>
          <cell r="V65" t="str">
            <v xml:space="preserve"> 7B 1D</v>
          </cell>
          <cell r="W65" t="str">
            <v>U7090</v>
          </cell>
          <cell r="Y65" t="str">
            <v>U7090E</v>
          </cell>
          <cell r="Z65" t="str">
            <v>AAB</v>
          </cell>
          <cell r="AB65" t="str">
            <v>T</v>
          </cell>
          <cell r="AD65" t="str">
            <v>*</v>
          </cell>
          <cell r="AE65" t="str">
            <v>2J653</v>
          </cell>
          <cell r="AF65" t="str">
            <v>021223</v>
          </cell>
          <cell r="AI65" t="str">
            <v>*</v>
          </cell>
          <cell r="AJ65" t="str">
            <v>T</v>
          </cell>
          <cell r="AT65" t="str">
            <v>A</v>
          </cell>
          <cell r="AU65" t="str">
            <v>0</v>
          </cell>
          <cell r="AV65" t="str">
            <v>3</v>
          </cell>
          <cell r="BE65" t="str">
            <v>ﾙ</v>
          </cell>
          <cell r="BF65" t="str">
            <v>0005</v>
          </cell>
          <cell r="BG65" t="str">
            <v>JZ698</v>
          </cell>
          <cell r="BH65" t="str">
            <v>5P</v>
          </cell>
          <cell r="BI65" t="str">
            <v>020</v>
          </cell>
        </row>
        <row r="66">
          <cell r="T66" t="str">
            <v>5Q</v>
          </cell>
          <cell r="U66" t="str">
            <v>040</v>
          </cell>
          <cell r="V66" t="str">
            <v xml:space="preserve"> 7B 1D</v>
          </cell>
          <cell r="W66" t="str">
            <v>U7150</v>
          </cell>
          <cell r="Y66" t="str">
            <v>U7150E</v>
          </cell>
          <cell r="Z66" t="str">
            <v>AAB</v>
          </cell>
          <cell r="AB66" t="str">
            <v>T</v>
          </cell>
          <cell r="AD66" t="str">
            <v>*</v>
          </cell>
          <cell r="AE66" t="str">
            <v>2J653</v>
          </cell>
          <cell r="AF66" t="str">
            <v>021223</v>
          </cell>
          <cell r="AI66" t="str">
            <v>*</v>
          </cell>
          <cell r="AJ66" t="str">
            <v>T</v>
          </cell>
          <cell r="AT66" t="str">
            <v>A</v>
          </cell>
          <cell r="AU66" t="str">
            <v>0</v>
          </cell>
          <cell r="AV66" t="str">
            <v>3</v>
          </cell>
          <cell r="BE66" t="str">
            <v>ﾙ</v>
          </cell>
          <cell r="BF66" t="str">
            <v>0005</v>
          </cell>
          <cell r="BG66" t="str">
            <v>Z6321</v>
          </cell>
          <cell r="BH66" t="str">
            <v>5Q</v>
          </cell>
          <cell r="BI66" t="str">
            <v>020</v>
          </cell>
        </row>
        <row r="67">
          <cell r="T67" t="str">
            <v>5Q</v>
          </cell>
          <cell r="U67" t="str">
            <v>040</v>
          </cell>
          <cell r="V67" t="str">
            <v xml:space="preserve"> 7B 1D</v>
          </cell>
          <cell r="W67" t="str">
            <v>U7160</v>
          </cell>
          <cell r="Y67" t="str">
            <v>U7160E</v>
          </cell>
          <cell r="Z67" t="str">
            <v>AAB</v>
          </cell>
          <cell r="AB67" t="str">
            <v>T</v>
          </cell>
          <cell r="AD67" t="str">
            <v>*</v>
          </cell>
          <cell r="AE67" t="str">
            <v>2J653</v>
          </cell>
          <cell r="AF67" t="str">
            <v>021223</v>
          </cell>
          <cell r="AI67" t="str">
            <v>*</v>
          </cell>
          <cell r="AJ67" t="str">
            <v>T</v>
          </cell>
          <cell r="AT67" t="str">
            <v>A</v>
          </cell>
          <cell r="AU67" t="str">
            <v>0</v>
          </cell>
          <cell r="AV67" t="str">
            <v>3</v>
          </cell>
          <cell r="BE67" t="str">
            <v>ﾙ</v>
          </cell>
          <cell r="BF67" t="str">
            <v>0005</v>
          </cell>
          <cell r="BG67" t="str">
            <v>Z6321</v>
          </cell>
          <cell r="BH67" t="str">
            <v>5Q</v>
          </cell>
          <cell r="BI67" t="str">
            <v>020</v>
          </cell>
        </row>
        <row r="68">
          <cell r="T68" t="str">
            <v>5Q</v>
          </cell>
          <cell r="U68" t="str">
            <v>040</v>
          </cell>
          <cell r="V68" t="str">
            <v xml:space="preserve"> 7B 1D</v>
          </cell>
          <cell r="W68" t="str">
            <v>U7070</v>
          </cell>
          <cell r="X68" t="str">
            <v xml:space="preserve"> 7B 1D</v>
          </cell>
          <cell r="Y68" t="str">
            <v>U6400Y</v>
          </cell>
          <cell r="Z68" t="str">
            <v>AAB</v>
          </cell>
          <cell r="AB68" t="str">
            <v>T</v>
          </cell>
          <cell r="AD68" t="str">
            <v>X</v>
          </cell>
          <cell r="AE68" t="str">
            <v>Z6360</v>
          </cell>
          <cell r="AF68" t="str">
            <v>010521</v>
          </cell>
          <cell r="AI68" t="str">
            <v>*</v>
          </cell>
          <cell r="AJ68" t="str">
            <v>T</v>
          </cell>
          <cell r="AT68" t="str">
            <v>A</v>
          </cell>
          <cell r="AU68" t="str">
            <v>0</v>
          </cell>
          <cell r="AV68" t="str">
            <v>3</v>
          </cell>
          <cell r="BE68" t="str">
            <v>ﾙ</v>
          </cell>
          <cell r="BF68" t="str">
            <v>0005</v>
          </cell>
          <cell r="BG68" t="str">
            <v>Z6360</v>
          </cell>
        </row>
        <row r="69">
          <cell r="T69" t="str">
            <v>5Q</v>
          </cell>
          <cell r="U69" t="str">
            <v>040</v>
          </cell>
          <cell r="V69" t="str">
            <v xml:space="preserve"> 7B 1A</v>
          </cell>
          <cell r="W69" t="str">
            <v>U0257</v>
          </cell>
          <cell r="Y69" t="str">
            <v>U0257E</v>
          </cell>
          <cell r="Z69" t="str">
            <v>AAC</v>
          </cell>
          <cell r="AB69" t="str">
            <v>T</v>
          </cell>
          <cell r="AD69" t="str">
            <v>*</v>
          </cell>
          <cell r="AE69" t="str">
            <v>2J653</v>
          </cell>
          <cell r="AF69" t="str">
            <v>021223</v>
          </cell>
          <cell r="AI69" t="str">
            <v>*</v>
          </cell>
          <cell r="AJ69" t="str">
            <v>T</v>
          </cell>
          <cell r="AT69" t="str">
            <v>A</v>
          </cell>
          <cell r="AU69" t="str">
            <v>0</v>
          </cell>
          <cell r="AV69" t="str">
            <v>3</v>
          </cell>
          <cell r="BE69" t="str">
            <v>ﾙ</v>
          </cell>
          <cell r="BF69" t="str">
            <v>0005</v>
          </cell>
          <cell r="BG69" t="str">
            <v>Z6384</v>
          </cell>
          <cell r="BH69" t="str">
            <v>5Q</v>
          </cell>
          <cell r="BI69" t="str">
            <v>020</v>
          </cell>
        </row>
        <row r="70">
          <cell r="T70" t="str">
            <v>5Q</v>
          </cell>
          <cell r="U70" t="str">
            <v>040</v>
          </cell>
          <cell r="V70" t="str">
            <v xml:space="preserve"> 7A</v>
          </cell>
          <cell r="W70" t="str">
            <v>U1667</v>
          </cell>
          <cell r="Y70" t="str">
            <v>U1667E</v>
          </cell>
          <cell r="Z70" t="str">
            <v>AAC</v>
          </cell>
          <cell r="AB70" t="str">
            <v>T</v>
          </cell>
          <cell r="AD70" t="str">
            <v>*</v>
          </cell>
          <cell r="AE70" t="str">
            <v>2J653</v>
          </cell>
          <cell r="AF70" t="str">
            <v>021223</v>
          </cell>
          <cell r="AI70" t="str">
            <v>*</v>
          </cell>
          <cell r="AJ70" t="str">
            <v>T</v>
          </cell>
          <cell r="AT70" t="str">
            <v>A</v>
          </cell>
          <cell r="AU70" t="str">
            <v>0</v>
          </cell>
          <cell r="AV70" t="str">
            <v>3</v>
          </cell>
          <cell r="BE70" t="str">
            <v>B</v>
          </cell>
          <cell r="BF70" t="str">
            <v>0005</v>
          </cell>
          <cell r="BG70" t="str">
            <v>Z6364</v>
          </cell>
          <cell r="BH70" t="str">
            <v>5P</v>
          </cell>
          <cell r="BI70" t="str">
            <v>020</v>
          </cell>
        </row>
        <row r="71">
          <cell r="T71" t="str">
            <v>5Q</v>
          </cell>
          <cell r="U71" t="str">
            <v>040</v>
          </cell>
          <cell r="V71" t="str">
            <v xml:space="preserve"> 7B 1C</v>
          </cell>
          <cell r="W71" t="str">
            <v>U4000</v>
          </cell>
          <cell r="Y71" t="str">
            <v>U4000E</v>
          </cell>
          <cell r="Z71" t="str">
            <v>AAC</v>
          </cell>
          <cell r="AB71" t="str">
            <v>T</v>
          </cell>
          <cell r="AD71" t="str">
            <v>*</v>
          </cell>
          <cell r="AE71" t="str">
            <v>2J653</v>
          </cell>
          <cell r="AF71" t="str">
            <v>021223</v>
          </cell>
          <cell r="AI71" t="str">
            <v>*</v>
          </cell>
          <cell r="AJ71" t="str">
            <v>T</v>
          </cell>
          <cell r="AT71" t="str">
            <v>A</v>
          </cell>
          <cell r="AU71" t="str">
            <v>0</v>
          </cell>
          <cell r="AV71" t="str">
            <v>3</v>
          </cell>
          <cell r="BE71" t="str">
            <v>ﾙ</v>
          </cell>
          <cell r="BF71" t="str">
            <v>0005</v>
          </cell>
          <cell r="BG71" t="str">
            <v>JAC62</v>
          </cell>
          <cell r="BH71" t="str">
            <v>5Q</v>
          </cell>
          <cell r="BI71" t="str">
            <v>020</v>
          </cell>
        </row>
        <row r="72">
          <cell r="T72" t="str">
            <v>5Q</v>
          </cell>
          <cell r="U72" t="str">
            <v>040</v>
          </cell>
          <cell r="V72" t="str">
            <v xml:space="preserve"> 7B 1C</v>
          </cell>
          <cell r="W72" t="str">
            <v>U4300</v>
          </cell>
          <cell r="Y72" t="str">
            <v>U4300E</v>
          </cell>
          <cell r="Z72" t="str">
            <v>AAB</v>
          </cell>
          <cell r="AB72" t="str">
            <v>T</v>
          </cell>
          <cell r="AD72" t="str">
            <v>*</v>
          </cell>
          <cell r="AE72" t="str">
            <v>2J653</v>
          </cell>
          <cell r="AF72" t="str">
            <v>021223</v>
          </cell>
          <cell r="AI72" t="str">
            <v>*</v>
          </cell>
          <cell r="AJ72" t="str">
            <v>T</v>
          </cell>
          <cell r="AT72" t="str">
            <v>B</v>
          </cell>
          <cell r="AU72" t="str">
            <v>5</v>
          </cell>
          <cell r="AV72" t="str">
            <v>3</v>
          </cell>
          <cell r="BE72" t="str">
            <v>ﾙ</v>
          </cell>
          <cell r="BF72" t="str">
            <v>0005</v>
          </cell>
          <cell r="BG72" t="str">
            <v>Z6402</v>
          </cell>
          <cell r="BH72" t="str">
            <v>5Q</v>
          </cell>
          <cell r="BI72" t="str">
            <v>020</v>
          </cell>
        </row>
        <row r="73">
          <cell r="T73" t="str">
            <v>5Q</v>
          </cell>
          <cell r="U73" t="str">
            <v>040</v>
          </cell>
          <cell r="V73" t="str">
            <v xml:space="preserve"> 7B 1A</v>
          </cell>
          <cell r="W73" t="str">
            <v>U0085</v>
          </cell>
          <cell r="X73" t="str">
            <v xml:space="preserve"> 7B 1A</v>
          </cell>
          <cell r="Y73" t="str">
            <v>U0113Y</v>
          </cell>
          <cell r="Z73" t="str">
            <v>AAD</v>
          </cell>
          <cell r="AB73" t="str">
            <v>T</v>
          </cell>
          <cell r="AD73" t="str">
            <v>*</v>
          </cell>
          <cell r="AE73" t="str">
            <v>Z6354</v>
          </cell>
          <cell r="AF73" t="str">
            <v>010423</v>
          </cell>
          <cell r="AI73" t="str">
            <v>*</v>
          </cell>
          <cell r="AJ73" t="str">
            <v>T</v>
          </cell>
          <cell r="AT73" t="str">
            <v>A</v>
          </cell>
          <cell r="AU73" t="str">
            <v>0</v>
          </cell>
          <cell r="AV73" t="str">
            <v>3</v>
          </cell>
          <cell r="BE73" t="str">
            <v>ﾙ</v>
          </cell>
          <cell r="BF73" t="str">
            <v>0004</v>
          </cell>
          <cell r="BG73" t="str">
            <v>Z6354</v>
          </cell>
        </row>
        <row r="74">
          <cell r="T74" t="str">
            <v>5Q</v>
          </cell>
          <cell r="U74" t="str">
            <v>040</v>
          </cell>
          <cell r="V74" t="str">
            <v xml:space="preserve"> 7B 1C</v>
          </cell>
          <cell r="W74" t="str">
            <v>U5500</v>
          </cell>
          <cell r="Y74" t="str">
            <v>U5500E</v>
          </cell>
          <cell r="Z74" t="str">
            <v>AAB</v>
          </cell>
          <cell r="AB74" t="str">
            <v>T</v>
          </cell>
          <cell r="AD74" t="str">
            <v>*</v>
          </cell>
          <cell r="AE74" t="str">
            <v>2J653</v>
          </cell>
          <cell r="AF74" t="str">
            <v>021223</v>
          </cell>
          <cell r="AI74" t="str">
            <v>*</v>
          </cell>
          <cell r="AJ74" t="str">
            <v>T</v>
          </cell>
          <cell r="AT74" t="str">
            <v>A</v>
          </cell>
          <cell r="AU74" t="str">
            <v>0</v>
          </cell>
          <cell r="AV74" t="str">
            <v>3</v>
          </cell>
          <cell r="BE74" t="str">
            <v>B</v>
          </cell>
          <cell r="BF74" t="str">
            <v>0005</v>
          </cell>
          <cell r="BG74" t="str">
            <v>Z6366</v>
          </cell>
          <cell r="BH74" t="str">
            <v>5P</v>
          </cell>
          <cell r="BI74" t="str">
            <v>020</v>
          </cell>
        </row>
        <row r="75">
          <cell r="T75" t="str">
            <v>5Q</v>
          </cell>
          <cell r="U75" t="str">
            <v>040</v>
          </cell>
          <cell r="V75" t="str">
            <v xml:space="preserve"> 7B 1C</v>
          </cell>
          <cell r="W75" t="str">
            <v>U5000</v>
          </cell>
          <cell r="Y75" t="str">
            <v>U5000E</v>
          </cell>
          <cell r="Z75" t="str">
            <v>AAC</v>
          </cell>
          <cell r="AB75" t="str">
            <v>T</v>
          </cell>
          <cell r="AD75" t="str">
            <v>*</v>
          </cell>
          <cell r="AE75" t="str">
            <v>2J653</v>
          </cell>
          <cell r="AF75" t="str">
            <v>021223</v>
          </cell>
          <cell r="AI75" t="str">
            <v>*</v>
          </cell>
          <cell r="AJ75" t="str">
            <v>T</v>
          </cell>
          <cell r="AT75" t="str">
            <v>A</v>
          </cell>
          <cell r="AU75" t="str">
            <v>0</v>
          </cell>
          <cell r="AV75" t="str">
            <v>3</v>
          </cell>
          <cell r="BE75" t="str">
            <v>B</v>
          </cell>
          <cell r="BF75" t="str">
            <v>0005</v>
          </cell>
          <cell r="BG75" t="str">
            <v>Z6366</v>
          </cell>
          <cell r="BH75" t="str">
            <v>5Q</v>
          </cell>
          <cell r="BI75" t="str">
            <v>020</v>
          </cell>
        </row>
        <row r="76">
          <cell r="T76" t="str">
            <v>5Q</v>
          </cell>
          <cell r="U76" t="str">
            <v>040</v>
          </cell>
          <cell r="V76" t="str">
            <v xml:space="preserve"> 7B 1C</v>
          </cell>
          <cell r="W76" t="str">
            <v>U5100</v>
          </cell>
          <cell r="Y76" t="str">
            <v>U5100E</v>
          </cell>
          <cell r="Z76" t="str">
            <v>AAB</v>
          </cell>
          <cell r="AB76" t="str">
            <v>T</v>
          </cell>
          <cell r="AD76" t="str">
            <v>*</v>
          </cell>
          <cell r="AE76" t="str">
            <v>2J653</v>
          </cell>
          <cell r="AF76" t="str">
            <v>021223</v>
          </cell>
          <cell r="AI76" t="str">
            <v>*</v>
          </cell>
          <cell r="AJ76" t="str">
            <v>T</v>
          </cell>
          <cell r="AT76" t="str">
            <v>A</v>
          </cell>
          <cell r="AU76" t="str">
            <v>0</v>
          </cell>
          <cell r="AV76" t="str">
            <v>3</v>
          </cell>
          <cell r="BE76" t="str">
            <v>B</v>
          </cell>
          <cell r="BF76" t="str">
            <v>0005</v>
          </cell>
          <cell r="BG76" t="str">
            <v>Z6366</v>
          </cell>
          <cell r="BH76" t="str">
            <v>5Q</v>
          </cell>
          <cell r="BI76" t="str">
            <v>020</v>
          </cell>
        </row>
        <row r="77">
          <cell r="T77" t="str">
            <v>5Q</v>
          </cell>
          <cell r="U77" t="str">
            <v>040</v>
          </cell>
          <cell r="V77" t="str">
            <v xml:space="preserve"> 7B 1C</v>
          </cell>
          <cell r="W77" t="str">
            <v>U5300</v>
          </cell>
          <cell r="Y77" t="str">
            <v>U5300E</v>
          </cell>
          <cell r="Z77" t="str">
            <v>AAA</v>
          </cell>
          <cell r="AB77" t="str">
            <v>T</v>
          </cell>
          <cell r="AD77" t="str">
            <v>*</v>
          </cell>
          <cell r="AE77" t="str">
            <v>2J653</v>
          </cell>
          <cell r="AF77" t="str">
            <v>021223</v>
          </cell>
          <cell r="AI77" t="str">
            <v>*</v>
          </cell>
          <cell r="AJ77" t="str">
            <v>T</v>
          </cell>
          <cell r="AT77" t="str">
            <v>A</v>
          </cell>
          <cell r="AU77" t="str">
            <v>0</v>
          </cell>
          <cell r="AV77" t="str">
            <v>3</v>
          </cell>
          <cell r="BE77" t="str">
            <v>ﾙ</v>
          </cell>
          <cell r="BF77" t="str">
            <v>0008</v>
          </cell>
        </row>
        <row r="78">
          <cell r="T78" t="str">
            <v>5Q</v>
          </cell>
          <cell r="U78" t="str">
            <v>040</v>
          </cell>
          <cell r="V78" t="str">
            <v xml:space="preserve"> 7B 1C</v>
          </cell>
          <cell r="W78" t="str">
            <v>U6200</v>
          </cell>
          <cell r="Y78" t="str">
            <v>U6200E</v>
          </cell>
          <cell r="Z78" t="str">
            <v>AAA</v>
          </cell>
          <cell r="AB78" t="str">
            <v>T</v>
          </cell>
          <cell r="AD78" t="str">
            <v>*</v>
          </cell>
          <cell r="AE78" t="str">
            <v>2J653</v>
          </cell>
          <cell r="AF78" t="str">
            <v>021223</v>
          </cell>
          <cell r="AI78" t="str">
            <v>*</v>
          </cell>
          <cell r="AJ78" t="str">
            <v>T</v>
          </cell>
          <cell r="AT78" t="str">
            <v>A</v>
          </cell>
          <cell r="AU78" t="str">
            <v>0</v>
          </cell>
          <cell r="AV78" t="str">
            <v>3</v>
          </cell>
          <cell r="BE78" t="str">
            <v>ﾙ</v>
          </cell>
          <cell r="BF78" t="str">
            <v>0008</v>
          </cell>
        </row>
        <row r="79">
          <cell r="T79" t="str">
            <v>5Q</v>
          </cell>
          <cell r="U79" t="str">
            <v>040</v>
          </cell>
          <cell r="V79" t="str">
            <v xml:space="preserve"> 7A</v>
          </cell>
          <cell r="W79" t="str">
            <v>U1345</v>
          </cell>
          <cell r="X79" t="str">
            <v xml:space="preserve"> 7A</v>
          </cell>
          <cell r="Y79" t="str">
            <v>U2960Y</v>
          </cell>
          <cell r="Z79" t="str">
            <v>AAL</v>
          </cell>
          <cell r="AB79" t="str">
            <v>T</v>
          </cell>
          <cell r="AD79" t="str">
            <v>*</v>
          </cell>
          <cell r="AE79" t="str">
            <v>2J653</v>
          </cell>
          <cell r="AF79" t="str">
            <v>021223</v>
          </cell>
          <cell r="AI79" t="str">
            <v>*</v>
          </cell>
          <cell r="AJ79" t="str">
            <v>T</v>
          </cell>
          <cell r="AT79" t="str">
            <v>A</v>
          </cell>
          <cell r="AU79" t="str">
            <v>0</v>
          </cell>
          <cell r="AV79" t="str">
            <v>3</v>
          </cell>
          <cell r="BE79" t="str">
            <v>ﾙ</v>
          </cell>
          <cell r="BF79" t="str">
            <v>0055</v>
          </cell>
          <cell r="BG79" t="str">
            <v>KOUBA</v>
          </cell>
        </row>
        <row r="80">
          <cell r="T80" t="str">
            <v>5Q</v>
          </cell>
          <cell r="U80" t="str">
            <v>040</v>
          </cell>
          <cell r="V80" t="str">
            <v xml:space="preserve"> 7B 1C</v>
          </cell>
          <cell r="W80" t="str">
            <v>U6500</v>
          </cell>
          <cell r="Y80" t="str">
            <v>U6500E</v>
          </cell>
          <cell r="Z80" t="str">
            <v>AAA</v>
          </cell>
          <cell r="AB80" t="str">
            <v>T</v>
          </cell>
          <cell r="AD80" t="str">
            <v>*</v>
          </cell>
          <cell r="AE80" t="str">
            <v>2J653</v>
          </cell>
          <cell r="AF80" t="str">
            <v>021223</v>
          </cell>
          <cell r="AI80" t="str">
            <v>*</v>
          </cell>
          <cell r="AJ80" t="str">
            <v>T</v>
          </cell>
          <cell r="AT80" t="str">
            <v>A</v>
          </cell>
          <cell r="AU80" t="str">
            <v>0</v>
          </cell>
          <cell r="AV80" t="str">
            <v>3</v>
          </cell>
          <cell r="BF80" t="str">
            <v>0008</v>
          </cell>
        </row>
        <row r="81">
          <cell r="T81" t="str">
            <v>5Q</v>
          </cell>
          <cell r="U81" t="str">
            <v>040</v>
          </cell>
          <cell r="V81" t="str">
            <v xml:space="preserve"> 7B 1C</v>
          </cell>
          <cell r="W81" t="str">
            <v>U6600</v>
          </cell>
          <cell r="Y81" t="str">
            <v>U6600E</v>
          </cell>
          <cell r="Z81" t="str">
            <v>AAB</v>
          </cell>
          <cell r="AB81" t="str">
            <v>T</v>
          </cell>
          <cell r="AD81" t="str">
            <v>*</v>
          </cell>
          <cell r="AE81" t="str">
            <v>2J653</v>
          </cell>
          <cell r="AF81" t="str">
            <v>021223</v>
          </cell>
          <cell r="AI81" t="str">
            <v>*</v>
          </cell>
          <cell r="AJ81" t="str">
            <v>T</v>
          </cell>
          <cell r="AT81" t="str">
            <v>A</v>
          </cell>
          <cell r="AU81" t="str">
            <v>0</v>
          </cell>
          <cell r="AV81" t="str">
            <v>3</v>
          </cell>
          <cell r="BE81" t="str">
            <v>ﾙ</v>
          </cell>
          <cell r="BF81" t="str">
            <v>0008</v>
          </cell>
          <cell r="BG81" t="str">
            <v>JZ870</v>
          </cell>
          <cell r="BH81" t="str">
            <v>5P</v>
          </cell>
          <cell r="BI81" t="str">
            <v>020</v>
          </cell>
        </row>
        <row r="82">
          <cell r="T82" t="str">
            <v>5Q</v>
          </cell>
          <cell r="U82" t="str">
            <v>040</v>
          </cell>
          <cell r="V82" t="str">
            <v xml:space="preserve"> 5D</v>
          </cell>
          <cell r="W82" t="str">
            <v>U5160</v>
          </cell>
          <cell r="Y82" t="str">
            <v>U5160E</v>
          </cell>
          <cell r="Z82" t="str">
            <v>AAC</v>
          </cell>
          <cell r="AB82" t="str">
            <v>F</v>
          </cell>
          <cell r="AD82" t="str">
            <v>*</v>
          </cell>
          <cell r="AE82" t="str">
            <v>2J653</v>
          </cell>
          <cell r="AF82" t="str">
            <v>021223</v>
          </cell>
          <cell r="AI82" t="str">
            <v>*</v>
          </cell>
          <cell r="AJ82" t="str">
            <v>T</v>
          </cell>
          <cell r="AT82" t="str">
            <v>A</v>
          </cell>
          <cell r="AU82" t="str">
            <v>0</v>
          </cell>
          <cell r="AV82" t="str">
            <v>3</v>
          </cell>
          <cell r="BE82" t="str">
            <v>ｲ</v>
          </cell>
          <cell r="BF82" t="str">
            <v>0051</v>
          </cell>
          <cell r="BG82" t="str">
            <v>7J395</v>
          </cell>
          <cell r="BH82" t="str">
            <v>5Q</v>
          </cell>
          <cell r="BI82" t="str">
            <v>020</v>
          </cell>
        </row>
        <row r="83">
          <cell r="T83" t="str">
            <v>5Q</v>
          </cell>
          <cell r="U83" t="str">
            <v>040</v>
          </cell>
          <cell r="V83" t="str">
            <v xml:space="preserve"> 5D</v>
          </cell>
          <cell r="W83" t="str">
            <v>U5160</v>
          </cell>
          <cell r="Y83" t="str">
            <v>U5160E</v>
          </cell>
          <cell r="Z83" t="str">
            <v>AAB</v>
          </cell>
          <cell r="AB83" t="str">
            <v>F</v>
          </cell>
          <cell r="AD83" t="str">
            <v>*</v>
          </cell>
          <cell r="AE83" t="str">
            <v>2J653</v>
          </cell>
          <cell r="AF83" t="str">
            <v>021223</v>
          </cell>
          <cell r="AI83" t="str">
            <v>*</v>
          </cell>
          <cell r="AJ83" t="str">
            <v>T</v>
          </cell>
          <cell r="AT83" t="str">
            <v>A</v>
          </cell>
          <cell r="AU83" t="str">
            <v>0</v>
          </cell>
          <cell r="AV83" t="str">
            <v>3</v>
          </cell>
          <cell r="BE83" t="str">
            <v>I</v>
          </cell>
          <cell r="BF83" t="str">
            <v>0038</v>
          </cell>
          <cell r="BG83" t="str">
            <v>JAY68</v>
          </cell>
          <cell r="BH83" t="str">
            <v>5Q</v>
          </cell>
          <cell r="BI83" t="str">
            <v>020</v>
          </cell>
        </row>
        <row r="84">
          <cell r="T84" t="str">
            <v>5Q</v>
          </cell>
          <cell r="U84" t="str">
            <v>040</v>
          </cell>
          <cell r="V84" t="str">
            <v xml:space="preserve"> 7B 3C</v>
          </cell>
          <cell r="W84" t="str">
            <v>U1000</v>
          </cell>
          <cell r="X84" t="str">
            <v xml:space="preserve"> 7B 3C</v>
          </cell>
          <cell r="Y84" t="str">
            <v>U1850Y</v>
          </cell>
          <cell r="Z84" t="str">
            <v>AAH</v>
          </cell>
          <cell r="AB84" t="str">
            <v>U</v>
          </cell>
          <cell r="AD84" t="str">
            <v>*</v>
          </cell>
          <cell r="AE84" t="str">
            <v>JBN49</v>
          </cell>
          <cell r="AF84" t="str">
            <v>020701</v>
          </cell>
          <cell r="AI84" t="str">
            <v>*</v>
          </cell>
          <cell r="AJ84" t="str">
            <v>T</v>
          </cell>
          <cell r="AT84" t="str">
            <v>A</v>
          </cell>
          <cell r="AU84" t="str">
            <v>0</v>
          </cell>
          <cell r="AV84" t="str">
            <v>3</v>
          </cell>
          <cell r="BE84" t="str">
            <v>ﾙ</v>
          </cell>
          <cell r="BF84" t="str">
            <v>0002</v>
          </cell>
          <cell r="BG84" t="str">
            <v>2J618</v>
          </cell>
        </row>
        <row r="85">
          <cell r="T85" t="str">
            <v>5Q</v>
          </cell>
          <cell r="U85" t="str">
            <v>040</v>
          </cell>
          <cell r="V85" t="str">
            <v xml:space="preserve"> 7B 1A</v>
          </cell>
          <cell r="W85" t="str">
            <v>U0085</v>
          </cell>
          <cell r="Y85" t="str">
            <v>U0085E</v>
          </cell>
          <cell r="Z85" t="str">
            <v>AAB</v>
          </cell>
          <cell r="AB85" t="str">
            <v>T</v>
          </cell>
          <cell r="AD85" t="str">
            <v>*</v>
          </cell>
          <cell r="AE85" t="str">
            <v>2J653</v>
          </cell>
          <cell r="AF85" t="str">
            <v>021223</v>
          </cell>
          <cell r="AI85" t="str">
            <v>*</v>
          </cell>
          <cell r="AJ85" t="str">
            <v>T</v>
          </cell>
          <cell r="AT85" t="str">
            <v>3</v>
          </cell>
          <cell r="AU85" t="str">
            <v>0</v>
          </cell>
          <cell r="AV85" t="str">
            <v>7</v>
          </cell>
          <cell r="BE85" t="str">
            <v>ﾙ</v>
          </cell>
          <cell r="BF85" t="str">
            <v>0004</v>
          </cell>
          <cell r="BG85" t="str">
            <v>S0974</v>
          </cell>
        </row>
        <row r="86">
          <cell r="T86" t="str">
            <v>5Q</v>
          </cell>
          <cell r="U86" t="str">
            <v>040</v>
          </cell>
          <cell r="V86" t="str">
            <v xml:space="preserve"> 7B 1A</v>
          </cell>
          <cell r="W86" t="str">
            <v>U0200</v>
          </cell>
          <cell r="Y86" t="str">
            <v>U0200E</v>
          </cell>
          <cell r="Z86" t="str">
            <v>AAG</v>
          </cell>
          <cell r="AB86" t="str">
            <v>T</v>
          </cell>
          <cell r="AD86" t="str">
            <v>*</v>
          </cell>
          <cell r="AE86" t="str">
            <v>2J653</v>
          </cell>
          <cell r="AF86" t="str">
            <v>021223</v>
          </cell>
          <cell r="AI86" t="str">
            <v>*</v>
          </cell>
          <cell r="AJ86" t="str">
            <v>T</v>
          </cell>
          <cell r="AT86" t="str">
            <v>G</v>
          </cell>
          <cell r="AU86" t="str">
            <v>5</v>
          </cell>
          <cell r="AV86" t="str">
            <v>7</v>
          </cell>
          <cell r="BE86" t="str">
            <v>E</v>
          </cell>
          <cell r="BF86" t="str">
            <v>0056</v>
          </cell>
          <cell r="BG86" t="str">
            <v>Z6456</v>
          </cell>
          <cell r="BH86" t="str">
            <v>5Q</v>
          </cell>
          <cell r="BI86" t="str">
            <v>020</v>
          </cell>
        </row>
        <row r="87">
          <cell r="T87" t="str">
            <v>5Q</v>
          </cell>
          <cell r="U87" t="str">
            <v>040</v>
          </cell>
          <cell r="V87" t="str">
            <v xml:space="preserve"> 7B 1A</v>
          </cell>
          <cell r="W87" t="str">
            <v>U4555</v>
          </cell>
          <cell r="Y87" t="str">
            <v>U4555E</v>
          </cell>
          <cell r="Z87" t="str">
            <v>AAB</v>
          </cell>
          <cell r="AB87" t="str">
            <v>T</v>
          </cell>
          <cell r="AD87" t="str">
            <v>*</v>
          </cell>
          <cell r="AE87" t="str">
            <v>2J653</v>
          </cell>
          <cell r="AF87" t="str">
            <v>021223</v>
          </cell>
          <cell r="AI87" t="str">
            <v>*</v>
          </cell>
          <cell r="AJ87" t="str">
            <v>T</v>
          </cell>
          <cell r="AT87" t="str">
            <v>A</v>
          </cell>
          <cell r="AU87" t="str">
            <v>0</v>
          </cell>
          <cell r="AV87" t="str">
            <v>3</v>
          </cell>
          <cell r="BE87" t="str">
            <v>ﾙ</v>
          </cell>
          <cell r="BF87" t="str">
            <v>0028</v>
          </cell>
        </row>
        <row r="88">
          <cell r="T88" t="str">
            <v>5Q</v>
          </cell>
          <cell r="U88" t="str">
            <v>040</v>
          </cell>
          <cell r="V88" t="str">
            <v xml:space="preserve"> 7B 1A</v>
          </cell>
          <cell r="W88" t="str">
            <v>U7000</v>
          </cell>
          <cell r="Y88" t="str">
            <v>U7000E</v>
          </cell>
          <cell r="Z88" t="str">
            <v>AAA</v>
          </cell>
          <cell r="AB88" t="str">
            <v>T</v>
          </cell>
          <cell r="AD88" t="str">
            <v>*</v>
          </cell>
          <cell r="AE88" t="str">
            <v>2J653</v>
          </cell>
          <cell r="AF88" t="str">
            <v>021223</v>
          </cell>
          <cell r="AI88" t="str">
            <v>*</v>
          </cell>
          <cell r="AJ88" t="str">
            <v>T</v>
          </cell>
          <cell r="AT88" t="str">
            <v>A</v>
          </cell>
          <cell r="AU88" t="str">
            <v>0</v>
          </cell>
          <cell r="AV88" t="str">
            <v>3</v>
          </cell>
          <cell r="BE88" t="str">
            <v>ﾙ</v>
          </cell>
          <cell r="BF88" t="str">
            <v>0005</v>
          </cell>
        </row>
        <row r="89">
          <cell r="T89" t="str">
            <v>5Q</v>
          </cell>
          <cell r="U89" t="str">
            <v>040</v>
          </cell>
          <cell r="V89" t="str">
            <v xml:space="preserve"> 7B 1D</v>
          </cell>
          <cell r="W89" t="str">
            <v>U7100</v>
          </cell>
          <cell r="Y89" t="str">
            <v>U7100E</v>
          </cell>
          <cell r="Z89" t="str">
            <v>AAC</v>
          </cell>
          <cell r="AB89" t="str">
            <v>T</v>
          </cell>
          <cell r="AD89" t="str">
            <v>*</v>
          </cell>
          <cell r="AE89" t="str">
            <v>2J653</v>
          </cell>
          <cell r="AF89" t="str">
            <v>021223</v>
          </cell>
          <cell r="AI89" t="str">
            <v>*</v>
          </cell>
          <cell r="AJ89" t="str">
            <v>T</v>
          </cell>
          <cell r="AT89" t="str">
            <v>H</v>
          </cell>
          <cell r="AU89" t="str">
            <v>5</v>
          </cell>
          <cell r="AV89" t="str">
            <v>8</v>
          </cell>
          <cell r="BE89" t="str">
            <v>ﾙ</v>
          </cell>
          <cell r="BF89" t="str">
            <v>0042</v>
          </cell>
          <cell r="BG89" t="str">
            <v>V PLA</v>
          </cell>
        </row>
        <row r="90">
          <cell r="T90" t="str">
            <v>5Q</v>
          </cell>
          <cell r="U90" t="str">
            <v>040</v>
          </cell>
          <cell r="V90" t="str">
            <v xml:space="preserve"> 7B 1D</v>
          </cell>
          <cell r="W90" t="str">
            <v>U7100</v>
          </cell>
          <cell r="X90" t="str">
            <v xml:space="preserve"> 7B 1D</v>
          </cell>
          <cell r="Y90" t="str">
            <v>U0452Y</v>
          </cell>
          <cell r="Z90" t="str">
            <v>AAC</v>
          </cell>
          <cell r="AB90" t="str">
            <v>T</v>
          </cell>
          <cell r="AD90" t="str">
            <v>*</v>
          </cell>
          <cell r="AE90" t="str">
            <v>2J619</v>
          </cell>
          <cell r="AF90" t="str">
            <v>000809</v>
          </cell>
          <cell r="AI90" t="str">
            <v>*</v>
          </cell>
          <cell r="AJ90" t="str">
            <v>T</v>
          </cell>
          <cell r="AT90" t="str">
            <v>H</v>
          </cell>
          <cell r="AU90" t="str">
            <v>5</v>
          </cell>
          <cell r="AV90" t="str">
            <v>8</v>
          </cell>
          <cell r="BE90" t="str">
            <v>1</v>
          </cell>
          <cell r="BF90" t="str">
            <v>0042</v>
          </cell>
          <cell r="BG90" t="str">
            <v>V PLA</v>
          </cell>
        </row>
        <row r="91">
          <cell r="T91" t="str">
            <v>5Q</v>
          </cell>
          <cell r="U91" t="str">
            <v>040</v>
          </cell>
          <cell r="V91" t="str">
            <v xml:space="preserve"> 7B 1D</v>
          </cell>
          <cell r="W91" t="str">
            <v>U7110</v>
          </cell>
          <cell r="Y91" t="str">
            <v>U7110E</v>
          </cell>
          <cell r="Z91" t="str">
            <v>AAG</v>
          </cell>
          <cell r="AB91" t="str">
            <v>T</v>
          </cell>
          <cell r="AD91" t="str">
            <v>*</v>
          </cell>
          <cell r="AE91" t="str">
            <v>2J653</v>
          </cell>
          <cell r="AF91" t="str">
            <v>021223</v>
          </cell>
          <cell r="AI91" t="str">
            <v>*</v>
          </cell>
          <cell r="AJ91" t="str">
            <v>T</v>
          </cell>
          <cell r="AT91" t="str">
            <v>2</v>
          </cell>
          <cell r="AU91" t="str">
            <v>0</v>
          </cell>
          <cell r="AV91" t="str">
            <v>7</v>
          </cell>
          <cell r="BE91" t="str">
            <v>ﾙ</v>
          </cell>
          <cell r="BF91" t="str">
            <v>0043</v>
          </cell>
          <cell r="BG91" t="str">
            <v>Z6400</v>
          </cell>
          <cell r="BH91" t="str">
            <v>5Q</v>
          </cell>
          <cell r="BI91" t="str">
            <v>020</v>
          </cell>
        </row>
        <row r="92">
          <cell r="T92" t="str">
            <v>5Q</v>
          </cell>
          <cell r="U92" t="str">
            <v>040</v>
          </cell>
          <cell r="V92" t="str">
            <v xml:space="preserve"> 7B 1D</v>
          </cell>
          <cell r="W92" t="str">
            <v>U7110</v>
          </cell>
          <cell r="X92" t="str">
            <v xml:space="preserve"> 7B 1D</v>
          </cell>
          <cell r="Y92" t="str">
            <v>U0470Y</v>
          </cell>
          <cell r="Z92" t="str">
            <v>AAJ</v>
          </cell>
          <cell r="AB92" t="str">
            <v>T</v>
          </cell>
          <cell r="AD92" t="str">
            <v>*</v>
          </cell>
          <cell r="AE92" t="str">
            <v>Z6400</v>
          </cell>
          <cell r="AF92" t="str">
            <v>011022</v>
          </cell>
          <cell r="AI92" t="str">
            <v>*</v>
          </cell>
          <cell r="AJ92" t="str">
            <v>T</v>
          </cell>
          <cell r="AT92" t="str">
            <v>H</v>
          </cell>
          <cell r="AU92" t="str">
            <v>5</v>
          </cell>
          <cell r="AV92" t="str">
            <v>8</v>
          </cell>
          <cell r="BE92" t="str">
            <v>ﾙ</v>
          </cell>
          <cell r="BF92" t="str">
            <v>0043</v>
          </cell>
          <cell r="BG92" t="str">
            <v>2J619</v>
          </cell>
        </row>
        <row r="93">
          <cell r="T93" t="str">
            <v>5Q</v>
          </cell>
          <cell r="U93" t="str">
            <v>040</v>
          </cell>
          <cell r="V93" t="str">
            <v xml:space="preserve"> 7B 1D</v>
          </cell>
          <cell r="W93" t="str">
            <v>U7130</v>
          </cell>
          <cell r="Y93" t="str">
            <v>U7130E</v>
          </cell>
          <cell r="Z93" t="str">
            <v>AAB</v>
          </cell>
          <cell r="AB93" t="str">
            <v>T</v>
          </cell>
          <cell r="AD93" t="str">
            <v>*</v>
          </cell>
          <cell r="AE93" t="str">
            <v>2J653</v>
          </cell>
          <cell r="AF93" t="str">
            <v>021223</v>
          </cell>
          <cell r="AI93" t="str">
            <v>*</v>
          </cell>
          <cell r="AJ93" t="str">
            <v>T</v>
          </cell>
          <cell r="AT93" t="str">
            <v>2</v>
          </cell>
          <cell r="AU93" t="str">
            <v>0</v>
          </cell>
          <cell r="AV93" t="str">
            <v>7</v>
          </cell>
          <cell r="BE93" t="str">
            <v>ﾙ</v>
          </cell>
          <cell r="BF93" t="str">
            <v>0015</v>
          </cell>
          <cell r="BG93" t="str">
            <v>2J619</v>
          </cell>
          <cell r="BH93" t="str">
            <v>5Q</v>
          </cell>
          <cell r="BI93" t="str">
            <v>020</v>
          </cell>
        </row>
        <row r="94">
          <cell r="T94" t="str">
            <v>5Q</v>
          </cell>
          <cell r="U94" t="str">
            <v>040</v>
          </cell>
          <cell r="V94" t="str">
            <v xml:space="preserve"> 7B 1D</v>
          </cell>
          <cell r="W94" t="str">
            <v>U7130</v>
          </cell>
          <cell r="X94" t="str">
            <v xml:space="preserve"> 7B 1D</v>
          </cell>
          <cell r="Y94" t="str">
            <v>U0520Y</v>
          </cell>
          <cell r="Z94" t="str">
            <v>AAB</v>
          </cell>
          <cell r="AB94" t="str">
            <v>T</v>
          </cell>
          <cell r="AD94" t="str">
            <v>*</v>
          </cell>
          <cell r="AE94" t="str">
            <v>2J619</v>
          </cell>
          <cell r="AF94" t="str">
            <v>000809</v>
          </cell>
          <cell r="AI94" t="str">
            <v>*</v>
          </cell>
          <cell r="AJ94" t="str">
            <v>T</v>
          </cell>
          <cell r="AT94" t="str">
            <v>B</v>
          </cell>
          <cell r="AU94" t="str">
            <v>5</v>
          </cell>
          <cell r="AV94" t="str">
            <v>3</v>
          </cell>
          <cell r="BE94" t="str">
            <v>ﾙ</v>
          </cell>
          <cell r="BF94" t="str">
            <v>0015</v>
          </cell>
          <cell r="BG94" t="str">
            <v>2J619</v>
          </cell>
        </row>
        <row r="95">
          <cell r="T95" t="str">
            <v>5Q</v>
          </cell>
          <cell r="U95" t="str">
            <v>040</v>
          </cell>
          <cell r="V95" t="str">
            <v xml:space="preserve"> 7B 1D</v>
          </cell>
          <cell r="W95" t="str">
            <v>U7270</v>
          </cell>
          <cell r="Y95" t="str">
            <v>U7270E</v>
          </cell>
          <cell r="Z95" t="str">
            <v>AAC</v>
          </cell>
          <cell r="AB95" t="str">
            <v>T</v>
          </cell>
          <cell r="AD95" t="str">
            <v>*</v>
          </cell>
          <cell r="AE95" t="str">
            <v>2J653</v>
          </cell>
          <cell r="AF95" t="str">
            <v>021223</v>
          </cell>
          <cell r="AI95" t="str">
            <v>*</v>
          </cell>
          <cell r="AJ95" t="str">
            <v>T</v>
          </cell>
          <cell r="AT95" t="str">
            <v>B</v>
          </cell>
          <cell r="AU95" t="str">
            <v>5</v>
          </cell>
          <cell r="AV95" t="str">
            <v>3</v>
          </cell>
          <cell r="BE95" t="str">
            <v>ﾙ</v>
          </cell>
          <cell r="BF95" t="str">
            <v>0046</v>
          </cell>
          <cell r="BG95" t="str">
            <v>V PLA</v>
          </cell>
        </row>
        <row r="96">
          <cell r="T96" t="str">
            <v>5Q</v>
          </cell>
          <cell r="U96" t="str">
            <v>040</v>
          </cell>
          <cell r="V96" t="str">
            <v xml:space="preserve"> 7B 1D</v>
          </cell>
          <cell r="W96" t="str">
            <v>U7320</v>
          </cell>
          <cell r="Y96" t="str">
            <v>U7320E</v>
          </cell>
          <cell r="Z96" t="str">
            <v>AAA</v>
          </cell>
          <cell r="AB96" t="str">
            <v>T</v>
          </cell>
          <cell r="AD96" t="str">
            <v>*</v>
          </cell>
          <cell r="AE96" t="str">
            <v>2J653</v>
          </cell>
          <cell r="AF96" t="str">
            <v>021223</v>
          </cell>
          <cell r="AI96" t="str">
            <v>*</v>
          </cell>
          <cell r="AJ96" t="str">
            <v>T</v>
          </cell>
          <cell r="AT96" t="str">
            <v>2</v>
          </cell>
          <cell r="AU96" t="str">
            <v>0</v>
          </cell>
          <cell r="AV96" t="str">
            <v>7</v>
          </cell>
          <cell r="BE96" t="str">
            <v>ﾙ</v>
          </cell>
          <cell r="BF96" t="str">
            <v>0020</v>
          </cell>
          <cell r="BG96" t="str">
            <v>2J619</v>
          </cell>
          <cell r="BH96" t="str">
            <v>5Q</v>
          </cell>
          <cell r="BI96" t="str">
            <v>020</v>
          </cell>
        </row>
        <row r="97">
          <cell r="T97" t="str">
            <v>5Q</v>
          </cell>
          <cell r="U97" t="str">
            <v>040</v>
          </cell>
          <cell r="V97" t="str">
            <v xml:space="preserve"> 7B 1D</v>
          </cell>
          <cell r="W97" t="str">
            <v>U7320</v>
          </cell>
          <cell r="Y97" t="str">
            <v>U7320E</v>
          </cell>
          <cell r="Z97" t="str">
            <v>AAB</v>
          </cell>
          <cell r="AB97" t="str">
            <v>T</v>
          </cell>
          <cell r="AD97" t="str">
            <v>*</v>
          </cell>
          <cell r="AE97" t="str">
            <v>2J653</v>
          </cell>
          <cell r="AF97" t="str">
            <v>021223</v>
          </cell>
          <cell r="AI97" t="str">
            <v>*</v>
          </cell>
          <cell r="AJ97" t="str">
            <v>T</v>
          </cell>
          <cell r="AT97" t="str">
            <v>2</v>
          </cell>
          <cell r="AU97" t="str">
            <v>0</v>
          </cell>
          <cell r="AV97" t="str">
            <v>7</v>
          </cell>
          <cell r="BE97" t="str">
            <v>ﾙ</v>
          </cell>
          <cell r="BF97" t="str">
            <v>0023</v>
          </cell>
          <cell r="BG97" t="str">
            <v>2J619</v>
          </cell>
          <cell r="BH97" t="str">
            <v>5Q</v>
          </cell>
          <cell r="BI97" t="str">
            <v>020</v>
          </cell>
        </row>
        <row r="98">
          <cell r="T98" t="str">
            <v>5Q</v>
          </cell>
          <cell r="U98" t="str">
            <v>040</v>
          </cell>
          <cell r="V98" t="str">
            <v xml:space="preserve"> 7B 1D</v>
          </cell>
          <cell r="W98" t="str">
            <v>U7320</v>
          </cell>
          <cell r="X98" t="str">
            <v xml:space="preserve"> 7B 1D</v>
          </cell>
          <cell r="Y98" t="str">
            <v>U1581Y</v>
          </cell>
          <cell r="Z98" t="str">
            <v>AAA</v>
          </cell>
          <cell r="AB98" t="str">
            <v>T</v>
          </cell>
          <cell r="AD98" t="str">
            <v>*</v>
          </cell>
          <cell r="AE98" t="str">
            <v>2J619</v>
          </cell>
          <cell r="AF98" t="str">
            <v>000809</v>
          </cell>
          <cell r="AI98" t="str">
            <v>*</v>
          </cell>
          <cell r="AJ98" t="str">
            <v>T</v>
          </cell>
          <cell r="AT98" t="str">
            <v>H</v>
          </cell>
          <cell r="AU98" t="str">
            <v>5</v>
          </cell>
          <cell r="AV98" t="str">
            <v>3</v>
          </cell>
          <cell r="BE98" t="str">
            <v>1</v>
          </cell>
          <cell r="BF98" t="str">
            <v>0020</v>
          </cell>
          <cell r="BG98" t="str">
            <v>KOUBA</v>
          </cell>
        </row>
        <row r="99">
          <cell r="T99" t="str">
            <v>5Q</v>
          </cell>
          <cell r="U99" t="str">
            <v>040</v>
          </cell>
          <cell r="V99" t="str">
            <v xml:space="preserve"> 7B 1D</v>
          </cell>
          <cell r="W99" t="str">
            <v>U7320</v>
          </cell>
          <cell r="X99" t="str">
            <v xml:space="preserve"> 7B 1D</v>
          </cell>
          <cell r="Y99" t="str">
            <v>U1583Y</v>
          </cell>
          <cell r="Z99" t="str">
            <v>AAG</v>
          </cell>
          <cell r="AB99" t="str">
            <v>T</v>
          </cell>
          <cell r="AD99" t="str">
            <v>*</v>
          </cell>
          <cell r="AE99" t="str">
            <v>Z6336</v>
          </cell>
          <cell r="AF99" t="str">
            <v>001211</v>
          </cell>
          <cell r="AI99" t="str">
            <v>*</v>
          </cell>
          <cell r="AJ99" t="str">
            <v>T</v>
          </cell>
          <cell r="AT99" t="str">
            <v>H</v>
          </cell>
          <cell r="AU99" t="str">
            <v>5</v>
          </cell>
          <cell r="AV99" t="str">
            <v>8</v>
          </cell>
          <cell r="BE99" t="str">
            <v>1</v>
          </cell>
          <cell r="BF99" t="str">
            <v>0021</v>
          </cell>
          <cell r="BG99" t="str">
            <v>V PLA</v>
          </cell>
        </row>
        <row r="100">
          <cell r="T100" t="str">
            <v>5Q</v>
          </cell>
          <cell r="U100" t="str">
            <v>040</v>
          </cell>
          <cell r="V100" t="str">
            <v xml:space="preserve"> 7B 1D</v>
          </cell>
          <cell r="W100" t="str">
            <v>U7320</v>
          </cell>
          <cell r="X100" t="str">
            <v xml:space="preserve"> 7B 1D</v>
          </cell>
          <cell r="Y100" t="str">
            <v>U1581Y</v>
          </cell>
          <cell r="Z100" t="str">
            <v>AAC</v>
          </cell>
          <cell r="AB100" t="str">
            <v>T</v>
          </cell>
          <cell r="AD100" t="str">
            <v>*</v>
          </cell>
          <cell r="AE100" t="str">
            <v>2J619</v>
          </cell>
          <cell r="AF100" t="str">
            <v>000809</v>
          </cell>
          <cell r="AI100" t="str">
            <v>*</v>
          </cell>
          <cell r="AJ100" t="str">
            <v>T</v>
          </cell>
          <cell r="AT100" t="str">
            <v>H</v>
          </cell>
          <cell r="AU100" t="str">
            <v>5</v>
          </cell>
          <cell r="AV100" t="str">
            <v>3</v>
          </cell>
          <cell r="BE100" t="str">
            <v>1</v>
          </cell>
          <cell r="BF100" t="str">
            <v>0021</v>
          </cell>
          <cell r="BG100" t="str">
            <v>KOUBA</v>
          </cell>
        </row>
        <row r="101">
          <cell r="T101" t="str">
            <v>5Q</v>
          </cell>
          <cell r="U101" t="str">
            <v>040</v>
          </cell>
          <cell r="V101" t="str">
            <v xml:space="preserve"> 7B 1D</v>
          </cell>
          <cell r="W101" t="str">
            <v>U7320</v>
          </cell>
          <cell r="X101" t="str">
            <v xml:space="preserve"> 7B 1D</v>
          </cell>
          <cell r="Y101" t="str">
            <v>U1583Y</v>
          </cell>
          <cell r="Z101" t="str">
            <v>AAE</v>
          </cell>
          <cell r="AB101" t="str">
            <v>T</v>
          </cell>
          <cell r="AD101" t="str">
            <v>*</v>
          </cell>
          <cell r="AE101" t="str">
            <v>Z6336</v>
          </cell>
          <cell r="AF101" t="str">
            <v>001211</v>
          </cell>
          <cell r="AI101" t="str">
            <v>*</v>
          </cell>
          <cell r="AJ101" t="str">
            <v>T</v>
          </cell>
          <cell r="AT101" t="str">
            <v>H</v>
          </cell>
          <cell r="AU101" t="str">
            <v>5</v>
          </cell>
          <cell r="AV101" t="str">
            <v>8</v>
          </cell>
          <cell r="BE101" t="str">
            <v>1</v>
          </cell>
          <cell r="BF101" t="str">
            <v>0020</v>
          </cell>
          <cell r="BG101" t="str">
            <v>V PLA</v>
          </cell>
        </row>
        <row r="102">
          <cell r="T102" t="str">
            <v>5Q</v>
          </cell>
          <cell r="U102" t="str">
            <v>040</v>
          </cell>
          <cell r="V102" t="str">
            <v xml:space="preserve"> 7B 1D</v>
          </cell>
          <cell r="W102" t="str">
            <v>U7320</v>
          </cell>
          <cell r="X102" t="str">
            <v xml:space="preserve"> 7B 1D</v>
          </cell>
          <cell r="Y102" t="str">
            <v>U1583Y</v>
          </cell>
          <cell r="Z102" t="str">
            <v>AAF</v>
          </cell>
          <cell r="AB102" t="str">
            <v>T</v>
          </cell>
          <cell r="AD102" t="str">
            <v>*</v>
          </cell>
          <cell r="AE102" t="str">
            <v>Z6336</v>
          </cell>
          <cell r="AF102" t="str">
            <v>001211</v>
          </cell>
          <cell r="AI102" t="str">
            <v>*</v>
          </cell>
          <cell r="AJ102" t="str">
            <v>T</v>
          </cell>
          <cell r="AT102" t="str">
            <v>H</v>
          </cell>
          <cell r="AU102" t="str">
            <v>5</v>
          </cell>
          <cell r="AV102" t="str">
            <v>8</v>
          </cell>
          <cell r="BE102" t="str">
            <v>1</v>
          </cell>
          <cell r="BF102" t="str">
            <v>0023</v>
          </cell>
          <cell r="BG102" t="str">
            <v>V PLA</v>
          </cell>
        </row>
        <row r="103">
          <cell r="T103" t="str">
            <v>5Q</v>
          </cell>
          <cell r="U103" t="str">
            <v>040</v>
          </cell>
          <cell r="V103" t="str">
            <v xml:space="preserve"> 7B 1D</v>
          </cell>
          <cell r="W103" t="str">
            <v>U7480</v>
          </cell>
          <cell r="Y103" t="str">
            <v>U7480E</v>
          </cell>
          <cell r="Z103" t="str">
            <v>AAA</v>
          </cell>
          <cell r="AB103" t="str">
            <v>T</v>
          </cell>
          <cell r="AD103" t="str">
            <v>*</v>
          </cell>
          <cell r="AE103" t="str">
            <v>2J653</v>
          </cell>
          <cell r="AF103" t="str">
            <v>021223</v>
          </cell>
          <cell r="AI103" t="str">
            <v>*</v>
          </cell>
          <cell r="AJ103" t="str">
            <v>T</v>
          </cell>
          <cell r="AT103" t="str">
            <v>A</v>
          </cell>
          <cell r="AU103" t="str">
            <v>0</v>
          </cell>
          <cell r="AV103" t="str">
            <v>3</v>
          </cell>
          <cell r="BE103" t="str">
            <v>ﾙ</v>
          </cell>
          <cell r="BF103" t="str">
            <v>0005</v>
          </cell>
        </row>
        <row r="104">
          <cell r="T104" t="str">
            <v>5Q</v>
          </cell>
          <cell r="U104" t="str">
            <v>040</v>
          </cell>
          <cell r="V104" t="str">
            <v xml:space="preserve"> 7B 1D</v>
          </cell>
          <cell r="W104" t="str">
            <v>U7510</v>
          </cell>
          <cell r="Y104" t="str">
            <v>U7510E</v>
          </cell>
          <cell r="Z104" t="str">
            <v>AAA</v>
          </cell>
          <cell r="AB104" t="str">
            <v>T</v>
          </cell>
          <cell r="AD104" t="str">
            <v>*</v>
          </cell>
          <cell r="AE104" t="str">
            <v>2J653</v>
          </cell>
          <cell r="AF104" t="str">
            <v>021223</v>
          </cell>
          <cell r="AI104" t="str">
            <v>*</v>
          </cell>
          <cell r="AJ104" t="str">
            <v>T</v>
          </cell>
          <cell r="AT104" t="str">
            <v>A</v>
          </cell>
          <cell r="AU104" t="str">
            <v>0</v>
          </cell>
          <cell r="AV104" t="str">
            <v>3</v>
          </cell>
          <cell r="BE104" t="str">
            <v>ﾙ</v>
          </cell>
          <cell r="BF104" t="str">
            <v>0005</v>
          </cell>
          <cell r="BG104" t="str">
            <v>2J619</v>
          </cell>
          <cell r="BH104" t="str">
            <v>5Q</v>
          </cell>
          <cell r="BI104" t="str">
            <v>020</v>
          </cell>
        </row>
        <row r="105">
          <cell r="T105" t="str">
            <v>5Q</v>
          </cell>
          <cell r="U105" t="str">
            <v>040</v>
          </cell>
          <cell r="V105" t="str">
            <v xml:space="preserve"> 7B 1D</v>
          </cell>
          <cell r="W105" t="str">
            <v>U7510</v>
          </cell>
          <cell r="Y105" t="str">
            <v>U7510E</v>
          </cell>
          <cell r="Z105" t="str">
            <v>AAB</v>
          </cell>
          <cell r="AB105" t="str">
            <v>T</v>
          </cell>
          <cell r="AD105" t="str">
            <v>*</v>
          </cell>
          <cell r="AE105" t="str">
            <v>2J653</v>
          </cell>
          <cell r="AF105" t="str">
            <v>021223</v>
          </cell>
          <cell r="AI105" t="str">
            <v>*</v>
          </cell>
          <cell r="AJ105" t="str">
            <v>T</v>
          </cell>
          <cell r="AT105" t="str">
            <v>A</v>
          </cell>
          <cell r="AU105" t="str">
            <v>0</v>
          </cell>
          <cell r="AV105" t="str">
            <v>3</v>
          </cell>
          <cell r="BE105" t="str">
            <v>ﾙ</v>
          </cell>
          <cell r="BF105" t="str">
            <v>0005</v>
          </cell>
          <cell r="BG105" t="str">
            <v>2J619</v>
          </cell>
          <cell r="BH105" t="str">
            <v>5Q</v>
          </cell>
          <cell r="BI105" t="str">
            <v>020</v>
          </cell>
        </row>
        <row r="106">
          <cell r="T106" t="str">
            <v>5Q</v>
          </cell>
          <cell r="U106" t="str">
            <v>040</v>
          </cell>
          <cell r="V106" t="str">
            <v xml:space="preserve"> 7B 1D</v>
          </cell>
          <cell r="W106" t="str">
            <v>U7510</v>
          </cell>
          <cell r="Y106" t="str">
            <v>U7510E</v>
          </cell>
          <cell r="Z106" t="str">
            <v>AAC</v>
          </cell>
          <cell r="AB106" t="str">
            <v>T</v>
          </cell>
          <cell r="AD106" t="str">
            <v>*</v>
          </cell>
          <cell r="AE106" t="str">
            <v>2J653</v>
          </cell>
          <cell r="AF106" t="str">
            <v>021223</v>
          </cell>
          <cell r="AI106" t="str">
            <v>*</v>
          </cell>
          <cell r="AJ106" t="str">
            <v>T</v>
          </cell>
          <cell r="AT106" t="str">
            <v>A</v>
          </cell>
          <cell r="AU106" t="str">
            <v>0</v>
          </cell>
          <cell r="AV106" t="str">
            <v>3</v>
          </cell>
          <cell r="BE106" t="str">
            <v>ﾙ</v>
          </cell>
          <cell r="BF106" t="str">
            <v>0005</v>
          </cell>
          <cell r="BG106" t="str">
            <v>2J619</v>
          </cell>
          <cell r="BH106" t="str">
            <v>5Q</v>
          </cell>
          <cell r="BI106" t="str">
            <v>020</v>
          </cell>
        </row>
        <row r="107">
          <cell r="T107" t="str">
            <v>5Q</v>
          </cell>
          <cell r="U107" t="str">
            <v>040</v>
          </cell>
          <cell r="V107" t="str">
            <v xml:space="preserve"> 7B 1D</v>
          </cell>
          <cell r="W107" t="str">
            <v>U7510</v>
          </cell>
          <cell r="Y107" t="str">
            <v>U7510E</v>
          </cell>
          <cell r="Z107" t="str">
            <v>AAD</v>
          </cell>
          <cell r="AB107" t="str">
            <v>T</v>
          </cell>
          <cell r="AD107" t="str">
            <v>*</v>
          </cell>
          <cell r="AE107" t="str">
            <v>2J653</v>
          </cell>
          <cell r="AF107" t="str">
            <v>021223</v>
          </cell>
          <cell r="AI107" t="str">
            <v>*</v>
          </cell>
          <cell r="AJ107" t="str">
            <v>T</v>
          </cell>
          <cell r="AT107" t="str">
            <v>A</v>
          </cell>
          <cell r="AU107" t="str">
            <v>0</v>
          </cell>
          <cell r="AV107" t="str">
            <v>3</v>
          </cell>
          <cell r="BE107" t="str">
            <v>ﾙ</v>
          </cell>
          <cell r="BF107" t="str">
            <v>0005</v>
          </cell>
          <cell r="BG107" t="str">
            <v>2J619</v>
          </cell>
          <cell r="BH107" t="str">
            <v>5Q</v>
          </cell>
          <cell r="BI107" t="str">
            <v>020</v>
          </cell>
        </row>
        <row r="108">
          <cell r="T108" t="str">
            <v>5Q</v>
          </cell>
          <cell r="U108" t="str">
            <v>040</v>
          </cell>
          <cell r="V108" t="str">
            <v xml:space="preserve"> 7B 1D</v>
          </cell>
          <cell r="W108" t="str">
            <v>U7510</v>
          </cell>
          <cell r="Y108" t="str">
            <v>U7510E</v>
          </cell>
          <cell r="Z108" t="str">
            <v>AAE</v>
          </cell>
          <cell r="AB108" t="str">
            <v>T</v>
          </cell>
          <cell r="AD108" t="str">
            <v>*</v>
          </cell>
          <cell r="AE108" t="str">
            <v>2J653</v>
          </cell>
          <cell r="AF108" t="str">
            <v>021223</v>
          </cell>
          <cell r="AI108" t="str">
            <v>*</v>
          </cell>
          <cell r="AJ108" t="str">
            <v>T</v>
          </cell>
          <cell r="AT108" t="str">
            <v>A</v>
          </cell>
          <cell r="AU108" t="str">
            <v>0</v>
          </cell>
          <cell r="AV108" t="str">
            <v>3</v>
          </cell>
          <cell r="BE108" t="str">
            <v>ﾙ</v>
          </cell>
          <cell r="BF108" t="str">
            <v>0005</v>
          </cell>
          <cell r="BG108" t="str">
            <v>2J619</v>
          </cell>
          <cell r="BH108" t="str">
            <v>5Q</v>
          </cell>
          <cell r="BI108" t="str">
            <v>020</v>
          </cell>
        </row>
        <row r="109">
          <cell r="T109" t="str">
            <v>5Q</v>
          </cell>
          <cell r="U109" t="str">
            <v>040</v>
          </cell>
          <cell r="V109" t="str">
            <v xml:space="preserve"> 7B 1D</v>
          </cell>
          <cell r="W109" t="str">
            <v>U7510</v>
          </cell>
          <cell r="Y109" t="str">
            <v>U7510E</v>
          </cell>
          <cell r="Z109" t="str">
            <v>AAF</v>
          </cell>
          <cell r="AB109" t="str">
            <v>T</v>
          </cell>
          <cell r="AD109" t="str">
            <v>*</v>
          </cell>
          <cell r="AE109" t="str">
            <v>2J653</v>
          </cell>
          <cell r="AF109" t="str">
            <v>021223</v>
          </cell>
          <cell r="AI109" t="str">
            <v>*</v>
          </cell>
          <cell r="AJ109" t="str">
            <v>T</v>
          </cell>
          <cell r="AT109" t="str">
            <v>A</v>
          </cell>
          <cell r="AU109" t="str">
            <v>0</v>
          </cell>
          <cell r="AV109" t="str">
            <v>3</v>
          </cell>
          <cell r="BE109" t="str">
            <v>ﾙ</v>
          </cell>
          <cell r="BF109" t="str">
            <v>0005</v>
          </cell>
          <cell r="BG109" t="str">
            <v>2J619</v>
          </cell>
          <cell r="BH109" t="str">
            <v>5Q</v>
          </cell>
          <cell r="BI109" t="str">
            <v>020</v>
          </cell>
        </row>
        <row r="110">
          <cell r="T110" t="str">
            <v>5Q</v>
          </cell>
          <cell r="U110" t="str">
            <v>040</v>
          </cell>
          <cell r="V110" t="str">
            <v xml:space="preserve"> 7B 1D</v>
          </cell>
          <cell r="W110" t="str">
            <v>U7510</v>
          </cell>
          <cell r="Y110" t="str">
            <v>U7510E</v>
          </cell>
          <cell r="Z110" t="str">
            <v>AAG</v>
          </cell>
          <cell r="AB110" t="str">
            <v>T</v>
          </cell>
          <cell r="AD110" t="str">
            <v>*</v>
          </cell>
          <cell r="AE110" t="str">
            <v>2J653</v>
          </cell>
          <cell r="AF110" t="str">
            <v>021223</v>
          </cell>
          <cell r="AI110" t="str">
            <v>*</v>
          </cell>
          <cell r="AJ110" t="str">
            <v>T</v>
          </cell>
          <cell r="AT110" t="str">
            <v>A</v>
          </cell>
          <cell r="AU110" t="str">
            <v>0</v>
          </cell>
          <cell r="AV110" t="str">
            <v>3</v>
          </cell>
          <cell r="BE110" t="str">
            <v>ﾙ</v>
          </cell>
          <cell r="BF110" t="str">
            <v>0005</v>
          </cell>
          <cell r="BG110" t="str">
            <v>2J619</v>
          </cell>
          <cell r="BH110" t="str">
            <v>5Q</v>
          </cell>
          <cell r="BI110" t="str">
            <v>020</v>
          </cell>
        </row>
        <row r="111">
          <cell r="T111" t="str">
            <v>5Q</v>
          </cell>
          <cell r="U111" t="str">
            <v>040</v>
          </cell>
          <cell r="V111" t="str">
            <v xml:space="preserve"> 7B 1D</v>
          </cell>
          <cell r="W111" t="str">
            <v>U7510</v>
          </cell>
          <cell r="Y111" t="str">
            <v>U7510E</v>
          </cell>
          <cell r="Z111" t="str">
            <v>AAH</v>
          </cell>
          <cell r="AB111" t="str">
            <v>T</v>
          </cell>
          <cell r="AD111" t="str">
            <v>*</v>
          </cell>
          <cell r="AE111" t="str">
            <v>2J653</v>
          </cell>
          <cell r="AF111" t="str">
            <v>021223</v>
          </cell>
          <cell r="AI111" t="str">
            <v>*</v>
          </cell>
          <cell r="AJ111" t="str">
            <v>T</v>
          </cell>
          <cell r="AT111" t="str">
            <v>A</v>
          </cell>
          <cell r="AU111" t="str">
            <v>0</v>
          </cell>
          <cell r="AV111" t="str">
            <v>3</v>
          </cell>
          <cell r="BE111" t="str">
            <v>ﾙ</v>
          </cell>
          <cell r="BF111" t="str">
            <v>0005</v>
          </cell>
          <cell r="BG111" t="str">
            <v>2J619</v>
          </cell>
          <cell r="BH111" t="str">
            <v>5Q</v>
          </cell>
          <cell r="BI111" t="str">
            <v>020</v>
          </cell>
        </row>
        <row r="112">
          <cell r="T112" t="str">
            <v>5Q</v>
          </cell>
          <cell r="U112" t="str">
            <v>040</v>
          </cell>
          <cell r="V112" t="str">
            <v xml:space="preserve"> 7B 1D</v>
          </cell>
          <cell r="W112" t="str">
            <v>U7510</v>
          </cell>
          <cell r="Y112" t="str">
            <v>U7510E</v>
          </cell>
          <cell r="Z112" t="str">
            <v>AAJ</v>
          </cell>
          <cell r="AB112" t="str">
            <v>T</v>
          </cell>
          <cell r="AD112" t="str">
            <v>*</v>
          </cell>
          <cell r="AE112" t="str">
            <v>2J653</v>
          </cell>
          <cell r="AF112" t="str">
            <v>021223</v>
          </cell>
          <cell r="AI112" t="str">
            <v>*</v>
          </cell>
          <cell r="AJ112" t="str">
            <v>T</v>
          </cell>
          <cell r="AT112" t="str">
            <v>A</v>
          </cell>
          <cell r="AU112" t="str">
            <v>0</v>
          </cell>
          <cell r="AV112" t="str">
            <v>3</v>
          </cell>
          <cell r="BE112" t="str">
            <v>ﾙ</v>
          </cell>
          <cell r="BF112" t="str">
            <v>0005</v>
          </cell>
          <cell r="BG112" t="str">
            <v>2J619</v>
          </cell>
          <cell r="BH112" t="str">
            <v>5Q</v>
          </cell>
          <cell r="BI112" t="str">
            <v>020</v>
          </cell>
        </row>
        <row r="113">
          <cell r="T113" t="str">
            <v>5Q</v>
          </cell>
          <cell r="U113" t="str">
            <v>040</v>
          </cell>
          <cell r="V113" t="str">
            <v xml:space="preserve"> 7B 1D</v>
          </cell>
          <cell r="W113" t="str">
            <v>U7510</v>
          </cell>
          <cell r="Y113" t="str">
            <v>U7510E</v>
          </cell>
          <cell r="Z113" t="str">
            <v>AAK</v>
          </cell>
          <cell r="AB113" t="str">
            <v>T</v>
          </cell>
          <cell r="AD113" t="str">
            <v>*</v>
          </cell>
          <cell r="AE113" t="str">
            <v>2J653</v>
          </cell>
          <cell r="AF113" t="str">
            <v>021223</v>
          </cell>
          <cell r="AI113" t="str">
            <v>*</v>
          </cell>
          <cell r="AJ113" t="str">
            <v>T</v>
          </cell>
          <cell r="AT113" t="str">
            <v>A</v>
          </cell>
          <cell r="AU113" t="str">
            <v>0</v>
          </cell>
          <cell r="AV113" t="str">
            <v>3</v>
          </cell>
          <cell r="BE113" t="str">
            <v>ﾙ</v>
          </cell>
          <cell r="BF113" t="str">
            <v>0005</v>
          </cell>
          <cell r="BG113" t="str">
            <v>2J619</v>
          </cell>
          <cell r="BH113" t="str">
            <v>5Q</v>
          </cell>
          <cell r="BI113" t="str">
            <v>020</v>
          </cell>
        </row>
        <row r="114">
          <cell r="T114" t="str">
            <v>5Q</v>
          </cell>
          <cell r="U114" t="str">
            <v>040</v>
          </cell>
          <cell r="V114" t="str">
            <v xml:space="preserve"> 7B 1D</v>
          </cell>
          <cell r="W114" t="str">
            <v>U7350</v>
          </cell>
          <cell r="Y114" t="str">
            <v>U7350E</v>
          </cell>
          <cell r="Z114" t="str">
            <v>AAB</v>
          </cell>
          <cell r="AB114" t="str">
            <v>T</v>
          </cell>
          <cell r="AD114" t="str">
            <v>*</v>
          </cell>
          <cell r="AE114" t="str">
            <v>2J653</v>
          </cell>
          <cell r="AF114" t="str">
            <v>021223</v>
          </cell>
          <cell r="AI114" t="str">
            <v>*</v>
          </cell>
          <cell r="AJ114" t="str">
            <v>T</v>
          </cell>
          <cell r="AT114" t="str">
            <v>A</v>
          </cell>
          <cell r="AU114" t="str">
            <v>0</v>
          </cell>
          <cell r="AV114" t="str">
            <v>3</v>
          </cell>
          <cell r="BE114" t="str">
            <v>1</v>
          </cell>
          <cell r="BF114" t="str">
            <v>0005</v>
          </cell>
          <cell r="BG114" t="str">
            <v>JAC35</v>
          </cell>
          <cell r="BH114" t="str">
            <v>5Q</v>
          </cell>
          <cell r="BI114" t="str">
            <v>020</v>
          </cell>
        </row>
        <row r="115">
          <cell r="T115" t="str">
            <v>5Q</v>
          </cell>
          <cell r="U115" t="str">
            <v>040</v>
          </cell>
          <cell r="V115" t="str">
            <v xml:space="preserve"> 7B 1D</v>
          </cell>
          <cell r="W115" t="str">
            <v>U7000</v>
          </cell>
          <cell r="Y115" t="str">
            <v>U7000E</v>
          </cell>
          <cell r="Z115" t="str">
            <v>AAF</v>
          </cell>
          <cell r="AB115" t="str">
            <v>T</v>
          </cell>
          <cell r="AD115" t="str">
            <v>*</v>
          </cell>
          <cell r="AE115" t="str">
            <v>2J653</v>
          </cell>
          <cell r="AF115" t="str">
            <v>021223</v>
          </cell>
          <cell r="AI115" t="str">
            <v>*</v>
          </cell>
          <cell r="AJ115" t="str">
            <v>T</v>
          </cell>
          <cell r="AT115" t="str">
            <v>2</v>
          </cell>
          <cell r="AU115" t="str">
            <v>0</v>
          </cell>
          <cell r="AV115" t="str">
            <v>7</v>
          </cell>
          <cell r="BE115" t="str">
            <v>ﾙ</v>
          </cell>
          <cell r="BF115" t="str">
            <v>0040</v>
          </cell>
          <cell r="BG115" t="str">
            <v>Z6330</v>
          </cell>
          <cell r="BH115" t="str">
            <v>5Q</v>
          </cell>
          <cell r="BI115" t="str">
            <v>020</v>
          </cell>
        </row>
        <row r="116">
          <cell r="T116" t="str">
            <v>5Q</v>
          </cell>
          <cell r="U116" t="str">
            <v>040</v>
          </cell>
          <cell r="V116" t="str">
            <v xml:space="preserve"> 7B 1D</v>
          </cell>
          <cell r="W116" t="str">
            <v>U7000</v>
          </cell>
          <cell r="X116" t="str">
            <v xml:space="preserve"> 7B 1D</v>
          </cell>
          <cell r="Y116" t="str">
            <v>U0140Y</v>
          </cell>
          <cell r="Z116" t="str">
            <v>AAF</v>
          </cell>
          <cell r="AB116" t="str">
            <v>T</v>
          </cell>
          <cell r="AD116" t="str">
            <v>*</v>
          </cell>
          <cell r="AE116" t="str">
            <v>Z6330</v>
          </cell>
          <cell r="AF116" t="str">
            <v>001218</v>
          </cell>
          <cell r="AI116" t="str">
            <v>*</v>
          </cell>
          <cell r="AJ116" t="str">
            <v>T</v>
          </cell>
          <cell r="AT116" t="str">
            <v>B</v>
          </cell>
          <cell r="AU116" t="str">
            <v>5</v>
          </cell>
          <cell r="AV116" t="str">
            <v>3</v>
          </cell>
          <cell r="BE116" t="str">
            <v>ﾙ</v>
          </cell>
          <cell r="BF116" t="str">
            <v>0040</v>
          </cell>
          <cell r="BG116" t="str">
            <v>Z6330</v>
          </cell>
        </row>
        <row r="117">
          <cell r="T117" t="str">
            <v>5Q</v>
          </cell>
          <cell r="U117" t="str">
            <v>040</v>
          </cell>
          <cell r="V117" t="str">
            <v xml:space="preserve"> 7B 1D</v>
          </cell>
          <cell r="W117" t="str">
            <v>U7070</v>
          </cell>
          <cell r="X117" t="str">
            <v xml:space="preserve"> 7B 1D</v>
          </cell>
          <cell r="Y117" t="str">
            <v>U6500Y</v>
          </cell>
          <cell r="Z117" t="str">
            <v>AAA</v>
          </cell>
          <cell r="AB117" t="str">
            <v>T</v>
          </cell>
          <cell r="AD117" t="str">
            <v>X</v>
          </cell>
          <cell r="AE117" t="str">
            <v>2J619</v>
          </cell>
          <cell r="AF117" t="str">
            <v>000809</v>
          </cell>
          <cell r="AI117" t="str">
            <v>*</v>
          </cell>
          <cell r="AJ117" t="str">
            <v>T</v>
          </cell>
          <cell r="AT117" t="str">
            <v>A</v>
          </cell>
          <cell r="AU117" t="str">
            <v>0</v>
          </cell>
          <cell r="AV117" t="str">
            <v>3</v>
          </cell>
          <cell r="BE117" t="str">
            <v>ﾙ</v>
          </cell>
          <cell r="BF117" t="str">
            <v>0005</v>
          </cell>
        </row>
        <row r="118">
          <cell r="T118" t="str">
            <v>5Q</v>
          </cell>
          <cell r="U118" t="str">
            <v>040</v>
          </cell>
          <cell r="V118" t="str">
            <v xml:space="preserve"> 7B 1D</v>
          </cell>
          <cell r="W118" t="str">
            <v>U7240</v>
          </cell>
          <cell r="Y118" t="str">
            <v>U7240E</v>
          </cell>
          <cell r="Z118" t="str">
            <v>AAA</v>
          </cell>
          <cell r="AB118" t="str">
            <v>T</v>
          </cell>
          <cell r="AD118" t="str">
            <v>*</v>
          </cell>
          <cell r="AE118" t="str">
            <v>2J653</v>
          </cell>
          <cell r="AF118" t="str">
            <v>021223</v>
          </cell>
          <cell r="AI118" t="str">
            <v>*</v>
          </cell>
          <cell r="AJ118" t="str">
            <v>T</v>
          </cell>
          <cell r="AT118" t="str">
            <v>A</v>
          </cell>
          <cell r="AU118" t="str">
            <v>0</v>
          </cell>
          <cell r="AV118" t="str">
            <v>3</v>
          </cell>
          <cell r="BE118" t="str">
            <v>ﾙ</v>
          </cell>
          <cell r="BF118" t="str">
            <v>0005</v>
          </cell>
          <cell r="BG118" t="str">
            <v>KOUBA</v>
          </cell>
        </row>
        <row r="119">
          <cell r="T119" t="str">
            <v>5Q</v>
          </cell>
          <cell r="U119" t="str">
            <v>040</v>
          </cell>
          <cell r="V119" t="str">
            <v xml:space="preserve"> 7B 1D</v>
          </cell>
          <cell r="W119" t="str">
            <v>U7020</v>
          </cell>
          <cell r="Y119" t="str">
            <v>U7020E</v>
          </cell>
          <cell r="Z119" t="str">
            <v>AAB</v>
          </cell>
          <cell r="AB119" t="str">
            <v>T</v>
          </cell>
          <cell r="AD119" t="str">
            <v>*</v>
          </cell>
          <cell r="AE119" t="str">
            <v>2J653</v>
          </cell>
          <cell r="AF119" t="str">
            <v>021223</v>
          </cell>
          <cell r="AI119" t="str">
            <v>*</v>
          </cell>
          <cell r="AJ119" t="str">
            <v>T</v>
          </cell>
          <cell r="AT119" t="str">
            <v>A</v>
          </cell>
          <cell r="AU119" t="str">
            <v>0</v>
          </cell>
          <cell r="AV119" t="str">
            <v>3</v>
          </cell>
          <cell r="BE119" t="str">
            <v>E</v>
          </cell>
          <cell r="BF119" t="str">
            <v>0005</v>
          </cell>
          <cell r="BG119" t="str">
            <v>Z6352</v>
          </cell>
          <cell r="BH119" t="str">
            <v>5Q</v>
          </cell>
          <cell r="BI119" t="str">
            <v>020</v>
          </cell>
        </row>
        <row r="120">
          <cell r="T120" t="str">
            <v>5Q</v>
          </cell>
          <cell r="U120" t="str">
            <v>040</v>
          </cell>
          <cell r="V120" t="str">
            <v xml:space="preserve"> 7B 1D</v>
          </cell>
          <cell r="W120" t="str">
            <v>U7050</v>
          </cell>
          <cell r="Y120" t="str">
            <v>U7050E</v>
          </cell>
          <cell r="Z120" t="str">
            <v>AAB</v>
          </cell>
          <cell r="AB120" t="str">
            <v>T</v>
          </cell>
          <cell r="AD120" t="str">
            <v>*</v>
          </cell>
          <cell r="AE120" t="str">
            <v>2J653</v>
          </cell>
          <cell r="AF120" t="str">
            <v>021223</v>
          </cell>
          <cell r="AI120" t="str">
            <v>*</v>
          </cell>
          <cell r="AJ120" t="str">
            <v>T</v>
          </cell>
          <cell r="AT120" t="str">
            <v>A</v>
          </cell>
          <cell r="AU120" t="str">
            <v>0</v>
          </cell>
          <cell r="AV120" t="str">
            <v>3</v>
          </cell>
          <cell r="BE120" t="str">
            <v>ﾙ</v>
          </cell>
          <cell r="BF120" t="str">
            <v>0005</v>
          </cell>
          <cell r="BG120" t="str">
            <v>Z6330</v>
          </cell>
          <cell r="BH120" t="str">
            <v>5Q</v>
          </cell>
          <cell r="BI120" t="str">
            <v>020</v>
          </cell>
        </row>
        <row r="121">
          <cell r="T121" t="str">
            <v>5Q</v>
          </cell>
          <cell r="U121" t="str">
            <v>040</v>
          </cell>
          <cell r="V121" t="str">
            <v xml:space="preserve"> 7B 1D</v>
          </cell>
          <cell r="W121" t="str">
            <v>U7250</v>
          </cell>
          <cell r="Y121" t="str">
            <v>U7250E</v>
          </cell>
          <cell r="Z121" t="str">
            <v>AAA</v>
          </cell>
          <cell r="AB121" t="str">
            <v>T</v>
          </cell>
          <cell r="AD121" t="str">
            <v>*</v>
          </cell>
          <cell r="AE121" t="str">
            <v>2J653</v>
          </cell>
          <cell r="AF121" t="str">
            <v>021223</v>
          </cell>
          <cell r="AI121" t="str">
            <v>*</v>
          </cell>
          <cell r="AJ121" t="str">
            <v>T</v>
          </cell>
          <cell r="AT121" t="str">
            <v>A</v>
          </cell>
          <cell r="AU121" t="str">
            <v>0</v>
          </cell>
          <cell r="AV121" t="str">
            <v>3</v>
          </cell>
          <cell r="BE121" t="str">
            <v>ﾙ</v>
          </cell>
          <cell r="BF121" t="str">
            <v>0005</v>
          </cell>
        </row>
        <row r="122">
          <cell r="T122" t="str">
            <v>5Q</v>
          </cell>
          <cell r="U122" t="str">
            <v>040</v>
          </cell>
          <cell r="V122" t="str">
            <v xml:space="preserve"> 7B 1D</v>
          </cell>
          <cell r="W122" t="str">
            <v>U7340</v>
          </cell>
          <cell r="Y122" t="str">
            <v>U7340E</v>
          </cell>
          <cell r="Z122" t="str">
            <v>AAA</v>
          </cell>
          <cell r="AB122" t="str">
            <v>T</v>
          </cell>
          <cell r="AD122" t="str">
            <v>*</v>
          </cell>
          <cell r="AE122" t="str">
            <v>2J653</v>
          </cell>
          <cell r="AF122" t="str">
            <v>021223</v>
          </cell>
          <cell r="AI122" t="str">
            <v>*</v>
          </cell>
          <cell r="AJ122" t="str">
            <v>T</v>
          </cell>
          <cell r="AT122" t="str">
            <v>A</v>
          </cell>
          <cell r="AU122" t="str">
            <v>0</v>
          </cell>
          <cell r="AV122" t="str">
            <v>3</v>
          </cell>
          <cell r="BF122" t="str">
            <v>0005</v>
          </cell>
        </row>
        <row r="123">
          <cell r="T123" t="str">
            <v>5Q</v>
          </cell>
          <cell r="U123" t="str">
            <v>040</v>
          </cell>
          <cell r="V123" t="str">
            <v xml:space="preserve"> 7B 1A</v>
          </cell>
          <cell r="W123" t="str">
            <v>U0620</v>
          </cell>
          <cell r="X123" t="str">
            <v xml:space="preserve"> 7B 1A</v>
          </cell>
          <cell r="Y123" t="str">
            <v>U0653Y</v>
          </cell>
          <cell r="Z123" t="str">
            <v>AAC</v>
          </cell>
          <cell r="AB123" t="str">
            <v>T</v>
          </cell>
          <cell r="AD123" t="str">
            <v>X</v>
          </cell>
          <cell r="AE123" t="str">
            <v>2J619</v>
          </cell>
          <cell r="AF123" t="str">
            <v>000809</v>
          </cell>
          <cell r="AI123" t="str">
            <v>*</v>
          </cell>
          <cell r="AJ123" t="str">
            <v>T</v>
          </cell>
          <cell r="AT123" t="str">
            <v>A</v>
          </cell>
          <cell r="AU123" t="str">
            <v>0</v>
          </cell>
          <cell r="AV123" t="str">
            <v>3</v>
          </cell>
          <cell r="BF123" t="str">
            <v>0057</v>
          </cell>
        </row>
        <row r="124">
          <cell r="T124" t="str">
            <v>5Q</v>
          </cell>
          <cell r="U124" t="str">
            <v>040</v>
          </cell>
          <cell r="V124" t="str">
            <v xml:space="preserve"> 7B 1D</v>
          </cell>
          <cell r="W124" t="str">
            <v>U7210</v>
          </cell>
          <cell r="Y124" t="str">
            <v>U7210E</v>
          </cell>
          <cell r="Z124" t="str">
            <v>AAA</v>
          </cell>
          <cell r="AB124" t="str">
            <v>T</v>
          </cell>
          <cell r="AD124" t="str">
            <v>*</v>
          </cell>
          <cell r="AE124" t="str">
            <v>2J653</v>
          </cell>
          <cell r="AF124" t="str">
            <v>021223</v>
          </cell>
          <cell r="AI124" t="str">
            <v>*</v>
          </cell>
          <cell r="AJ124" t="str">
            <v>T</v>
          </cell>
          <cell r="AT124" t="str">
            <v>A</v>
          </cell>
          <cell r="AU124" t="str">
            <v>0</v>
          </cell>
          <cell r="AV124" t="str">
            <v>3</v>
          </cell>
          <cell r="BE124" t="str">
            <v>ﾙ</v>
          </cell>
          <cell r="BF124" t="str">
            <v>0005</v>
          </cell>
        </row>
        <row r="125">
          <cell r="T125" t="str">
            <v>5Q</v>
          </cell>
          <cell r="U125" t="str">
            <v>040</v>
          </cell>
          <cell r="V125" t="str">
            <v xml:space="preserve"> 7B 1D</v>
          </cell>
          <cell r="W125" t="str">
            <v>U7200</v>
          </cell>
          <cell r="Y125" t="str">
            <v>U7200E</v>
          </cell>
          <cell r="Z125" t="str">
            <v>AAA</v>
          </cell>
          <cell r="AB125" t="str">
            <v>T</v>
          </cell>
          <cell r="AD125" t="str">
            <v>*</v>
          </cell>
          <cell r="AE125" t="str">
            <v>2J653</v>
          </cell>
          <cell r="AF125" t="str">
            <v>021223</v>
          </cell>
          <cell r="AI125" t="str">
            <v>*</v>
          </cell>
          <cell r="AJ125" t="str">
            <v>T</v>
          </cell>
          <cell r="AT125" t="str">
            <v>A</v>
          </cell>
          <cell r="AU125" t="str">
            <v>0</v>
          </cell>
          <cell r="AV125" t="str">
            <v>3</v>
          </cell>
          <cell r="BF125" t="str">
            <v>0005</v>
          </cell>
        </row>
        <row r="126">
          <cell r="T126" t="str">
            <v>5Q</v>
          </cell>
          <cell r="U126" t="str">
            <v>040</v>
          </cell>
          <cell r="V126" t="str">
            <v xml:space="preserve"> 7B 1D</v>
          </cell>
          <cell r="W126" t="str">
            <v>U7430</v>
          </cell>
          <cell r="Y126" t="str">
            <v>U7430E</v>
          </cell>
          <cell r="Z126" t="str">
            <v>AAB</v>
          </cell>
          <cell r="AB126" t="str">
            <v>T</v>
          </cell>
          <cell r="AD126" t="str">
            <v>*</v>
          </cell>
          <cell r="AE126" t="str">
            <v>2J653</v>
          </cell>
          <cell r="AF126" t="str">
            <v>021223</v>
          </cell>
          <cell r="AI126" t="str">
            <v>*</v>
          </cell>
          <cell r="AJ126" t="str">
            <v>T</v>
          </cell>
          <cell r="AT126" t="str">
            <v>A</v>
          </cell>
          <cell r="AU126" t="str">
            <v>0</v>
          </cell>
          <cell r="AV126" t="str">
            <v>3</v>
          </cell>
          <cell r="BE126" t="str">
            <v>ﾙ</v>
          </cell>
          <cell r="BF126" t="str">
            <v>0008</v>
          </cell>
        </row>
        <row r="127">
          <cell r="T127" t="str">
            <v>5Q</v>
          </cell>
          <cell r="U127" t="str">
            <v>040</v>
          </cell>
          <cell r="V127" t="str">
            <v xml:space="preserve"> 7B 1D</v>
          </cell>
          <cell r="W127" t="str">
            <v>U7490</v>
          </cell>
          <cell r="Y127" t="str">
            <v>U7490E</v>
          </cell>
          <cell r="Z127" t="str">
            <v>AAA</v>
          </cell>
          <cell r="AB127" t="str">
            <v>T</v>
          </cell>
          <cell r="AD127" t="str">
            <v>*</v>
          </cell>
          <cell r="AE127" t="str">
            <v>2J653</v>
          </cell>
          <cell r="AF127" t="str">
            <v>021223</v>
          </cell>
          <cell r="AI127" t="str">
            <v>*</v>
          </cell>
          <cell r="AJ127" t="str">
            <v>T</v>
          </cell>
          <cell r="AT127" t="str">
            <v>A</v>
          </cell>
          <cell r="AU127" t="str">
            <v>0</v>
          </cell>
          <cell r="AV127" t="str">
            <v>3</v>
          </cell>
          <cell r="BE127" t="str">
            <v>ﾙ</v>
          </cell>
          <cell r="BF127" t="str">
            <v>0005</v>
          </cell>
        </row>
        <row r="128">
          <cell r="T128" t="str">
            <v>5Q</v>
          </cell>
          <cell r="U128" t="str">
            <v>040</v>
          </cell>
          <cell r="V128" t="str">
            <v xml:space="preserve"> 7B 1D</v>
          </cell>
          <cell r="W128" t="str">
            <v>U7065</v>
          </cell>
          <cell r="Y128" t="str">
            <v>U7065E</v>
          </cell>
          <cell r="Z128" t="str">
            <v>AAC</v>
          </cell>
          <cell r="AB128" t="str">
            <v>T</v>
          </cell>
          <cell r="AD128" t="str">
            <v>*</v>
          </cell>
          <cell r="AE128" t="str">
            <v>2J653</v>
          </cell>
          <cell r="AF128" t="str">
            <v>021223</v>
          </cell>
          <cell r="AI128" t="str">
            <v>*</v>
          </cell>
          <cell r="AJ128" t="str">
            <v>T</v>
          </cell>
          <cell r="AT128" t="str">
            <v>H</v>
          </cell>
          <cell r="AU128" t="str">
            <v>5</v>
          </cell>
          <cell r="AV128" t="str">
            <v>8</v>
          </cell>
          <cell r="BE128" t="str">
            <v>ﾙ</v>
          </cell>
          <cell r="BF128" t="str">
            <v>0001</v>
          </cell>
          <cell r="BG128" t="str">
            <v>S1272</v>
          </cell>
          <cell r="BH128" t="str">
            <v>5Q</v>
          </cell>
          <cell r="BI128" t="str">
            <v>020</v>
          </cell>
        </row>
        <row r="129">
          <cell r="T129" t="str">
            <v>5Q</v>
          </cell>
          <cell r="U129" t="str">
            <v>040</v>
          </cell>
          <cell r="V129" t="str">
            <v xml:space="preserve"> 7B 1D</v>
          </cell>
          <cell r="W129" t="str">
            <v>U7220</v>
          </cell>
          <cell r="Y129" t="str">
            <v>U7220E</v>
          </cell>
          <cell r="Z129" t="str">
            <v>AAC</v>
          </cell>
          <cell r="AB129" t="str">
            <v>T</v>
          </cell>
          <cell r="AD129" t="str">
            <v>*</v>
          </cell>
          <cell r="AE129" t="str">
            <v>2J653</v>
          </cell>
          <cell r="AF129" t="str">
            <v>021223</v>
          </cell>
          <cell r="AI129" t="str">
            <v>*</v>
          </cell>
          <cell r="AJ129" t="str">
            <v>T</v>
          </cell>
          <cell r="AT129" t="str">
            <v>A</v>
          </cell>
          <cell r="AU129" t="str">
            <v>0</v>
          </cell>
          <cell r="AV129" t="str">
            <v>3</v>
          </cell>
          <cell r="BE129" t="str">
            <v>ﾙ</v>
          </cell>
          <cell r="BF129" t="str">
            <v>0005</v>
          </cell>
          <cell r="BG129" t="str">
            <v>Z6427</v>
          </cell>
          <cell r="BH129" t="str">
            <v>5P</v>
          </cell>
          <cell r="BI129" t="str">
            <v>020</v>
          </cell>
        </row>
        <row r="130">
          <cell r="T130" t="str">
            <v>5Q</v>
          </cell>
          <cell r="U130" t="str">
            <v>040</v>
          </cell>
          <cell r="V130" t="str">
            <v xml:space="preserve"> 7B 1D</v>
          </cell>
          <cell r="W130" t="str">
            <v>U7410</v>
          </cell>
          <cell r="Y130" t="str">
            <v>U7410E</v>
          </cell>
          <cell r="Z130" t="str">
            <v>AAB</v>
          </cell>
          <cell r="AB130" t="str">
            <v>T</v>
          </cell>
          <cell r="AD130" t="str">
            <v>*</v>
          </cell>
          <cell r="AE130" t="str">
            <v>2J653</v>
          </cell>
          <cell r="AF130" t="str">
            <v>021223</v>
          </cell>
          <cell r="AI130" t="str">
            <v>*</v>
          </cell>
          <cell r="AJ130" t="str">
            <v>T</v>
          </cell>
          <cell r="AT130" t="str">
            <v>A</v>
          </cell>
          <cell r="AU130" t="str">
            <v>0</v>
          </cell>
          <cell r="AV130" t="str">
            <v>3</v>
          </cell>
          <cell r="BE130" t="str">
            <v>B</v>
          </cell>
          <cell r="BF130" t="str">
            <v>0008</v>
          </cell>
          <cell r="BG130" t="str">
            <v>KOBAI</v>
          </cell>
        </row>
        <row r="131">
          <cell r="T131" t="str">
            <v>5Q</v>
          </cell>
          <cell r="U131" t="str">
            <v>040</v>
          </cell>
          <cell r="V131" t="str">
            <v xml:space="preserve"> 7B 1D</v>
          </cell>
          <cell r="W131" t="str">
            <v>U7400</v>
          </cell>
          <cell r="Y131" t="str">
            <v>U7400E</v>
          </cell>
          <cell r="Z131" t="str">
            <v>AAA</v>
          </cell>
          <cell r="AB131" t="str">
            <v>T</v>
          </cell>
          <cell r="AD131" t="str">
            <v>*</v>
          </cell>
          <cell r="AE131" t="str">
            <v>2J653</v>
          </cell>
          <cell r="AF131" t="str">
            <v>021223</v>
          </cell>
          <cell r="AI131" t="str">
            <v>*</v>
          </cell>
          <cell r="AJ131" t="str">
            <v>T</v>
          </cell>
          <cell r="AT131" t="str">
            <v>A</v>
          </cell>
          <cell r="AU131" t="str">
            <v>0</v>
          </cell>
          <cell r="AV131" t="str">
            <v>3</v>
          </cell>
          <cell r="BF131" t="str">
            <v>0008</v>
          </cell>
        </row>
        <row r="132">
          <cell r="T132" t="str">
            <v>5Q</v>
          </cell>
          <cell r="U132" t="str">
            <v>040</v>
          </cell>
          <cell r="V132" t="str">
            <v xml:space="preserve"> 7B 1D</v>
          </cell>
          <cell r="W132" t="str">
            <v>U7100</v>
          </cell>
          <cell r="X132" t="str">
            <v xml:space="preserve"> 7B 1D</v>
          </cell>
          <cell r="Y132" t="str">
            <v>U2040Y</v>
          </cell>
          <cell r="Z132" t="str">
            <v>AAA</v>
          </cell>
          <cell r="AB132" t="str">
            <v>T</v>
          </cell>
          <cell r="AD132" t="str">
            <v>*</v>
          </cell>
          <cell r="AE132" t="str">
            <v>2J619</v>
          </cell>
          <cell r="AF132" t="str">
            <v>000809</v>
          </cell>
          <cell r="AI132" t="str">
            <v>*</v>
          </cell>
          <cell r="AJ132" t="str">
            <v>T</v>
          </cell>
          <cell r="AT132" t="str">
            <v>A</v>
          </cell>
          <cell r="AU132" t="str">
            <v>0</v>
          </cell>
          <cell r="AV132" t="str">
            <v>3</v>
          </cell>
          <cell r="BE132" t="str">
            <v>ﾙ</v>
          </cell>
          <cell r="BF132" t="str">
            <v>0011</v>
          </cell>
        </row>
        <row r="133">
          <cell r="T133" t="str">
            <v>5Q</v>
          </cell>
          <cell r="U133" t="str">
            <v>040</v>
          </cell>
          <cell r="V133" t="str">
            <v xml:space="preserve"> 7B 1D</v>
          </cell>
          <cell r="W133" t="str">
            <v>U7130</v>
          </cell>
          <cell r="X133" t="str">
            <v xml:space="preserve"> 7B 1D</v>
          </cell>
          <cell r="Y133" t="str">
            <v>U0530Y</v>
          </cell>
          <cell r="Z133" t="str">
            <v>AAE</v>
          </cell>
          <cell r="AB133" t="str">
            <v>T</v>
          </cell>
          <cell r="AD133" t="str">
            <v>*</v>
          </cell>
          <cell r="AE133" t="str">
            <v>Z6418</v>
          </cell>
          <cell r="AF133" t="str">
            <v>011217</v>
          </cell>
          <cell r="AI133" t="str">
            <v>*</v>
          </cell>
          <cell r="AJ133" t="str">
            <v>T</v>
          </cell>
          <cell r="AT133" t="str">
            <v>A</v>
          </cell>
          <cell r="AU133" t="str">
            <v>0</v>
          </cell>
          <cell r="AV133" t="str">
            <v>3</v>
          </cell>
          <cell r="BE133" t="str">
            <v>ﾙ</v>
          </cell>
          <cell r="BF133" t="str">
            <v>0015</v>
          </cell>
          <cell r="BG133" t="str">
            <v>Z6418</v>
          </cell>
        </row>
        <row r="134">
          <cell r="T134" t="str">
            <v>5Q</v>
          </cell>
          <cell r="U134" t="str">
            <v>040</v>
          </cell>
          <cell r="V134" t="str">
            <v xml:space="preserve"> 7B 1D</v>
          </cell>
          <cell r="W134" t="str">
            <v>U7110</v>
          </cell>
          <cell r="X134" t="str">
            <v xml:space="preserve"> 7B 1D</v>
          </cell>
          <cell r="Y134" t="str">
            <v>U0480Y</v>
          </cell>
          <cell r="Z134" t="str">
            <v>AAG</v>
          </cell>
          <cell r="AB134" t="str">
            <v>T</v>
          </cell>
          <cell r="AD134" t="str">
            <v>*</v>
          </cell>
          <cell r="AE134" t="str">
            <v>Z6400</v>
          </cell>
          <cell r="AF134" t="str">
            <v>011022</v>
          </cell>
          <cell r="AI134" t="str">
            <v>*</v>
          </cell>
          <cell r="AJ134" t="str">
            <v>T</v>
          </cell>
          <cell r="AT134" t="str">
            <v>A</v>
          </cell>
          <cell r="AU134" t="str">
            <v>0</v>
          </cell>
          <cell r="AV134" t="str">
            <v>3</v>
          </cell>
          <cell r="BE134" t="str">
            <v>ﾙ</v>
          </cell>
          <cell r="BF134" t="str">
            <v>0013</v>
          </cell>
          <cell r="BG134" t="str">
            <v>Z6400</v>
          </cell>
        </row>
        <row r="135">
          <cell r="T135" t="str">
            <v>5Q</v>
          </cell>
          <cell r="U135" t="str">
            <v>040</v>
          </cell>
          <cell r="V135" t="str">
            <v xml:space="preserve"> 7B 1D</v>
          </cell>
          <cell r="W135" t="str">
            <v>U7320</v>
          </cell>
          <cell r="Y135" t="str">
            <v>U7320E</v>
          </cell>
          <cell r="Z135" t="str">
            <v>AAC</v>
          </cell>
          <cell r="AB135" t="str">
            <v>T</v>
          </cell>
          <cell r="AD135" t="str">
            <v>*</v>
          </cell>
          <cell r="AE135" t="str">
            <v>2J653</v>
          </cell>
          <cell r="AF135" t="str">
            <v>021223</v>
          </cell>
          <cell r="AI135" t="str">
            <v>*</v>
          </cell>
          <cell r="AJ135" t="str">
            <v>T</v>
          </cell>
          <cell r="AT135" t="str">
            <v>2</v>
          </cell>
          <cell r="AU135" t="str">
            <v>0</v>
          </cell>
          <cell r="AV135" t="str">
            <v>7</v>
          </cell>
          <cell r="BE135" t="str">
            <v>ﾙ</v>
          </cell>
          <cell r="BF135" t="str">
            <v>0021</v>
          </cell>
          <cell r="BG135" t="str">
            <v>2J619</v>
          </cell>
          <cell r="BH135" t="str">
            <v>5Q</v>
          </cell>
          <cell r="BI135" t="str">
            <v>020</v>
          </cell>
        </row>
        <row r="136">
          <cell r="T136" t="str">
            <v>5Q</v>
          </cell>
          <cell r="U136" t="str">
            <v>040</v>
          </cell>
          <cell r="V136" t="str">
            <v xml:space="preserve"> 7B 1D</v>
          </cell>
          <cell r="W136" t="str">
            <v>U7320</v>
          </cell>
          <cell r="Y136" t="str">
            <v>U7320E</v>
          </cell>
          <cell r="Z136" t="str">
            <v>AAD</v>
          </cell>
          <cell r="AB136" t="str">
            <v>T</v>
          </cell>
          <cell r="AD136" t="str">
            <v>*</v>
          </cell>
          <cell r="AE136" t="str">
            <v>2J653</v>
          </cell>
          <cell r="AF136" t="str">
            <v>021223</v>
          </cell>
          <cell r="AI136" t="str">
            <v>*</v>
          </cell>
          <cell r="AJ136" t="str">
            <v>T</v>
          </cell>
          <cell r="AT136" t="str">
            <v>2</v>
          </cell>
          <cell r="AU136" t="str">
            <v>0</v>
          </cell>
          <cell r="AV136" t="str">
            <v>7</v>
          </cell>
          <cell r="BE136" t="str">
            <v>ﾙ</v>
          </cell>
          <cell r="BF136" t="str">
            <v>0022</v>
          </cell>
          <cell r="BG136" t="str">
            <v>2J619</v>
          </cell>
          <cell r="BH136" t="str">
            <v>5Q</v>
          </cell>
          <cell r="BI136" t="str">
            <v>020</v>
          </cell>
        </row>
        <row r="137">
          <cell r="T137" t="str">
            <v>5Q</v>
          </cell>
          <cell r="U137" t="str">
            <v>040</v>
          </cell>
          <cell r="V137" t="str">
            <v xml:space="preserve"> 7B 1D</v>
          </cell>
          <cell r="W137" t="str">
            <v>U7000</v>
          </cell>
          <cell r="Y137" t="str">
            <v>U7000E</v>
          </cell>
          <cell r="Z137" t="str">
            <v>AAG</v>
          </cell>
          <cell r="AB137" t="str">
            <v>T</v>
          </cell>
          <cell r="AD137" t="str">
            <v>*</v>
          </cell>
          <cell r="AE137" t="str">
            <v>2J653</v>
          </cell>
          <cell r="AF137" t="str">
            <v>021223</v>
          </cell>
          <cell r="AI137" t="str">
            <v>*</v>
          </cell>
          <cell r="AJ137" t="str">
            <v>T</v>
          </cell>
          <cell r="AT137" t="str">
            <v>2</v>
          </cell>
          <cell r="AU137" t="str">
            <v>0</v>
          </cell>
          <cell r="AV137" t="str">
            <v>7</v>
          </cell>
          <cell r="BE137" t="str">
            <v>ﾙ</v>
          </cell>
          <cell r="BF137" t="str">
            <v>0041</v>
          </cell>
          <cell r="BG137" t="str">
            <v>Z6330</v>
          </cell>
          <cell r="BH137" t="str">
            <v>5Q</v>
          </cell>
          <cell r="BI137" t="str">
            <v>020</v>
          </cell>
        </row>
        <row r="138">
          <cell r="T138" t="str">
            <v>5Q</v>
          </cell>
          <cell r="U138" t="str">
            <v>040</v>
          </cell>
          <cell r="V138" t="str">
            <v xml:space="preserve"> 7B 1D</v>
          </cell>
          <cell r="W138" t="str">
            <v>U7000</v>
          </cell>
          <cell r="X138" t="str">
            <v xml:space="preserve"> 7B 1D</v>
          </cell>
          <cell r="Y138" t="str">
            <v>U0140Y</v>
          </cell>
          <cell r="Z138" t="str">
            <v>AAG</v>
          </cell>
          <cell r="AB138" t="str">
            <v>T</v>
          </cell>
          <cell r="AD138" t="str">
            <v>*</v>
          </cell>
          <cell r="AE138" t="str">
            <v>Z6330</v>
          </cell>
          <cell r="AF138" t="str">
            <v>001218</v>
          </cell>
          <cell r="AI138" t="str">
            <v>*</v>
          </cell>
          <cell r="AJ138" t="str">
            <v>T</v>
          </cell>
          <cell r="AT138" t="str">
            <v>B</v>
          </cell>
          <cell r="AU138" t="str">
            <v>5</v>
          </cell>
          <cell r="AV138" t="str">
            <v>3</v>
          </cell>
          <cell r="BE138" t="str">
            <v>ﾙ</v>
          </cell>
          <cell r="BF138" t="str">
            <v>0041</v>
          </cell>
          <cell r="BG138" t="str">
            <v>Z6330</v>
          </cell>
        </row>
        <row r="139">
          <cell r="T139" t="str">
            <v>5Q</v>
          </cell>
          <cell r="U139" t="str">
            <v>040</v>
          </cell>
          <cell r="V139" t="str">
            <v xml:space="preserve"> 7B 1A</v>
          </cell>
          <cell r="W139" t="str">
            <v>U0085</v>
          </cell>
          <cell r="X139" t="str">
            <v xml:space="preserve"> 7B 1A</v>
          </cell>
          <cell r="Y139" t="str">
            <v>U0111Y</v>
          </cell>
          <cell r="Z139" t="str">
            <v>AAC</v>
          </cell>
          <cell r="AB139" t="str">
            <v>T</v>
          </cell>
          <cell r="AD139" t="str">
            <v>*</v>
          </cell>
          <cell r="AE139" t="str">
            <v>S0974</v>
          </cell>
          <cell r="AF139" t="str">
            <v>001127</v>
          </cell>
          <cell r="AI139" t="str">
            <v>*</v>
          </cell>
          <cell r="AJ139" t="str">
            <v>T</v>
          </cell>
          <cell r="AT139" t="str">
            <v>A</v>
          </cell>
          <cell r="AU139" t="str">
            <v>0</v>
          </cell>
          <cell r="AV139" t="str">
            <v>3</v>
          </cell>
          <cell r="BE139" t="str">
            <v>ﾙ</v>
          </cell>
          <cell r="BF139" t="str">
            <v>0004</v>
          </cell>
        </row>
        <row r="140">
          <cell r="T140" t="str">
            <v>5Q</v>
          </cell>
          <cell r="U140" t="str">
            <v>040</v>
          </cell>
          <cell r="V140" t="str">
            <v xml:space="preserve"> 7B 1A</v>
          </cell>
          <cell r="W140" t="str">
            <v>U0620</v>
          </cell>
          <cell r="X140" t="str">
            <v xml:space="preserve"> 7B 1A</v>
          </cell>
          <cell r="Y140" t="str">
            <v>U0670Y</v>
          </cell>
          <cell r="Z140" t="str">
            <v>AAE</v>
          </cell>
          <cell r="AB140" t="str">
            <v>T</v>
          </cell>
          <cell r="AD140" t="str">
            <v>X</v>
          </cell>
          <cell r="AE140" t="str">
            <v>Z6370</v>
          </cell>
          <cell r="AF140" t="str">
            <v>010806</v>
          </cell>
          <cell r="AI140" t="str">
            <v>*</v>
          </cell>
          <cell r="AJ140" t="str">
            <v>T</v>
          </cell>
          <cell r="AT140" t="str">
            <v>A</v>
          </cell>
          <cell r="AU140" t="str">
            <v>0</v>
          </cell>
          <cell r="AV140" t="str">
            <v>3</v>
          </cell>
          <cell r="BF140" t="str">
            <v>0057</v>
          </cell>
          <cell r="BG140" t="str">
            <v>Z6370</v>
          </cell>
        </row>
        <row r="141">
          <cell r="T141" t="str">
            <v>5Q</v>
          </cell>
          <cell r="U141" t="str">
            <v>040</v>
          </cell>
          <cell r="V141" t="str">
            <v xml:space="preserve"> 7B 1D</v>
          </cell>
          <cell r="W141" t="str">
            <v>U7290</v>
          </cell>
          <cell r="Y141" t="str">
            <v>U7290E</v>
          </cell>
          <cell r="Z141" t="str">
            <v>AAB</v>
          </cell>
          <cell r="AB141" t="str">
            <v>T</v>
          </cell>
          <cell r="AD141" t="str">
            <v>*</v>
          </cell>
          <cell r="AE141" t="str">
            <v>2J653</v>
          </cell>
          <cell r="AF141" t="str">
            <v>021223</v>
          </cell>
          <cell r="AI141" t="str">
            <v>*</v>
          </cell>
          <cell r="AJ141" t="str">
            <v>T</v>
          </cell>
          <cell r="AT141" t="str">
            <v>H</v>
          </cell>
          <cell r="AU141" t="str">
            <v>5</v>
          </cell>
          <cell r="AV141" t="str">
            <v>3</v>
          </cell>
          <cell r="BE141" t="str">
            <v>1</v>
          </cell>
          <cell r="BF141" t="str">
            <v>0032</v>
          </cell>
          <cell r="BG141" t="str">
            <v>KOBAI</v>
          </cell>
        </row>
        <row r="142">
          <cell r="T142" t="str">
            <v>5Q</v>
          </cell>
          <cell r="U142" t="str">
            <v>040</v>
          </cell>
          <cell r="V142" t="str">
            <v xml:space="preserve"> 7B 3C</v>
          </cell>
          <cell r="W142" t="str">
            <v>U1000</v>
          </cell>
          <cell r="X142" t="str">
            <v xml:space="preserve"> 7B 3C</v>
          </cell>
          <cell r="Y142" t="str">
            <v>U1890Y</v>
          </cell>
          <cell r="Z142" t="str">
            <v>AAH</v>
          </cell>
          <cell r="AB142" t="str">
            <v>U</v>
          </cell>
          <cell r="AD142" t="str">
            <v>*</v>
          </cell>
          <cell r="AE142" t="str">
            <v>JBN49</v>
          </cell>
          <cell r="AF142" t="str">
            <v>020701</v>
          </cell>
          <cell r="AI142" t="str">
            <v>*</v>
          </cell>
          <cell r="AJ142" t="str">
            <v>T</v>
          </cell>
          <cell r="AT142" t="str">
            <v>A</v>
          </cell>
          <cell r="AU142" t="str">
            <v>0</v>
          </cell>
          <cell r="AV142" t="str">
            <v>3</v>
          </cell>
          <cell r="BE142" t="str">
            <v>ﾙ</v>
          </cell>
          <cell r="BF142" t="str">
            <v>0002</v>
          </cell>
          <cell r="BG142" t="str">
            <v>S1269</v>
          </cell>
        </row>
        <row r="143">
          <cell r="T143" t="str">
            <v>5Q</v>
          </cell>
          <cell r="U143" t="str">
            <v>040</v>
          </cell>
          <cell r="V143" t="str">
            <v xml:space="preserve"> 7B 3C</v>
          </cell>
          <cell r="W143" t="str">
            <v>U1000</v>
          </cell>
          <cell r="X143" t="str">
            <v xml:space="preserve"> 7B 3C</v>
          </cell>
          <cell r="Y143" t="str">
            <v>U1900Y</v>
          </cell>
          <cell r="Z143" t="str">
            <v>AAH</v>
          </cell>
          <cell r="AB143" t="str">
            <v>U</v>
          </cell>
          <cell r="AD143" t="str">
            <v>*</v>
          </cell>
          <cell r="AE143" t="str">
            <v>JBN49</v>
          </cell>
          <cell r="AF143" t="str">
            <v>020701</v>
          </cell>
          <cell r="AI143" t="str">
            <v>*</v>
          </cell>
          <cell r="AJ143" t="str">
            <v>T</v>
          </cell>
          <cell r="AT143" t="str">
            <v>A</v>
          </cell>
          <cell r="AU143" t="str">
            <v>0</v>
          </cell>
          <cell r="AV143" t="str">
            <v>3</v>
          </cell>
          <cell r="BE143" t="str">
            <v>ﾙ</v>
          </cell>
          <cell r="BF143" t="str">
            <v>0002</v>
          </cell>
          <cell r="BG143" t="str">
            <v>S1269</v>
          </cell>
        </row>
        <row r="144">
          <cell r="T144" t="str">
            <v>5Q</v>
          </cell>
          <cell r="U144" t="str">
            <v>040</v>
          </cell>
          <cell r="V144" t="str">
            <v xml:space="preserve"> 7B 1D</v>
          </cell>
          <cell r="W144" t="str">
            <v>U7040</v>
          </cell>
          <cell r="Y144" t="str">
            <v>U7040E</v>
          </cell>
          <cell r="Z144" t="str">
            <v>AAA</v>
          </cell>
          <cell r="AB144" t="str">
            <v>T</v>
          </cell>
          <cell r="AD144" t="str">
            <v>*</v>
          </cell>
          <cell r="AE144" t="str">
            <v>2J653</v>
          </cell>
          <cell r="AF144" t="str">
            <v>021223</v>
          </cell>
          <cell r="AI144" t="str">
            <v>*</v>
          </cell>
          <cell r="AJ144" t="str">
            <v>T</v>
          </cell>
          <cell r="AT144" t="str">
            <v>A</v>
          </cell>
          <cell r="AU144" t="str">
            <v>0</v>
          </cell>
          <cell r="AV144" t="str">
            <v>3</v>
          </cell>
          <cell r="BE144" t="str">
            <v>ﾙ</v>
          </cell>
          <cell r="BF144" t="str">
            <v>0005</v>
          </cell>
        </row>
        <row r="145">
          <cell r="T145" t="str">
            <v>5Q</v>
          </cell>
          <cell r="U145" t="str">
            <v>040</v>
          </cell>
          <cell r="V145" t="str">
            <v xml:space="preserve"> 7B 3C</v>
          </cell>
          <cell r="W145" t="str">
            <v>U1000</v>
          </cell>
          <cell r="X145" t="str">
            <v xml:space="preserve"> 7B 3C</v>
          </cell>
          <cell r="Y145" t="str">
            <v>U1750Y</v>
          </cell>
          <cell r="Z145" t="str">
            <v>AAH</v>
          </cell>
          <cell r="AB145" t="str">
            <v>U</v>
          </cell>
          <cell r="AD145" t="str">
            <v>*</v>
          </cell>
          <cell r="AE145" t="str">
            <v>JBN49</v>
          </cell>
          <cell r="AF145" t="str">
            <v>020701</v>
          </cell>
          <cell r="AI145" t="str">
            <v>*</v>
          </cell>
          <cell r="AJ145" t="str">
            <v>T</v>
          </cell>
          <cell r="AT145" t="str">
            <v>A</v>
          </cell>
          <cell r="AU145" t="str">
            <v>0</v>
          </cell>
          <cell r="AV145" t="str">
            <v>3</v>
          </cell>
          <cell r="BE145" t="str">
            <v>ﾙ</v>
          </cell>
          <cell r="BF145" t="str">
            <v>0002</v>
          </cell>
          <cell r="BG145" t="str">
            <v>2J618</v>
          </cell>
        </row>
        <row r="146">
          <cell r="T146" t="str">
            <v>5Q</v>
          </cell>
          <cell r="U146" t="str">
            <v>040</v>
          </cell>
          <cell r="V146" t="str">
            <v xml:space="preserve"> 7B 3D</v>
          </cell>
          <cell r="W146" t="str">
            <v>U1100</v>
          </cell>
          <cell r="Y146" t="str">
            <v>U1100E</v>
          </cell>
          <cell r="Z146" t="str">
            <v>AAA</v>
          </cell>
          <cell r="AB146" t="str">
            <v>U</v>
          </cell>
          <cell r="AD146" t="str">
            <v>*</v>
          </cell>
          <cell r="AE146" t="str">
            <v>2J653</v>
          </cell>
          <cell r="AF146" t="str">
            <v>021223</v>
          </cell>
          <cell r="AI146" t="str">
            <v>*</v>
          </cell>
          <cell r="AJ146" t="str">
            <v>T</v>
          </cell>
          <cell r="AT146" t="str">
            <v>A</v>
          </cell>
          <cell r="AU146" t="str">
            <v>0</v>
          </cell>
          <cell r="AV146" t="str">
            <v>3</v>
          </cell>
          <cell r="BE146" t="str">
            <v>ﾙ</v>
          </cell>
          <cell r="BF146" t="str">
            <v>0002</v>
          </cell>
          <cell r="BG146" t="str">
            <v>2J618</v>
          </cell>
          <cell r="BH146" t="str">
            <v>5P</v>
          </cell>
          <cell r="BI146" t="str">
            <v>020</v>
          </cell>
        </row>
        <row r="147">
          <cell r="T147" t="str">
            <v>5Q</v>
          </cell>
          <cell r="U147" t="str">
            <v>040</v>
          </cell>
          <cell r="V147" t="str">
            <v xml:space="preserve"> 7B 3C</v>
          </cell>
          <cell r="W147" t="str">
            <v>U1150</v>
          </cell>
          <cell r="Y147" t="str">
            <v>U1150E</v>
          </cell>
          <cell r="Z147" t="str">
            <v>AAB</v>
          </cell>
          <cell r="AB147" t="str">
            <v>U</v>
          </cell>
          <cell r="AD147" t="str">
            <v>*</v>
          </cell>
          <cell r="AE147" t="str">
            <v>2J653</v>
          </cell>
          <cell r="AF147" t="str">
            <v>021223</v>
          </cell>
          <cell r="AI147" t="str">
            <v>*</v>
          </cell>
          <cell r="AJ147" t="str">
            <v>T</v>
          </cell>
          <cell r="AT147" t="str">
            <v>A</v>
          </cell>
          <cell r="AU147" t="str">
            <v>0</v>
          </cell>
          <cell r="AV147" t="str">
            <v>3</v>
          </cell>
          <cell r="BE147" t="str">
            <v>ﾙ</v>
          </cell>
          <cell r="BF147" t="str">
            <v>0002</v>
          </cell>
          <cell r="BG147" t="str">
            <v>S1318</v>
          </cell>
          <cell r="BH147" t="str">
            <v>5P</v>
          </cell>
          <cell r="BI147" t="str">
            <v>020</v>
          </cell>
        </row>
        <row r="148">
          <cell r="T148" t="str">
            <v>5Q</v>
          </cell>
          <cell r="U148" t="str">
            <v>040</v>
          </cell>
          <cell r="V148" t="str">
            <v xml:space="preserve"> 7B 3C</v>
          </cell>
          <cell r="W148" t="str">
            <v>U1250</v>
          </cell>
          <cell r="Y148" t="str">
            <v>U1250E</v>
          </cell>
          <cell r="Z148" t="str">
            <v>AAA</v>
          </cell>
          <cell r="AB148" t="str">
            <v>U</v>
          </cell>
          <cell r="AD148" t="str">
            <v>*</v>
          </cell>
          <cell r="AE148" t="str">
            <v>2J653</v>
          </cell>
          <cell r="AF148" t="str">
            <v>021223</v>
          </cell>
          <cell r="AI148" t="str">
            <v>*</v>
          </cell>
          <cell r="AJ148" t="str">
            <v>T</v>
          </cell>
          <cell r="AT148" t="str">
            <v>A</v>
          </cell>
          <cell r="AU148" t="str">
            <v>0</v>
          </cell>
          <cell r="AV148" t="str">
            <v>3</v>
          </cell>
          <cell r="BE148" t="str">
            <v>1</v>
          </cell>
          <cell r="BF148" t="str">
            <v>0002</v>
          </cell>
          <cell r="BG148" t="str">
            <v>KOBAI</v>
          </cell>
        </row>
        <row r="149">
          <cell r="T149" t="str">
            <v>5Q</v>
          </cell>
          <cell r="U149" t="str">
            <v>040</v>
          </cell>
          <cell r="V149" t="str">
            <v xml:space="preserve"> 7B 1D</v>
          </cell>
          <cell r="W149" t="str">
            <v>U7260</v>
          </cell>
          <cell r="Y149" t="str">
            <v>U7260E</v>
          </cell>
          <cell r="Z149" t="str">
            <v>AAA</v>
          </cell>
          <cell r="AB149" t="str">
            <v>T</v>
          </cell>
          <cell r="AD149" t="str">
            <v>*</v>
          </cell>
          <cell r="AE149" t="str">
            <v>2J653</v>
          </cell>
          <cell r="AF149" t="str">
            <v>021223</v>
          </cell>
          <cell r="AI149" t="str">
            <v>*</v>
          </cell>
          <cell r="AJ149" t="str">
            <v>T</v>
          </cell>
          <cell r="AT149" t="str">
            <v>A</v>
          </cell>
          <cell r="AU149" t="str">
            <v>0</v>
          </cell>
          <cell r="AV149" t="str">
            <v>3</v>
          </cell>
          <cell r="BF149" t="str">
            <v>0005</v>
          </cell>
        </row>
        <row r="150">
          <cell r="T150" t="str">
            <v>5Q</v>
          </cell>
          <cell r="U150" t="str">
            <v>040</v>
          </cell>
          <cell r="V150" t="str">
            <v xml:space="preserve"> 7B 1D</v>
          </cell>
          <cell r="W150" t="str">
            <v>U7390</v>
          </cell>
          <cell r="Y150" t="str">
            <v>U7390E</v>
          </cell>
          <cell r="Z150" t="str">
            <v>AAA</v>
          </cell>
          <cell r="AB150" t="str">
            <v>T</v>
          </cell>
          <cell r="AD150" t="str">
            <v>*</v>
          </cell>
          <cell r="AE150" t="str">
            <v>2J653</v>
          </cell>
          <cell r="AF150" t="str">
            <v>021223</v>
          </cell>
          <cell r="AI150" t="str">
            <v>*</v>
          </cell>
          <cell r="AJ150" t="str">
            <v>T</v>
          </cell>
          <cell r="AT150" t="str">
            <v>A</v>
          </cell>
          <cell r="AU150" t="str">
            <v>0</v>
          </cell>
          <cell r="AV150" t="str">
            <v>3</v>
          </cell>
          <cell r="BE150" t="str">
            <v>ﾙ</v>
          </cell>
          <cell r="BF150" t="str">
            <v>0005</v>
          </cell>
          <cell r="BG150" t="str">
            <v>2J619</v>
          </cell>
          <cell r="BH150" t="str">
            <v>5Q</v>
          </cell>
          <cell r="BI150" t="str">
            <v>020</v>
          </cell>
        </row>
        <row r="151">
          <cell r="T151" t="str">
            <v>5Q</v>
          </cell>
          <cell r="U151" t="str">
            <v>040</v>
          </cell>
          <cell r="V151" t="str">
            <v xml:space="preserve"> 7B 1D</v>
          </cell>
          <cell r="W151" t="str">
            <v>U7390</v>
          </cell>
          <cell r="Y151" t="str">
            <v>U7390E</v>
          </cell>
          <cell r="Z151" t="str">
            <v>AAB</v>
          </cell>
          <cell r="AB151" t="str">
            <v>T</v>
          </cell>
          <cell r="AD151" t="str">
            <v>*</v>
          </cell>
          <cell r="AE151" t="str">
            <v>2J653</v>
          </cell>
          <cell r="AF151" t="str">
            <v>021223</v>
          </cell>
          <cell r="AI151" t="str">
            <v>*</v>
          </cell>
          <cell r="AJ151" t="str">
            <v>T</v>
          </cell>
          <cell r="AT151" t="str">
            <v>A</v>
          </cell>
          <cell r="AU151" t="str">
            <v>0</v>
          </cell>
          <cell r="AV151" t="str">
            <v>3</v>
          </cell>
          <cell r="BE151" t="str">
            <v>ﾙ</v>
          </cell>
          <cell r="BF151" t="str">
            <v>0005</v>
          </cell>
          <cell r="BG151" t="str">
            <v>2J619</v>
          </cell>
          <cell r="BH151" t="str">
            <v>5Q</v>
          </cell>
          <cell r="BI151" t="str">
            <v>020</v>
          </cell>
        </row>
        <row r="152">
          <cell r="T152" t="str">
            <v>5Q</v>
          </cell>
          <cell r="U152" t="str">
            <v>040</v>
          </cell>
          <cell r="V152" t="str">
            <v xml:space="preserve"> 7B 1D</v>
          </cell>
          <cell r="W152" t="str">
            <v>U7390</v>
          </cell>
          <cell r="Y152" t="str">
            <v>U7390E</v>
          </cell>
          <cell r="Z152" t="str">
            <v>AAC</v>
          </cell>
          <cell r="AB152" t="str">
            <v>T</v>
          </cell>
          <cell r="AD152" t="str">
            <v>*</v>
          </cell>
          <cell r="AE152" t="str">
            <v>2J653</v>
          </cell>
          <cell r="AF152" t="str">
            <v>021223</v>
          </cell>
          <cell r="AI152" t="str">
            <v>*</v>
          </cell>
          <cell r="AJ152" t="str">
            <v>T</v>
          </cell>
          <cell r="AT152" t="str">
            <v>A</v>
          </cell>
          <cell r="AU152" t="str">
            <v>0</v>
          </cell>
          <cell r="AV152" t="str">
            <v>3</v>
          </cell>
          <cell r="BE152" t="str">
            <v>ﾙ</v>
          </cell>
          <cell r="BF152" t="str">
            <v>0005</v>
          </cell>
          <cell r="BG152" t="str">
            <v>2J619</v>
          </cell>
          <cell r="BH152" t="str">
            <v>5Q</v>
          </cell>
          <cell r="BI152" t="str">
            <v>020</v>
          </cell>
        </row>
        <row r="153">
          <cell r="T153" t="str">
            <v>5Q</v>
          </cell>
          <cell r="U153" t="str">
            <v>040</v>
          </cell>
          <cell r="V153" t="str">
            <v xml:space="preserve"> 7B 1D</v>
          </cell>
          <cell r="W153" t="str">
            <v>U7230</v>
          </cell>
          <cell r="Y153" t="str">
            <v>U7230E</v>
          </cell>
          <cell r="Z153" t="str">
            <v>AAB</v>
          </cell>
          <cell r="AB153" t="str">
            <v>T</v>
          </cell>
          <cell r="AD153" t="str">
            <v>*</v>
          </cell>
          <cell r="AE153" t="str">
            <v>2J653</v>
          </cell>
          <cell r="AF153" t="str">
            <v>021223</v>
          </cell>
          <cell r="AI153" t="str">
            <v>*</v>
          </cell>
          <cell r="AJ153" t="str">
            <v>T</v>
          </cell>
          <cell r="AT153" t="str">
            <v>A</v>
          </cell>
          <cell r="AU153" t="str">
            <v>0</v>
          </cell>
          <cell r="AV153" t="str">
            <v>3</v>
          </cell>
          <cell r="BE153" t="str">
            <v>ﾙ</v>
          </cell>
          <cell r="BF153" t="str">
            <v>0005</v>
          </cell>
          <cell r="BG153" t="str">
            <v>2J618</v>
          </cell>
          <cell r="BH153" t="str">
            <v>5P</v>
          </cell>
          <cell r="BI153" t="str">
            <v>020</v>
          </cell>
        </row>
        <row r="154">
          <cell r="T154" t="str">
            <v>5Q</v>
          </cell>
          <cell r="U154" t="str">
            <v>040</v>
          </cell>
          <cell r="V154" t="str">
            <v xml:space="preserve"> 7B 3C</v>
          </cell>
          <cell r="W154" t="str">
            <v>U1350</v>
          </cell>
          <cell r="Y154" t="str">
            <v>U1350E</v>
          </cell>
          <cell r="Z154" t="str">
            <v>AAA</v>
          </cell>
          <cell r="AB154" t="str">
            <v>U</v>
          </cell>
          <cell r="AD154" t="str">
            <v>*</v>
          </cell>
          <cell r="AE154" t="str">
            <v>2J653</v>
          </cell>
          <cell r="AF154" t="str">
            <v>021223</v>
          </cell>
          <cell r="AI154" t="str">
            <v>*</v>
          </cell>
          <cell r="AJ154" t="str">
            <v>T</v>
          </cell>
          <cell r="AT154" t="str">
            <v>A</v>
          </cell>
          <cell r="AU154" t="str">
            <v>0</v>
          </cell>
          <cell r="AV154" t="str">
            <v>3</v>
          </cell>
          <cell r="BE154" t="str">
            <v>ﾙ</v>
          </cell>
          <cell r="BF154" t="str">
            <v>0002</v>
          </cell>
          <cell r="BG154" t="str">
            <v>2J618</v>
          </cell>
          <cell r="BH154" t="str">
            <v>5P</v>
          </cell>
          <cell r="BI154" t="str">
            <v>020</v>
          </cell>
        </row>
        <row r="155">
          <cell r="T155" t="str">
            <v>5Q</v>
          </cell>
          <cell r="U155" t="str">
            <v>040</v>
          </cell>
          <cell r="V155" t="str">
            <v xml:space="preserve"> 7B 3C</v>
          </cell>
          <cell r="W155" t="str">
            <v>U1200</v>
          </cell>
          <cell r="Y155" t="str">
            <v>U1200E</v>
          </cell>
          <cell r="Z155" t="str">
            <v>AAA</v>
          </cell>
          <cell r="AB155" t="str">
            <v>U</v>
          </cell>
          <cell r="AD155" t="str">
            <v>*</v>
          </cell>
          <cell r="AE155" t="str">
            <v>2J653</v>
          </cell>
          <cell r="AF155" t="str">
            <v>021223</v>
          </cell>
          <cell r="AI155" t="str">
            <v>*</v>
          </cell>
          <cell r="AJ155" t="str">
            <v>T</v>
          </cell>
          <cell r="AT155" t="str">
            <v>A</v>
          </cell>
          <cell r="AU155" t="str">
            <v>0</v>
          </cell>
          <cell r="AV155" t="str">
            <v>3</v>
          </cell>
          <cell r="BE155" t="str">
            <v>ﾙ</v>
          </cell>
          <cell r="BF155" t="str">
            <v>0002</v>
          </cell>
          <cell r="BG155" t="str">
            <v>2J618</v>
          </cell>
          <cell r="BH155" t="str">
            <v>5P</v>
          </cell>
          <cell r="BI155" t="str">
            <v>020</v>
          </cell>
        </row>
        <row r="156">
          <cell r="T156" t="str">
            <v>5Q</v>
          </cell>
          <cell r="U156" t="str">
            <v>040</v>
          </cell>
          <cell r="V156" t="str">
            <v xml:space="preserve"> 7B 3C</v>
          </cell>
          <cell r="W156" t="str">
            <v>U1400</v>
          </cell>
          <cell r="Y156" t="str">
            <v>U1400E</v>
          </cell>
          <cell r="Z156" t="str">
            <v>AAA</v>
          </cell>
          <cell r="AB156" t="str">
            <v>U</v>
          </cell>
          <cell r="AD156" t="str">
            <v>*</v>
          </cell>
          <cell r="AE156" t="str">
            <v>2J653</v>
          </cell>
          <cell r="AF156" t="str">
            <v>021223</v>
          </cell>
          <cell r="AI156" t="str">
            <v>*</v>
          </cell>
          <cell r="AJ156" t="str">
            <v>T</v>
          </cell>
          <cell r="AT156" t="str">
            <v>A</v>
          </cell>
          <cell r="AU156" t="str">
            <v>0</v>
          </cell>
          <cell r="AV156" t="str">
            <v>3</v>
          </cell>
          <cell r="BE156" t="str">
            <v>ﾙ</v>
          </cell>
          <cell r="BF156" t="str">
            <v>0002</v>
          </cell>
          <cell r="BG156" t="str">
            <v>2J618</v>
          </cell>
          <cell r="BH156" t="str">
            <v>5P</v>
          </cell>
          <cell r="BI156" t="str">
            <v>020</v>
          </cell>
        </row>
        <row r="157">
          <cell r="T157" t="str">
            <v>5Q</v>
          </cell>
          <cell r="U157" t="str">
            <v>040</v>
          </cell>
          <cell r="V157" t="str">
            <v xml:space="preserve"> 7B 3C</v>
          </cell>
          <cell r="W157" t="str">
            <v>U1450</v>
          </cell>
          <cell r="Y157" t="str">
            <v>U1450E</v>
          </cell>
          <cell r="Z157" t="str">
            <v>AAA</v>
          </cell>
          <cell r="AB157" t="str">
            <v>U</v>
          </cell>
          <cell r="AD157" t="str">
            <v>*</v>
          </cell>
          <cell r="AE157" t="str">
            <v>2J653</v>
          </cell>
          <cell r="AF157" t="str">
            <v>021223</v>
          </cell>
          <cell r="AI157" t="str">
            <v>*</v>
          </cell>
          <cell r="AJ157" t="str">
            <v>T</v>
          </cell>
          <cell r="AT157" t="str">
            <v>A</v>
          </cell>
          <cell r="AU157" t="str">
            <v>0</v>
          </cell>
          <cell r="AV157" t="str">
            <v>3</v>
          </cell>
          <cell r="BE157" t="str">
            <v>ﾙ</v>
          </cell>
          <cell r="BF157" t="str">
            <v>0002</v>
          </cell>
          <cell r="BG157" t="str">
            <v>2J618</v>
          </cell>
          <cell r="BH157" t="str">
            <v>5P</v>
          </cell>
          <cell r="BI157" t="str">
            <v>020</v>
          </cell>
        </row>
        <row r="158">
          <cell r="T158" t="str">
            <v>5Q</v>
          </cell>
          <cell r="U158" t="str">
            <v>040</v>
          </cell>
          <cell r="V158" t="str">
            <v xml:space="preserve"> 7B 1D</v>
          </cell>
          <cell r="W158" t="str">
            <v>U7380</v>
          </cell>
          <cell r="Y158" t="str">
            <v>U7380E</v>
          </cell>
          <cell r="Z158" t="str">
            <v>AAA</v>
          </cell>
          <cell r="AB158" t="str">
            <v>T</v>
          </cell>
          <cell r="AD158" t="str">
            <v>*</v>
          </cell>
          <cell r="AE158" t="str">
            <v>2J653</v>
          </cell>
          <cell r="AF158" t="str">
            <v>021223</v>
          </cell>
          <cell r="AI158" t="str">
            <v>*</v>
          </cell>
          <cell r="AJ158" t="str">
            <v>T</v>
          </cell>
          <cell r="AT158" t="str">
            <v>A</v>
          </cell>
          <cell r="AU158" t="str">
            <v>0</v>
          </cell>
          <cell r="AV158" t="str">
            <v>3</v>
          </cell>
          <cell r="BE158" t="str">
            <v>ﾙ</v>
          </cell>
          <cell r="BF158" t="str">
            <v>0005</v>
          </cell>
          <cell r="BG158" t="str">
            <v>2J618</v>
          </cell>
          <cell r="BH158" t="str">
            <v>5P</v>
          </cell>
          <cell r="BI158" t="str">
            <v>020</v>
          </cell>
        </row>
        <row r="159">
          <cell r="T159" t="str">
            <v>5Q</v>
          </cell>
          <cell r="U159" t="str">
            <v>040</v>
          </cell>
          <cell r="V159" t="str">
            <v xml:space="preserve"> 7B 1D</v>
          </cell>
          <cell r="W159" t="str">
            <v>U7010</v>
          </cell>
          <cell r="Y159" t="str">
            <v>U7010E</v>
          </cell>
          <cell r="Z159" t="str">
            <v>AAB</v>
          </cell>
          <cell r="AB159" t="str">
            <v>U</v>
          </cell>
          <cell r="AD159" t="str">
            <v>*</v>
          </cell>
          <cell r="AE159" t="str">
            <v>2J653</v>
          </cell>
          <cell r="AF159" t="str">
            <v>021223</v>
          </cell>
          <cell r="AI159" t="str">
            <v>*</v>
          </cell>
          <cell r="AJ159" t="str">
            <v>T</v>
          </cell>
          <cell r="AT159" t="str">
            <v>A</v>
          </cell>
          <cell r="AU159" t="str">
            <v>0</v>
          </cell>
          <cell r="AV159" t="str">
            <v>3</v>
          </cell>
          <cell r="BE159" t="str">
            <v>ﾙ</v>
          </cell>
          <cell r="BF159" t="str">
            <v>0002</v>
          </cell>
          <cell r="BG159" t="str">
            <v>KOUBA</v>
          </cell>
        </row>
        <row r="160">
          <cell r="T160" t="str">
            <v>5Q</v>
          </cell>
          <cell r="U160" t="str">
            <v>040</v>
          </cell>
          <cell r="V160" t="str">
            <v xml:space="preserve"> 7B 1A</v>
          </cell>
          <cell r="W160" t="str">
            <v>U0620</v>
          </cell>
          <cell r="X160" t="str">
            <v xml:space="preserve"> 7B 1A</v>
          </cell>
          <cell r="Y160" t="str">
            <v>U0650Y</v>
          </cell>
          <cell r="Z160" t="str">
            <v>AAH</v>
          </cell>
          <cell r="AB160" t="str">
            <v>T</v>
          </cell>
          <cell r="AD160" t="str">
            <v>X</v>
          </cell>
          <cell r="AE160" t="str">
            <v>Z6398</v>
          </cell>
          <cell r="AF160" t="str">
            <v>011029</v>
          </cell>
          <cell r="AI160" t="str">
            <v>*</v>
          </cell>
          <cell r="AJ160" t="str">
            <v>T</v>
          </cell>
          <cell r="AT160" t="str">
            <v>A</v>
          </cell>
          <cell r="AU160" t="str">
            <v>0</v>
          </cell>
          <cell r="AV160" t="str">
            <v>3</v>
          </cell>
          <cell r="BE160" t="str">
            <v>ﾙ</v>
          </cell>
          <cell r="BF160" t="str">
            <v>0058</v>
          </cell>
          <cell r="BG160" t="str">
            <v>Z6398</v>
          </cell>
        </row>
        <row r="161">
          <cell r="T161" t="str">
            <v>5Q</v>
          </cell>
          <cell r="U161" t="str">
            <v>040</v>
          </cell>
          <cell r="V161" t="str">
            <v xml:space="preserve"> 7B 3D</v>
          </cell>
          <cell r="W161" t="str">
            <v>U1050</v>
          </cell>
          <cell r="Y161" t="str">
            <v>U1050E</v>
          </cell>
          <cell r="Z161" t="str">
            <v>AAA</v>
          </cell>
          <cell r="AB161" t="str">
            <v>U</v>
          </cell>
          <cell r="AD161" t="str">
            <v>*</v>
          </cell>
          <cell r="AE161" t="str">
            <v>2J653</v>
          </cell>
          <cell r="AF161" t="str">
            <v>021223</v>
          </cell>
          <cell r="AI161" t="str">
            <v>*</v>
          </cell>
          <cell r="AJ161" t="str">
            <v>T</v>
          </cell>
          <cell r="AT161" t="str">
            <v>A</v>
          </cell>
          <cell r="AU161" t="str">
            <v>0</v>
          </cell>
          <cell r="AV161" t="str">
            <v>3</v>
          </cell>
          <cell r="BE161" t="str">
            <v>ﾙ</v>
          </cell>
          <cell r="BF161" t="str">
            <v>0002</v>
          </cell>
          <cell r="BG161" t="str">
            <v>2J618</v>
          </cell>
          <cell r="BH161" t="str">
            <v>5P</v>
          </cell>
          <cell r="BI161" t="str">
            <v>020</v>
          </cell>
        </row>
        <row r="162">
          <cell r="T162" t="str">
            <v>5Q</v>
          </cell>
          <cell r="U162" t="str">
            <v>040</v>
          </cell>
          <cell r="V162" t="str">
            <v xml:space="preserve"> 7B 3C</v>
          </cell>
          <cell r="W162" t="str">
            <v>U1050</v>
          </cell>
          <cell r="Y162" t="str">
            <v>U1050E</v>
          </cell>
          <cell r="Z162" t="str">
            <v>AAA</v>
          </cell>
          <cell r="AB162" t="str">
            <v>U</v>
          </cell>
          <cell r="AD162" t="str">
            <v>*</v>
          </cell>
          <cell r="AE162" t="str">
            <v>2J653</v>
          </cell>
          <cell r="AF162" t="str">
            <v>021223</v>
          </cell>
          <cell r="AI162" t="str">
            <v>*</v>
          </cell>
          <cell r="AJ162" t="str">
            <v>T</v>
          </cell>
          <cell r="AT162" t="str">
            <v>A</v>
          </cell>
          <cell r="AU162" t="str">
            <v>0</v>
          </cell>
          <cell r="AV162" t="str">
            <v>3</v>
          </cell>
          <cell r="BE162" t="str">
            <v>ﾙ</v>
          </cell>
          <cell r="BF162" t="str">
            <v>0002</v>
          </cell>
          <cell r="BG162" t="str">
            <v>2J618</v>
          </cell>
          <cell r="BH162" t="str">
            <v>5P</v>
          </cell>
          <cell r="BI162" t="str">
            <v>020</v>
          </cell>
        </row>
        <row r="163">
          <cell r="T163" t="str">
            <v>5Q</v>
          </cell>
          <cell r="U163" t="str">
            <v>040</v>
          </cell>
          <cell r="V163" t="str">
            <v xml:space="preserve"> 7B 3D</v>
          </cell>
          <cell r="W163" t="str">
            <v>U1250</v>
          </cell>
          <cell r="Y163" t="str">
            <v>U1250E</v>
          </cell>
          <cell r="Z163" t="str">
            <v>AAA</v>
          </cell>
          <cell r="AB163" t="str">
            <v>U</v>
          </cell>
          <cell r="AD163" t="str">
            <v>*</v>
          </cell>
          <cell r="AE163" t="str">
            <v>2J653</v>
          </cell>
          <cell r="AF163" t="str">
            <v>021223</v>
          </cell>
          <cell r="AI163" t="str">
            <v>*</v>
          </cell>
          <cell r="AJ163" t="str">
            <v>T</v>
          </cell>
          <cell r="AT163" t="str">
            <v>A</v>
          </cell>
          <cell r="AU163" t="str">
            <v>0</v>
          </cell>
          <cell r="AV163" t="str">
            <v>3</v>
          </cell>
          <cell r="BE163" t="str">
            <v>ﾙ</v>
          </cell>
          <cell r="BF163" t="str">
            <v>0002</v>
          </cell>
          <cell r="BG163" t="str">
            <v>2J618</v>
          </cell>
          <cell r="BH163" t="str">
            <v>5P</v>
          </cell>
          <cell r="BI163" t="str">
            <v>020</v>
          </cell>
        </row>
        <row r="164">
          <cell r="T164" t="str">
            <v>5Q</v>
          </cell>
          <cell r="U164" t="str">
            <v>040</v>
          </cell>
          <cell r="V164" t="str">
            <v xml:space="preserve"> 7B 3D</v>
          </cell>
          <cell r="W164" t="str">
            <v>U1350</v>
          </cell>
          <cell r="Y164" t="str">
            <v>U1350E</v>
          </cell>
          <cell r="Z164" t="str">
            <v>AAA</v>
          </cell>
          <cell r="AB164" t="str">
            <v>U</v>
          </cell>
          <cell r="AD164" t="str">
            <v>*</v>
          </cell>
          <cell r="AE164" t="str">
            <v>2J653</v>
          </cell>
          <cell r="AF164" t="str">
            <v>021223</v>
          </cell>
          <cell r="AI164" t="str">
            <v>*</v>
          </cell>
          <cell r="AJ164" t="str">
            <v>T</v>
          </cell>
          <cell r="AT164" t="str">
            <v>A</v>
          </cell>
          <cell r="AU164" t="str">
            <v>0</v>
          </cell>
          <cell r="AV164" t="str">
            <v>3</v>
          </cell>
          <cell r="BE164" t="str">
            <v>ﾙ</v>
          </cell>
          <cell r="BF164" t="str">
            <v>0002</v>
          </cell>
          <cell r="BG164" t="str">
            <v>2J618</v>
          </cell>
          <cell r="BH164" t="str">
            <v>5P</v>
          </cell>
          <cell r="BI164" t="str">
            <v>020</v>
          </cell>
        </row>
        <row r="165">
          <cell r="T165" t="str">
            <v>5Q</v>
          </cell>
          <cell r="U165" t="str">
            <v>040</v>
          </cell>
          <cell r="V165" t="str">
            <v xml:space="preserve"> 7B 3D</v>
          </cell>
          <cell r="W165" t="str">
            <v>U1150</v>
          </cell>
          <cell r="Y165" t="str">
            <v>U1150E</v>
          </cell>
          <cell r="Z165" t="str">
            <v>AAA</v>
          </cell>
          <cell r="AB165" t="str">
            <v>U</v>
          </cell>
          <cell r="AD165" t="str">
            <v>*</v>
          </cell>
          <cell r="AE165" t="str">
            <v>2J653</v>
          </cell>
          <cell r="AF165" t="str">
            <v>021223</v>
          </cell>
          <cell r="AI165" t="str">
            <v>*</v>
          </cell>
          <cell r="AJ165" t="str">
            <v>T</v>
          </cell>
          <cell r="AT165" t="str">
            <v>A</v>
          </cell>
          <cell r="AU165" t="str">
            <v>0</v>
          </cell>
          <cell r="AV165" t="str">
            <v>3</v>
          </cell>
          <cell r="BE165" t="str">
            <v>ﾙ</v>
          </cell>
          <cell r="BF165" t="str">
            <v>0002</v>
          </cell>
          <cell r="BG165" t="str">
            <v>2J618</v>
          </cell>
          <cell r="BH165" t="str">
            <v>5P</v>
          </cell>
          <cell r="BI165" t="str">
            <v>020</v>
          </cell>
        </row>
        <row r="166">
          <cell r="T166" t="str">
            <v>5Q</v>
          </cell>
          <cell r="U166" t="str">
            <v>040</v>
          </cell>
          <cell r="V166" t="str">
            <v xml:space="preserve"> 7B 3A</v>
          </cell>
          <cell r="W166" t="str">
            <v>U1100</v>
          </cell>
          <cell r="Y166" t="str">
            <v>U1100E</v>
          </cell>
          <cell r="Z166" t="str">
            <v>AAC</v>
          </cell>
          <cell r="AB166" t="str">
            <v>U</v>
          </cell>
          <cell r="AD166" t="str">
            <v>*</v>
          </cell>
          <cell r="AE166" t="str">
            <v>2J653</v>
          </cell>
          <cell r="AF166" t="str">
            <v>021223</v>
          </cell>
          <cell r="AI166" t="str">
            <v>*</v>
          </cell>
          <cell r="AJ166" t="str">
            <v>T</v>
          </cell>
          <cell r="AT166" t="str">
            <v>A</v>
          </cell>
          <cell r="AU166" t="str">
            <v>0</v>
          </cell>
          <cell r="AV166" t="str">
            <v>3</v>
          </cell>
          <cell r="BF166" t="str">
            <v>0002</v>
          </cell>
          <cell r="BG166" t="str">
            <v>S1520</v>
          </cell>
          <cell r="BH166" t="str">
            <v>5P</v>
          </cell>
          <cell r="BI166" t="str">
            <v>020</v>
          </cell>
        </row>
        <row r="167">
          <cell r="T167" t="str">
            <v>5Q</v>
          </cell>
          <cell r="U167" t="str">
            <v>040</v>
          </cell>
          <cell r="V167" t="str">
            <v xml:space="preserve"> 7B 3A</v>
          </cell>
          <cell r="W167" t="str">
            <v>U1250</v>
          </cell>
          <cell r="Y167" t="str">
            <v>U1250E</v>
          </cell>
          <cell r="Z167" t="str">
            <v>AAB</v>
          </cell>
          <cell r="AB167" t="str">
            <v>U</v>
          </cell>
          <cell r="AD167" t="str">
            <v>*</v>
          </cell>
          <cell r="AE167" t="str">
            <v>2J653</v>
          </cell>
          <cell r="AF167" t="str">
            <v>021223</v>
          </cell>
          <cell r="AI167" t="str">
            <v>*</v>
          </cell>
          <cell r="AJ167" t="str">
            <v>T</v>
          </cell>
          <cell r="AT167" t="str">
            <v>A</v>
          </cell>
          <cell r="AU167" t="str">
            <v>0</v>
          </cell>
          <cell r="AV167" t="str">
            <v>3</v>
          </cell>
          <cell r="BE167" t="str">
            <v>ﾙ</v>
          </cell>
          <cell r="BF167" t="str">
            <v>0002</v>
          </cell>
          <cell r="BG167" t="str">
            <v>S1167</v>
          </cell>
          <cell r="BH167" t="str">
            <v>5P</v>
          </cell>
          <cell r="BI167" t="str">
            <v>020</v>
          </cell>
        </row>
        <row r="168">
          <cell r="T168" t="str">
            <v>5Q</v>
          </cell>
          <cell r="U168" t="str">
            <v>040</v>
          </cell>
          <cell r="V168" t="str">
            <v xml:space="preserve"> 7B 3A</v>
          </cell>
          <cell r="W168" t="str">
            <v>U1200</v>
          </cell>
          <cell r="Y168" t="str">
            <v>U1200E</v>
          </cell>
          <cell r="Z168" t="str">
            <v>AAB</v>
          </cell>
          <cell r="AB168" t="str">
            <v>U</v>
          </cell>
          <cell r="AD168" t="str">
            <v>*</v>
          </cell>
          <cell r="AE168" t="str">
            <v>2J653</v>
          </cell>
          <cell r="AF168" t="str">
            <v>021223</v>
          </cell>
          <cell r="AI168" t="str">
            <v>*</v>
          </cell>
          <cell r="AJ168" t="str">
            <v>T</v>
          </cell>
          <cell r="AT168" t="str">
            <v>A</v>
          </cell>
          <cell r="AU168" t="str">
            <v>0</v>
          </cell>
          <cell r="AV168" t="str">
            <v>3</v>
          </cell>
          <cell r="BE168" t="str">
            <v>ﾙ</v>
          </cell>
          <cell r="BF168" t="str">
            <v>0002</v>
          </cell>
          <cell r="BG168" t="str">
            <v>S1167</v>
          </cell>
          <cell r="BH168" t="str">
            <v>5P</v>
          </cell>
          <cell r="BI168" t="str">
            <v>020</v>
          </cell>
        </row>
        <row r="169">
          <cell r="T169" t="str">
            <v>5Q</v>
          </cell>
          <cell r="U169" t="str">
            <v>040</v>
          </cell>
          <cell r="V169" t="str">
            <v xml:space="preserve"> 7B 1D</v>
          </cell>
          <cell r="W169" t="str">
            <v>U7080</v>
          </cell>
          <cell r="Y169" t="str">
            <v>U7080E</v>
          </cell>
          <cell r="Z169" t="str">
            <v>AAA</v>
          </cell>
          <cell r="AB169" t="str">
            <v>T</v>
          </cell>
          <cell r="AD169" t="str">
            <v>*</v>
          </cell>
          <cell r="AE169" t="str">
            <v>2J653</v>
          </cell>
          <cell r="AF169" t="str">
            <v>021223</v>
          </cell>
          <cell r="AI169" t="str">
            <v>*</v>
          </cell>
          <cell r="AJ169" t="str">
            <v>T</v>
          </cell>
          <cell r="AT169" t="str">
            <v>A</v>
          </cell>
          <cell r="AU169" t="str">
            <v>0</v>
          </cell>
          <cell r="AV169" t="str">
            <v>3</v>
          </cell>
          <cell r="BE169" t="str">
            <v>ﾙ</v>
          </cell>
          <cell r="BF169" t="str">
            <v>0005</v>
          </cell>
          <cell r="BG169" t="str">
            <v>2J619</v>
          </cell>
          <cell r="BH169" t="str">
            <v>5Q</v>
          </cell>
          <cell r="BI169" t="str">
            <v>020</v>
          </cell>
        </row>
        <row r="170">
          <cell r="T170" t="str">
            <v>5Q</v>
          </cell>
          <cell r="U170" t="str">
            <v>040</v>
          </cell>
          <cell r="V170" t="str">
            <v xml:space="preserve"> 7B 1D</v>
          </cell>
          <cell r="W170" t="str">
            <v>U7510</v>
          </cell>
          <cell r="Y170" t="str">
            <v>U7510E</v>
          </cell>
          <cell r="Z170" t="str">
            <v>AAL</v>
          </cell>
          <cell r="AB170" t="str">
            <v>T</v>
          </cell>
          <cell r="AD170" t="str">
            <v>*</v>
          </cell>
          <cell r="AE170" t="str">
            <v>2J653</v>
          </cell>
          <cell r="AF170" t="str">
            <v>021223</v>
          </cell>
          <cell r="AI170" t="str">
            <v>*</v>
          </cell>
          <cell r="AJ170" t="str">
            <v>T</v>
          </cell>
          <cell r="AT170" t="str">
            <v>A</v>
          </cell>
          <cell r="AU170" t="str">
            <v>0</v>
          </cell>
          <cell r="AV170" t="str">
            <v>3</v>
          </cell>
          <cell r="BE170" t="str">
            <v>ﾙ</v>
          </cell>
          <cell r="BF170" t="str">
            <v>0005</v>
          </cell>
          <cell r="BG170" t="str">
            <v>2J619</v>
          </cell>
          <cell r="BH170" t="str">
            <v>5Q</v>
          </cell>
          <cell r="BI170" t="str">
            <v>020</v>
          </cell>
        </row>
        <row r="171">
          <cell r="T171" t="str">
            <v>5Q</v>
          </cell>
          <cell r="U171" t="str">
            <v>040</v>
          </cell>
          <cell r="V171" t="str">
            <v xml:space="preserve"> 7B 1C</v>
          </cell>
          <cell r="W171" t="str">
            <v>U4100</v>
          </cell>
          <cell r="Y171" t="str">
            <v>U4100E</v>
          </cell>
          <cell r="Z171" t="str">
            <v>AAB</v>
          </cell>
          <cell r="AB171" t="str">
            <v>T</v>
          </cell>
          <cell r="AD171" t="str">
            <v>*</v>
          </cell>
          <cell r="AE171" t="str">
            <v>2J653</v>
          </cell>
          <cell r="AF171" t="str">
            <v>021223</v>
          </cell>
          <cell r="AI171" t="str">
            <v>*</v>
          </cell>
          <cell r="AJ171" t="str">
            <v>T</v>
          </cell>
          <cell r="AT171" t="str">
            <v>A</v>
          </cell>
          <cell r="AU171" t="str">
            <v>0</v>
          </cell>
          <cell r="AV171" t="str">
            <v>5</v>
          </cell>
          <cell r="BE171" t="str">
            <v>B</v>
          </cell>
          <cell r="BF171" t="str">
            <v>0005</v>
          </cell>
          <cell r="BG171" t="str">
            <v>Z6366</v>
          </cell>
          <cell r="BH171" t="str">
            <v>5Q</v>
          </cell>
          <cell r="BI171" t="str">
            <v>020</v>
          </cell>
        </row>
        <row r="172">
          <cell r="T172" t="str">
            <v>5Q</v>
          </cell>
          <cell r="U172" t="str">
            <v>040</v>
          </cell>
          <cell r="V172" t="str">
            <v xml:space="preserve"> 7B 1C</v>
          </cell>
          <cell r="W172" t="str">
            <v>U4200</v>
          </cell>
          <cell r="Y172" t="str">
            <v>U4200E</v>
          </cell>
          <cell r="Z172" t="str">
            <v>AAC</v>
          </cell>
          <cell r="AB172" t="str">
            <v>T</v>
          </cell>
          <cell r="AD172" t="str">
            <v>*</v>
          </cell>
          <cell r="AE172" t="str">
            <v>2J653</v>
          </cell>
          <cell r="AF172" t="str">
            <v>021223</v>
          </cell>
          <cell r="AI172" t="str">
            <v>*</v>
          </cell>
          <cell r="AJ172" t="str">
            <v>T</v>
          </cell>
          <cell r="AT172" t="str">
            <v>A</v>
          </cell>
          <cell r="AU172" t="str">
            <v>0</v>
          </cell>
          <cell r="AV172" t="str">
            <v>5</v>
          </cell>
          <cell r="BE172" t="str">
            <v>B</v>
          </cell>
          <cell r="BF172" t="str">
            <v>0005</v>
          </cell>
          <cell r="BG172" t="str">
            <v>Z6366</v>
          </cell>
          <cell r="BH172" t="str">
            <v>5Q</v>
          </cell>
          <cell r="BI172" t="str">
            <v>020</v>
          </cell>
        </row>
        <row r="173">
          <cell r="T173" t="str">
            <v>5Q</v>
          </cell>
          <cell r="U173" t="str">
            <v>040</v>
          </cell>
          <cell r="V173" t="str">
            <v xml:space="preserve"> 7B 1D</v>
          </cell>
          <cell r="W173" t="str">
            <v>U7030</v>
          </cell>
          <cell r="Y173" t="str">
            <v>U7030E</v>
          </cell>
          <cell r="Z173" t="str">
            <v>AAA</v>
          </cell>
          <cell r="AB173" t="str">
            <v>T</v>
          </cell>
          <cell r="AD173" t="str">
            <v>*</v>
          </cell>
          <cell r="AE173" t="str">
            <v>2J653</v>
          </cell>
          <cell r="AF173" t="str">
            <v>021223</v>
          </cell>
          <cell r="AI173" t="str">
            <v>*</v>
          </cell>
          <cell r="AJ173" t="str">
            <v>T</v>
          </cell>
          <cell r="AT173" t="str">
            <v>A</v>
          </cell>
          <cell r="AU173" t="str">
            <v>0</v>
          </cell>
          <cell r="AV173" t="str">
            <v>3</v>
          </cell>
          <cell r="BE173" t="str">
            <v>ﾙ</v>
          </cell>
          <cell r="BF173" t="str">
            <v>0005</v>
          </cell>
        </row>
        <row r="174">
          <cell r="T174" t="str">
            <v>5Q</v>
          </cell>
          <cell r="U174" t="str">
            <v>040</v>
          </cell>
          <cell r="V174" t="str">
            <v xml:space="preserve"> 7B 1D</v>
          </cell>
          <cell r="W174" t="str">
            <v>U7460</v>
          </cell>
          <cell r="Y174" t="str">
            <v>U7460E</v>
          </cell>
          <cell r="Z174" t="str">
            <v>AAA</v>
          </cell>
          <cell r="AB174" t="str">
            <v>T</v>
          </cell>
          <cell r="AD174" t="str">
            <v>*</v>
          </cell>
          <cell r="AE174" t="str">
            <v>2J653</v>
          </cell>
          <cell r="AF174" t="str">
            <v>021223</v>
          </cell>
          <cell r="AI174" t="str">
            <v>*</v>
          </cell>
          <cell r="AJ174" t="str">
            <v>T</v>
          </cell>
          <cell r="AT174" t="str">
            <v>A</v>
          </cell>
          <cell r="AU174" t="str">
            <v>0</v>
          </cell>
          <cell r="AV174" t="str">
            <v>3</v>
          </cell>
          <cell r="BE174" t="str">
            <v>ﾙ</v>
          </cell>
          <cell r="BF174" t="str">
            <v>0008</v>
          </cell>
          <cell r="BG174" t="str">
            <v>2J619</v>
          </cell>
          <cell r="BH174" t="str">
            <v>5Q</v>
          </cell>
          <cell r="BI174" t="str">
            <v>020</v>
          </cell>
        </row>
        <row r="175">
          <cell r="T175" t="str">
            <v>5Q</v>
          </cell>
          <cell r="U175" t="str">
            <v>040</v>
          </cell>
          <cell r="V175" t="str">
            <v xml:space="preserve"> 7B 1D</v>
          </cell>
          <cell r="W175" t="str">
            <v>U7460</v>
          </cell>
          <cell r="Y175" t="str">
            <v>U7460E</v>
          </cell>
          <cell r="Z175" t="str">
            <v>AAB</v>
          </cell>
          <cell r="AB175" t="str">
            <v>T</v>
          </cell>
          <cell r="AD175" t="str">
            <v>*</v>
          </cell>
          <cell r="AE175" t="str">
            <v>2J653</v>
          </cell>
          <cell r="AF175" t="str">
            <v>021223</v>
          </cell>
          <cell r="AI175" t="str">
            <v>*</v>
          </cell>
          <cell r="AJ175" t="str">
            <v>T</v>
          </cell>
          <cell r="AT175" t="str">
            <v>A</v>
          </cell>
          <cell r="AU175" t="str">
            <v>0</v>
          </cell>
          <cell r="AV175" t="str">
            <v>3</v>
          </cell>
          <cell r="BE175" t="str">
            <v>ﾙ</v>
          </cell>
          <cell r="BF175" t="str">
            <v>0008</v>
          </cell>
          <cell r="BG175" t="str">
            <v>2J619</v>
          </cell>
          <cell r="BH175" t="str">
            <v>5Q</v>
          </cell>
          <cell r="BI175" t="str">
            <v>020</v>
          </cell>
        </row>
        <row r="176">
          <cell r="T176" t="str">
            <v>5Q</v>
          </cell>
          <cell r="U176" t="str">
            <v>040</v>
          </cell>
          <cell r="V176" t="str">
            <v xml:space="preserve"> 7B 1D</v>
          </cell>
          <cell r="W176" t="str">
            <v>U7460</v>
          </cell>
          <cell r="Y176" t="str">
            <v>U7460E</v>
          </cell>
          <cell r="Z176" t="str">
            <v>AAC</v>
          </cell>
          <cell r="AB176" t="str">
            <v>T</v>
          </cell>
          <cell r="AD176" t="str">
            <v>*</v>
          </cell>
          <cell r="AE176" t="str">
            <v>2J653</v>
          </cell>
          <cell r="AF176" t="str">
            <v>021223</v>
          </cell>
          <cell r="AI176" t="str">
            <v>*</v>
          </cell>
          <cell r="AJ176" t="str">
            <v>T</v>
          </cell>
          <cell r="AT176" t="str">
            <v>A</v>
          </cell>
          <cell r="AU176" t="str">
            <v>0</v>
          </cell>
          <cell r="AV176" t="str">
            <v>3</v>
          </cell>
          <cell r="BE176" t="str">
            <v>ﾙ</v>
          </cell>
          <cell r="BF176" t="str">
            <v>0008</v>
          </cell>
          <cell r="BG176" t="str">
            <v>2J619</v>
          </cell>
          <cell r="BH176" t="str">
            <v>5Q</v>
          </cell>
          <cell r="BI176" t="str">
            <v>020</v>
          </cell>
        </row>
        <row r="177">
          <cell r="T177" t="str">
            <v>5Q</v>
          </cell>
          <cell r="U177" t="str">
            <v>040</v>
          </cell>
          <cell r="V177" t="str">
            <v xml:space="preserve"> 7B 3A</v>
          </cell>
          <cell r="W177" t="str">
            <v>U1150</v>
          </cell>
          <cell r="Y177" t="str">
            <v>U1150E</v>
          </cell>
          <cell r="Z177" t="str">
            <v>AAB</v>
          </cell>
          <cell r="AB177" t="str">
            <v>U</v>
          </cell>
          <cell r="AD177" t="str">
            <v>*</v>
          </cell>
          <cell r="AE177" t="str">
            <v>2J653</v>
          </cell>
          <cell r="AF177" t="str">
            <v>021223</v>
          </cell>
          <cell r="AI177" t="str">
            <v>*</v>
          </cell>
          <cell r="AJ177" t="str">
            <v>T</v>
          </cell>
          <cell r="AT177" t="str">
            <v>A</v>
          </cell>
          <cell r="AU177" t="str">
            <v>0</v>
          </cell>
          <cell r="AV177" t="str">
            <v>3</v>
          </cell>
          <cell r="BE177" t="str">
            <v>ﾙ</v>
          </cell>
          <cell r="BF177" t="str">
            <v>0002</v>
          </cell>
          <cell r="BG177" t="str">
            <v>Z6369</v>
          </cell>
          <cell r="BH177" t="str">
            <v>5P</v>
          </cell>
          <cell r="BI177" t="str">
            <v>020</v>
          </cell>
        </row>
        <row r="178">
          <cell r="T178" t="str">
            <v>5Q</v>
          </cell>
          <cell r="U178" t="str">
            <v>040</v>
          </cell>
          <cell r="V178" t="str">
            <v xml:space="preserve"> 7B 3A</v>
          </cell>
          <cell r="W178" t="str">
            <v>U1300</v>
          </cell>
          <cell r="Y178" t="str">
            <v>U1300E</v>
          </cell>
          <cell r="Z178" t="str">
            <v>AAA</v>
          </cell>
          <cell r="AB178" t="str">
            <v>U</v>
          </cell>
          <cell r="AD178" t="str">
            <v>*</v>
          </cell>
          <cell r="AE178" t="str">
            <v>2J653</v>
          </cell>
          <cell r="AF178" t="str">
            <v>021223</v>
          </cell>
          <cell r="AI178" t="str">
            <v>*</v>
          </cell>
          <cell r="AJ178" t="str">
            <v>T</v>
          </cell>
          <cell r="AT178" t="str">
            <v>A</v>
          </cell>
          <cell r="AU178" t="str">
            <v>0</v>
          </cell>
          <cell r="AV178" t="str">
            <v>3</v>
          </cell>
          <cell r="BE178" t="str">
            <v>ﾙ</v>
          </cell>
          <cell r="BF178" t="str">
            <v>0002</v>
          </cell>
          <cell r="BG178" t="str">
            <v>2J618</v>
          </cell>
          <cell r="BH178" t="str">
            <v>5P</v>
          </cell>
          <cell r="BI178" t="str">
            <v>020</v>
          </cell>
        </row>
        <row r="179">
          <cell r="T179" t="str">
            <v>5Q</v>
          </cell>
          <cell r="U179" t="str">
            <v>040</v>
          </cell>
          <cell r="V179" t="str">
            <v xml:space="preserve"> 7B 3A</v>
          </cell>
          <cell r="W179" t="str">
            <v>U1500</v>
          </cell>
          <cell r="Y179" t="str">
            <v>U1500E</v>
          </cell>
          <cell r="Z179" t="str">
            <v>AAA</v>
          </cell>
          <cell r="AB179" t="str">
            <v>U</v>
          </cell>
          <cell r="AD179" t="str">
            <v>*</v>
          </cell>
          <cell r="AE179" t="str">
            <v>2J653</v>
          </cell>
          <cell r="AF179" t="str">
            <v>021223</v>
          </cell>
          <cell r="AI179" t="str">
            <v>*</v>
          </cell>
          <cell r="AJ179" t="str">
            <v>T</v>
          </cell>
          <cell r="AT179" t="str">
            <v>A</v>
          </cell>
          <cell r="AU179" t="str">
            <v>0</v>
          </cell>
          <cell r="AV179" t="str">
            <v>3</v>
          </cell>
          <cell r="BE179" t="str">
            <v>ﾙ</v>
          </cell>
          <cell r="BF179" t="str">
            <v>0002</v>
          </cell>
          <cell r="BG179" t="str">
            <v>2J618</v>
          </cell>
          <cell r="BH179" t="str">
            <v>5P</v>
          </cell>
          <cell r="BI179" t="str">
            <v>020</v>
          </cell>
        </row>
        <row r="180">
          <cell r="T180" t="str">
            <v>5Q</v>
          </cell>
          <cell r="U180" t="str">
            <v>040</v>
          </cell>
          <cell r="V180" t="str">
            <v xml:space="preserve"> 7B 3A</v>
          </cell>
          <cell r="W180" t="str">
            <v>U1550</v>
          </cell>
          <cell r="Y180" t="str">
            <v>U1550E</v>
          </cell>
          <cell r="Z180" t="str">
            <v>AAA</v>
          </cell>
          <cell r="AB180" t="str">
            <v>U</v>
          </cell>
          <cell r="AD180" t="str">
            <v>*</v>
          </cell>
          <cell r="AE180" t="str">
            <v>2J653</v>
          </cell>
          <cell r="AF180" t="str">
            <v>021223</v>
          </cell>
          <cell r="AI180" t="str">
            <v>*</v>
          </cell>
          <cell r="AJ180" t="str">
            <v>T</v>
          </cell>
          <cell r="AT180" t="str">
            <v>A</v>
          </cell>
          <cell r="AU180" t="str">
            <v>0</v>
          </cell>
          <cell r="AV180" t="str">
            <v>3</v>
          </cell>
          <cell r="BE180" t="str">
            <v>ﾙ</v>
          </cell>
          <cell r="BF180" t="str">
            <v>0002</v>
          </cell>
          <cell r="BG180" t="str">
            <v>2J618</v>
          </cell>
          <cell r="BH180" t="str">
            <v>5P</v>
          </cell>
          <cell r="BI180" t="str">
            <v>020</v>
          </cell>
        </row>
        <row r="181">
          <cell r="T181" t="str">
            <v>5Q</v>
          </cell>
          <cell r="U181" t="str">
            <v>040</v>
          </cell>
          <cell r="V181" t="str">
            <v xml:space="preserve"> 7B 3C</v>
          </cell>
          <cell r="W181" t="str">
            <v>U1000</v>
          </cell>
          <cell r="X181" t="str">
            <v xml:space="preserve"> 7B 3C</v>
          </cell>
          <cell r="Y181" t="str">
            <v>U1780Y</v>
          </cell>
          <cell r="Z181" t="str">
            <v>AAH</v>
          </cell>
          <cell r="AB181" t="str">
            <v>U</v>
          </cell>
          <cell r="AD181" t="str">
            <v>*</v>
          </cell>
          <cell r="AE181" t="str">
            <v>JBN49</v>
          </cell>
          <cell r="AF181" t="str">
            <v>020701</v>
          </cell>
          <cell r="AI181" t="str">
            <v>*</v>
          </cell>
          <cell r="AJ181" t="str">
            <v>T</v>
          </cell>
          <cell r="AT181" t="str">
            <v>A</v>
          </cell>
          <cell r="AU181" t="str">
            <v>0</v>
          </cell>
          <cell r="AV181" t="str">
            <v>3</v>
          </cell>
          <cell r="BE181" t="str">
            <v>ﾙ</v>
          </cell>
          <cell r="BF181" t="str">
            <v>0002</v>
          </cell>
          <cell r="BG181" t="str">
            <v>2J618</v>
          </cell>
        </row>
        <row r="182">
          <cell r="T182" t="str">
            <v>5Q</v>
          </cell>
          <cell r="U182" t="str">
            <v>040</v>
          </cell>
          <cell r="V182" t="str">
            <v xml:space="preserve"> 7B 3C</v>
          </cell>
          <cell r="W182" t="str">
            <v>U1000</v>
          </cell>
          <cell r="X182" t="str">
            <v xml:space="preserve"> 7B 3C</v>
          </cell>
          <cell r="Y182" t="str">
            <v>U1830Y</v>
          </cell>
          <cell r="Z182" t="str">
            <v>AAP</v>
          </cell>
          <cell r="AB182" t="str">
            <v>U</v>
          </cell>
          <cell r="AD182" t="str">
            <v>*</v>
          </cell>
          <cell r="AE182" t="str">
            <v>JBN49</v>
          </cell>
          <cell r="AF182" t="str">
            <v>020701</v>
          </cell>
          <cell r="AI182" t="str">
            <v>*</v>
          </cell>
          <cell r="AJ182" t="str">
            <v>T</v>
          </cell>
          <cell r="AT182" t="str">
            <v>A</v>
          </cell>
          <cell r="AU182" t="str">
            <v>0</v>
          </cell>
          <cell r="AV182" t="str">
            <v>3</v>
          </cell>
          <cell r="BE182" t="str">
            <v>ﾙ</v>
          </cell>
          <cell r="BF182" t="str">
            <v>0002</v>
          </cell>
          <cell r="BG182" t="str">
            <v>S1269</v>
          </cell>
        </row>
        <row r="183">
          <cell r="T183" t="str">
            <v>5Q</v>
          </cell>
          <cell r="U183" t="str">
            <v>040</v>
          </cell>
          <cell r="V183" t="str">
            <v xml:space="preserve"> 7B 3D</v>
          </cell>
          <cell r="W183" t="str">
            <v>U1300</v>
          </cell>
          <cell r="Y183" t="str">
            <v>U1300E</v>
          </cell>
          <cell r="Z183" t="str">
            <v>AAA</v>
          </cell>
          <cell r="AB183" t="str">
            <v>U</v>
          </cell>
          <cell r="AD183" t="str">
            <v>*</v>
          </cell>
          <cell r="AE183" t="str">
            <v>2J653</v>
          </cell>
          <cell r="AF183" t="str">
            <v>021223</v>
          </cell>
          <cell r="AI183" t="str">
            <v>*</v>
          </cell>
          <cell r="AJ183" t="str">
            <v>T</v>
          </cell>
          <cell r="AT183" t="str">
            <v>A</v>
          </cell>
          <cell r="AU183" t="str">
            <v>0</v>
          </cell>
          <cell r="AV183" t="str">
            <v>3</v>
          </cell>
          <cell r="BE183" t="str">
            <v>ﾙ</v>
          </cell>
          <cell r="BF183" t="str">
            <v>0002</v>
          </cell>
          <cell r="BG183" t="str">
            <v>2J618</v>
          </cell>
          <cell r="BH183" t="str">
            <v>5P</v>
          </cell>
          <cell r="BI183" t="str">
            <v>020</v>
          </cell>
        </row>
        <row r="184">
          <cell r="T184" t="str">
            <v>5Q</v>
          </cell>
          <cell r="U184" t="str">
            <v>040</v>
          </cell>
          <cell r="V184" t="str">
            <v xml:space="preserve"> 7B 1D</v>
          </cell>
          <cell r="W184" t="str">
            <v>U7120</v>
          </cell>
          <cell r="Y184" t="str">
            <v>U7120E</v>
          </cell>
          <cell r="Z184" t="str">
            <v>AAA</v>
          </cell>
          <cell r="AB184" t="str">
            <v>T</v>
          </cell>
          <cell r="AD184" t="str">
            <v>*</v>
          </cell>
          <cell r="AE184" t="str">
            <v>2J653</v>
          </cell>
          <cell r="AF184" t="str">
            <v>021223</v>
          </cell>
          <cell r="AI184" t="str">
            <v>*</v>
          </cell>
          <cell r="AJ184" t="str">
            <v>T</v>
          </cell>
          <cell r="AT184" t="str">
            <v>3</v>
          </cell>
          <cell r="AU184" t="str">
            <v>0</v>
          </cell>
          <cell r="AV184" t="str">
            <v>7</v>
          </cell>
          <cell r="BE184" t="str">
            <v>ﾙ</v>
          </cell>
          <cell r="BF184" t="str">
            <v>0005</v>
          </cell>
          <cell r="BG184" t="str">
            <v>Z6327</v>
          </cell>
        </row>
        <row r="185">
          <cell r="T185" t="str">
            <v>5Q</v>
          </cell>
          <cell r="U185" t="str">
            <v>040</v>
          </cell>
          <cell r="V185" t="str">
            <v xml:space="preserve"> 7B 1D</v>
          </cell>
          <cell r="W185" t="str">
            <v>U7440</v>
          </cell>
          <cell r="Y185" t="str">
            <v>U7440E</v>
          </cell>
          <cell r="Z185" t="str">
            <v>AAA</v>
          </cell>
          <cell r="AB185" t="str">
            <v>T</v>
          </cell>
          <cell r="AD185" t="str">
            <v>*</v>
          </cell>
          <cell r="AE185" t="str">
            <v>2J653</v>
          </cell>
          <cell r="AF185" t="str">
            <v>021223</v>
          </cell>
          <cell r="AI185" t="str">
            <v>*</v>
          </cell>
          <cell r="AJ185" t="str">
            <v>T</v>
          </cell>
          <cell r="AT185" t="str">
            <v>3</v>
          </cell>
          <cell r="AU185" t="str">
            <v>0</v>
          </cell>
          <cell r="AV185" t="str">
            <v>7</v>
          </cell>
          <cell r="BE185" t="str">
            <v>ﾙ</v>
          </cell>
          <cell r="BF185" t="str">
            <v>0008</v>
          </cell>
          <cell r="BG185" t="str">
            <v>2S012</v>
          </cell>
          <cell r="BH185" t="str">
            <v>5R</v>
          </cell>
          <cell r="BI185" t="str">
            <v>020</v>
          </cell>
        </row>
        <row r="186">
          <cell r="T186" t="str">
            <v>5Q</v>
          </cell>
          <cell r="U186" t="str">
            <v>040</v>
          </cell>
          <cell r="V186" t="str">
            <v>12E</v>
          </cell>
          <cell r="W186" t="str">
            <v>U0520</v>
          </cell>
          <cell r="Y186" t="str">
            <v>U0520E</v>
          </cell>
          <cell r="Z186" t="str">
            <v>AAC</v>
          </cell>
          <cell r="AB186" t="str">
            <v>T</v>
          </cell>
          <cell r="AD186" t="str">
            <v>*</v>
          </cell>
          <cell r="AE186" t="str">
            <v>2J653</v>
          </cell>
          <cell r="AF186" t="str">
            <v>021223</v>
          </cell>
          <cell r="AI186" t="str">
            <v>*</v>
          </cell>
          <cell r="AJ186" t="str">
            <v>T</v>
          </cell>
          <cell r="AT186" t="str">
            <v>A</v>
          </cell>
          <cell r="AU186" t="str">
            <v>0</v>
          </cell>
          <cell r="AV186" t="str">
            <v>3</v>
          </cell>
          <cell r="BE186" t="str">
            <v>ｲ</v>
          </cell>
          <cell r="BF186" t="str">
            <v>0004</v>
          </cell>
          <cell r="BG186" t="str">
            <v>Z6414</v>
          </cell>
          <cell r="BH186" t="str">
            <v>5P</v>
          </cell>
          <cell r="BI186" t="str">
            <v>020</v>
          </cell>
        </row>
        <row r="187">
          <cell r="T187" t="str">
            <v>5Q</v>
          </cell>
          <cell r="U187" t="str">
            <v>040</v>
          </cell>
          <cell r="V187" t="str">
            <v xml:space="preserve"> 5D</v>
          </cell>
          <cell r="W187" t="str">
            <v>U5160</v>
          </cell>
          <cell r="Y187" t="str">
            <v>U5160E</v>
          </cell>
          <cell r="Z187" t="str">
            <v>AAD</v>
          </cell>
          <cell r="AB187" t="str">
            <v>F</v>
          </cell>
          <cell r="AD187" t="str">
            <v>*</v>
          </cell>
          <cell r="AE187" t="str">
            <v>2J653</v>
          </cell>
          <cell r="AF187" t="str">
            <v>021223</v>
          </cell>
          <cell r="AI187" t="str">
            <v>*</v>
          </cell>
          <cell r="AJ187" t="str">
            <v>T</v>
          </cell>
          <cell r="AT187" t="str">
            <v>A</v>
          </cell>
          <cell r="AU187" t="str">
            <v>0</v>
          </cell>
          <cell r="AV187" t="str">
            <v>3</v>
          </cell>
          <cell r="BE187" t="str">
            <v>ﾙ</v>
          </cell>
          <cell r="BF187" t="str">
            <v>0052</v>
          </cell>
          <cell r="BG187" t="str">
            <v>Z6339</v>
          </cell>
          <cell r="BH187" t="str">
            <v>5R</v>
          </cell>
          <cell r="BI187" t="str">
            <v>020</v>
          </cell>
        </row>
        <row r="188">
          <cell r="T188" t="str">
            <v>5Q</v>
          </cell>
          <cell r="U188" t="str">
            <v>040</v>
          </cell>
          <cell r="V188" t="str">
            <v xml:space="preserve"> 7B 3A</v>
          </cell>
          <cell r="W188" t="str">
            <v>U0140</v>
          </cell>
          <cell r="Y188" t="str">
            <v>U0140E</v>
          </cell>
          <cell r="Z188" t="str">
            <v>AAA</v>
          </cell>
          <cell r="AB188" t="str">
            <v>U</v>
          </cell>
          <cell r="AD188" t="str">
            <v>*</v>
          </cell>
          <cell r="AE188" t="str">
            <v>2J653</v>
          </cell>
          <cell r="AF188" t="str">
            <v>021223</v>
          </cell>
          <cell r="AI188" t="str">
            <v>*</v>
          </cell>
          <cell r="AJ188" t="str">
            <v>T</v>
          </cell>
          <cell r="AT188" t="str">
            <v>A</v>
          </cell>
          <cell r="AU188" t="str">
            <v>0</v>
          </cell>
          <cell r="AV188" t="str">
            <v>3</v>
          </cell>
          <cell r="BF188" t="str">
            <v>0002</v>
          </cell>
          <cell r="BG188" t="str">
            <v>2S016</v>
          </cell>
          <cell r="BH188" t="str">
            <v>AB</v>
          </cell>
          <cell r="BI188" t="str">
            <v>020</v>
          </cell>
        </row>
        <row r="189">
          <cell r="T189" t="str">
            <v>5Q</v>
          </cell>
          <cell r="U189" t="str">
            <v>040</v>
          </cell>
          <cell r="V189" t="str">
            <v xml:space="preserve"> 7B 1D</v>
          </cell>
          <cell r="W189" t="str">
            <v>U7070</v>
          </cell>
          <cell r="X189" t="str">
            <v xml:space="preserve"> 7B 1D</v>
          </cell>
          <cell r="Y189" t="str">
            <v>U6450Y</v>
          </cell>
          <cell r="Z189" t="str">
            <v>AAC</v>
          </cell>
          <cell r="AB189" t="str">
            <v>T</v>
          </cell>
          <cell r="AD189" t="str">
            <v>X</v>
          </cell>
          <cell r="AE189" t="str">
            <v>Z6399</v>
          </cell>
          <cell r="AF189" t="str">
            <v>011022</v>
          </cell>
          <cell r="AI189" t="str">
            <v>*</v>
          </cell>
          <cell r="AJ189" t="str">
            <v>T</v>
          </cell>
          <cell r="AT189" t="str">
            <v>A</v>
          </cell>
          <cell r="AU189" t="str">
            <v>0</v>
          </cell>
          <cell r="AV189" t="str">
            <v>3</v>
          </cell>
          <cell r="BE189" t="str">
            <v>ﾙ</v>
          </cell>
          <cell r="BF189" t="str">
            <v>0005</v>
          </cell>
          <cell r="BG189" t="str">
            <v>Z6399</v>
          </cell>
        </row>
        <row r="190">
          <cell r="T190" t="str">
            <v>5Q</v>
          </cell>
          <cell r="U190" t="str">
            <v>040</v>
          </cell>
          <cell r="V190" t="str">
            <v xml:space="preserve"> 7B 1D</v>
          </cell>
          <cell r="W190" t="str">
            <v>U7510</v>
          </cell>
          <cell r="Y190" t="str">
            <v>U7510E</v>
          </cell>
          <cell r="Z190" t="str">
            <v>AAM</v>
          </cell>
          <cell r="AB190" t="str">
            <v>T</v>
          </cell>
          <cell r="AD190" t="str">
            <v>*</v>
          </cell>
          <cell r="AE190" t="str">
            <v>2J653</v>
          </cell>
          <cell r="AF190" t="str">
            <v>021223</v>
          </cell>
          <cell r="AI190" t="str">
            <v>*</v>
          </cell>
          <cell r="AJ190" t="str">
            <v>T</v>
          </cell>
          <cell r="AT190" t="str">
            <v>A</v>
          </cell>
          <cell r="AU190" t="str">
            <v>0</v>
          </cell>
          <cell r="AV190" t="str">
            <v>3</v>
          </cell>
          <cell r="BE190" t="str">
            <v>ﾙ</v>
          </cell>
          <cell r="BF190" t="str">
            <v>0005</v>
          </cell>
          <cell r="BG190" t="str">
            <v>S0979</v>
          </cell>
          <cell r="BH190" t="str">
            <v>5Q</v>
          </cell>
          <cell r="BI190" t="str">
            <v>020</v>
          </cell>
        </row>
        <row r="191">
          <cell r="T191" t="str">
            <v>5Q</v>
          </cell>
          <cell r="U191" t="str">
            <v>040</v>
          </cell>
          <cell r="V191" t="str">
            <v xml:space="preserve"> 7B 1D</v>
          </cell>
          <cell r="W191" t="str">
            <v>U7510</v>
          </cell>
          <cell r="Y191" t="str">
            <v>U7510E</v>
          </cell>
          <cell r="Z191" t="str">
            <v>AAN</v>
          </cell>
          <cell r="AB191" t="str">
            <v>T</v>
          </cell>
          <cell r="AD191" t="str">
            <v>*</v>
          </cell>
          <cell r="AE191" t="str">
            <v>2J653</v>
          </cell>
          <cell r="AF191" t="str">
            <v>021223</v>
          </cell>
          <cell r="AI191" t="str">
            <v>*</v>
          </cell>
          <cell r="AJ191" t="str">
            <v>T</v>
          </cell>
          <cell r="AT191" t="str">
            <v>A</v>
          </cell>
          <cell r="AU191" t="str">
            <v>0</v>
          </cell>
          <cell r="AV191" t="str">
            <v>3</v>
          </cell>
          <cell r="BE191" t="str">
            <v>ﾙ</v>
          </cell>
          <cell r="BF191" t="str">
            <v>0005</v>
          </cell>
          <cell r="BG191" t="str">
            <v>S0979</v>
          </cell>
          <cell r="BH191" t="str">
            <v>5Q</v>
          </cell>
          <cell r="BI191" t="str">
            <v>020</v>
          </cell>
        </row>
        <row r="192">
          <cell r="T192" t="str">
            <v>5Q</v>
          </cell>
          <cell r="U192" t="str">
            <v>040</v>
          </cell>
          <cell r="V192" t="str">
            <v xml:space="preserve"> 7B 1D</v>
          </cell>
          <cell r="W192" t="str">
            <v>U7510</v>
          </cell>
          <cell r="Y192" t="str">
            <v>U7510E</v>
          </cell>
          <cell r="Z192" t="str">
            <v>AAP</v>
          </cell>
          <cell r="AB192" t="str">
            <v>T</v>
          </cell>
          <cell r="AD192" t="str">
            <v>*</v>
          </cell>
          <cell r="AE192" t="str">
            <v>2J653</v>
          </cell>
          <cell r="AF192" t="str">
            <v>021223</v>
          </cell>
          <cell r="AI192" t="str">
            <v>*</v>
          </cell>
          <cell r="AJ192" t="str">
            <v>T</v>
          </cell>
          <cell r="AT192" t="str">
            <v>A</v>
          </cell>
          <cell r="AU192" t="str">
            <v>0</v>
          </cell>
          <cell r="AV192" t="str">
            <v>3</v>
          </cell>
          <cell r="BE192" t="str">
            <v>ﾙ</v>
          </cell>
          <cell r="BF192" t="str">
            <v>0005</v>
          </cell>
          <cell r="BG192" t="str">
            <v>S0979</v>
          </cell>
          <cell r="BH192" t="str">
            <v>5Q</v>
          </cell>
          <cell r="BI192" t="str">
            <v>020</v>
          </cell>
        </row>
        <row r="193">
          <cell r="T193" t="str">
            <v>5Q</v>
          </cell>
          <cell r="U193" t="str">
            <v>040</v>
          </cell>
          <cell r="V193" t="str">
            <v>14H</v>
          </cell>
          <cell r="W193" t="str">
            <v>U4300</v>
          </cell>
          <cell r="Y193" t="str">
            <v>U4300E</v>
          </cell>
          <cell r="Z193" t="str">
            <v>AAG</v>
          </cell>
          <cell r="AB193" t="str">
            <v>T</v>
          </cell>
          <cell r="AD193" t="str">
            <v>*</v>
          </cell>
          <cell r="AE193" t="str">
            <v>2J653</v>
          </cell>
          <cell r="AF193" t="str">
            <v>021223</v>
          </cell>
          <cell r="AI193" t="str">
            <v>*</v>
          </cell>
          <cell r="AJ193" t="str">
            <v>T</v>
          </cell>
          <cell r="AT193" t="str">
            <v>A</v>
          </cell>
          <cell r="AU193" t="str">
            <v>0</v>
          </cell>
          <cell r="AV193" t="str">
            <v>3</v>
          </cell>
          <cell r="BE193" t="str">
            <v>B</v>
          </cell>
          <cell r="BF193" t="str">
            <v>0049</v>
          </cell>
          <cell r="BG193" t="str">
            <v>JBJ03</v>
          </cell>
          <cell r="BH193" t="str">
            <v>5Q</v>
          </cell>
          <cell r="BI193" t="str">
            <v>020</v>
          </cell>
        </row>
        <row r="194">
          <cell r="T194" t="str">
            <v>5Q</v>
          </cell>
          <cell r="U194" t="str">
            <v>040</v>
          </cell>
          <cell r="V194" t="str">
            <v xml:space="preserve"> 7A</v>
          </cell>
          <cell r="W194" t="str">
            <v>U6300</v>
          </cell>
          <cell r="Y194" t="str">
            <v>U6300E</v>
          </cell>
          <cell r="Z194" t="str">
            <v>AAB</v>
          </cell>
          <cell r="AB194" t="str">
            <v>T</v>
          </cell>
          <cell r="AD194" t="str">
            <v>*</v>
          </cell>
          <cell r="AE194" t="str">
            <v>2J653</v>
          </cell>
          <cell r="AF194" t="str">
            <v>021223</v>
          </cell>
          <cell r="AI194" t="str">
            <v>*</v>
          </cell>
          <cell r="AJ194" t="str">
            <v>T</v>
          </cell>
          <cell r="AT194" t="str">
            <v>A</v>
          </cell>
          <cell r="AU194" t="str">
            <v>0</v>
          </cell>
          <cell r="AV194" t="str">
            <v>3</v>
          </cell>
          <cell r="BE194" t="str">
            <v>ﾙ</v>
          </cell>
          <cell r="BF194" t="str">
            <v>0005</v>
          </cell>
          <cell r="BG194" t="str">
            <v>Z6347</v>
          </cell>
          <cell r="BH194" t="str">
            <v>5P</v>
          </cell>
          <cell r="BI194" t="str">
            <v>020</v>
          </cell>
        </row>
        <row r="195">
          <cell r="T195" t="str">
            <v>5Q</v>
          </cell>
          <cell r="U195" t="str">
            <v>040</v>
          </cell>
          <cell r="V195" t="str">
            <v xml:space="preserve"> 7B 1B1</v>
          </cell>
          <cell r="W195" t="str">
            <v>U0900</v>
          </cell>
          <cell r="Y195" t="str">
            <v>U0900E</v>
          </cell>
          <cell r="Z195" t="str">
            <v>AAB</v>
          </cell>
          <cell r="AB195" t="str">
            <v>T</v>
          </cell>
          <cell r="AD195" t="str">
            <v>*</v>
          </cell>
          <cell r="AE195" t="str">
            <v>2J653</v>
          </cell>
          <cell r="AF195" t="str">
            <v>021223</v>
          </cell>
          <cell r="AI195" t="str">
            <v>*</v>
          </cell>
          <cell r="AJ195" t="str">
            <v>T</v>
          </cell>
          <cell r="AT195" t="str">
            <v>A</v>
          </cell>
          <cell r="AU195" t="str">
            <v>0</v>
          </cell>
          <cell r="AV195" t="str">
            <v>3</v>
          </cell>
          <cell r="BE195" t="str">
            <v>B</v>
          </cell>
          <cell r="BF195" t="str">
            <v>0004</v>
          </cell>
          <cell r="BG195" t="str">
            <v>JAE68</v>
          </cell>
          <cell r="BH195" t="str">
            <v>5Q</v>
          </cell>
          <cell r="BI195" t="str">
            <v>020</v>
          </cell>
        </row>
        <row r="196">
          <cell r="T196" t="str">
            <v>5Q</v>
          </cell>
          <cell r="U196" t="str">
            <v>040</v>
          </cell>
          <cell r="V196" t="str">
            <v xml:space="preserve"> 7B 1B1</v>
          </cell>
          <cell r="W196" t="str">
            <v>U0750</v>
          </cell>
          <cell r="Y196" t="str">
            <v>U0750E</v>
          </cell>
          <cell r="Z196" t="str">
            <v>AAB</v>
          </cell>
          <cell r="AB196" t="str">
            <v>T</v>
          </cell>
          <cell r="AD196" t="str">
            <v>*</v>
          </cell>
          <cell r="AE196" t="str">
            <v>2J653</v>
          </cell>
          <cell r="AF196" t="str">
            <v>021223</v>
          </cell>
          <cell r="AI196" t="str">
            <v>*</v>
          </cell>
          <cell r="AJ196" t="str">
            <v>T</v>
          </cell>
          <cell r="AT196" t="str">
            <v>A</v>
          </cell>
          <cell r="AU196" t="str">
            <v>0</v>
          </cell>
          <cell r="AV196" t="str">
            <v>3</v>
          </cell>
          <cell r="BE196" t="str">
            <v>B</v>
          </cell>
          <cell r="BF196" t="str">
            <v>0004</v>
          </cell>
          <cell r="BG196" t="str">
            <v>JAT76</v>
          </cell>
          <cell r="BH196" t="str">
            <v>5Q</v>
          </cell>
          <cell r="BI196" t="str">
            <v>020</v>
          </cell>
        </row>
        <row r="197">
          <cell r="T197" t="str">
            <v>5Q</v>
          </cell>
          <cell r="U197" t="str">
            <v>040</v>
          </cell>
          <cell r="V197" t="str">
            <v>12E</v>
          </cell>
          <cell r="W197" t="str">
            <v>U0500</v>
          </cell>
          <cell r="Y197" t="str">
            <v>U0500E</v>
          </cell>
          <cell r="Z197" t="str">
            <v>AAE</v>
          </cell>
          <cell r="AB197" t="str">
            <v>U</v>
          </cell>
          <cell r="AD197" t="str">
            <v>*</v>
          </cell>
          <cell r="AE197" t="str">
            <v>2J653</v>
          </cell>
          <cell r="AF197" t="str">
            <v>021223</v>
          </cell>
          <cell r="AI197" t="str">
            <v>*</v>
          </cell>
          <cell r="AJ197" t="str">
            <v>T</v>
          </cell>
          <cell r="AT197" t="str">
            <v>A</v>
          </cell>
          <cell r="AU197" t="str">
            <v>0</v>
          </cell>
          <cell r="AV197" t="str">
            <v>3</v>
          </cell>
          <cell r="BE197" t="str">
            <v>B</v>
          </cell>
          <cell r="BF197" t="str">
            <v>0002</v>
          </cell>
          <cell r="BG197" t="str">
            <v>Z6386</v>
          </cell>
          <cell r="BH197" t="str">
            <v>5P</v>
          </cell>
          <cell r="BI197" t="str">
            <v>020</v>
          </cell>
        </row>
        <row r="198">
          <cell r="T198" t="str">
            <v>5Q</v>
          </cell>
          <cell r="U198" t="str">
            <v>040</v>
          </cell>
          <cell r="V198" t="str">
            <v xml:space="preserve"> 7A</v>
          </cell>
          <cell r="W198" t="str">
            <v>U6000</v>
          </cell>
          <cell r="Y198" t="str">
            <v>U6000E</v>
          </cell>
          <cell r="Z198" t="str">
            <v>AAD</v>
          </cell>
          <cell r="AB198" t="str">
            <v>U</v>
          </cell>
          <cell r="AD198" t="str">
            <v>*</v>
          </cell>
          <cell r="AE198" t="str">
            <v>2J653</v>
          </cell>
          <cell r="AF198" t="str">
            <v>021223</v>
          </cell>
          <cell r="AI198" t="str">
            <v>*</v>
          </cell>
          <cell r="AJ198" t="str">
            <v>T</v>
          </cell>
          <cell r="AT198" t="str">
            <v>A</v>
          </cell>
          <cell r="AU198" t="str">
            <v>0</v>
          </cell>
          <cell r="AV198" t="str">
            <v>3</v>
          </cell>
          <cell r="BE198" t="str">
            <v>B</v>
          </cell>
          <cell r="BF198" t="str">
            <v>0055</v>
          </cell>
          <cell r="BG198" t="str">
            <v>JAN99</v>
          </cell>
          <cell r="BH198" t="str">
            <v>5P</v>
          </cell>
          <cell r="BI198" t="str">
            <v>020</v>
          </cell>
        </row>
        <row r="199">
          <cell r="T199" t="str">
            <v>5Q</v>
          </cell>
          <cell r="U199" t="str">
            <v>040</v>
          </cell>
          <cell r="V199" t="str">
            <v xml:space="preserve"> 7B 3A</v>
          </cell>
          <cell r="W199" t="str">
            <v>U1700</v>
          </cell>
          <cell r="Y199" t="str">
            <v>U1700E</v>
          </cell>
          <cell r="Z199" t="str">
            <v>AAD</v>
          </cell>
          <cell r="AB199" t="str">
            <v>U</v>
          </cell>
          <cell r="AD199" t="str">
            <v>*</v>
          </cell>
          <cell r="AE199" t="str">
            <v>2J653</v>
          </cell>
          <cell r="AF199" t="str">
            <v>021223</v>
          </cell>
          <cell r="AI199" t="str">
            <v>*</v>
          </cell>
          <cell r="AJ199" t="str">
            <v>T</v>
          </cell>
          <cell r="AT199" t="str">
            <v>A</v>
          </cell>
          <cell r="AU199" t="str">
            <v>0</v>
          </cell>
          <cell r="AV199" t="str">
            <v>3</v>
          </cell>
          <cell r="BE199" t="str">
            <v>ﾙ</v>
          </cell>
          <cell r="BF199" t="str">
            <v>0002</v>
          </cell>
          <cell r="BG199" t="str">
            <v>Z6389</v>
          </cell>
          <cell r="BH199" t="str">
            <v>5P</v>
          </cell>
          <cell r="BI199" t="str">
            <v>020</v>
          </cell>
        </row>
        <row r="200">
          <cell r="T200" t="str">
            <v>5Q</v>
          </cell>
          <cell r="U200" t="str">
            <v>040</v>
          </cell>
          <cell r="V200" t="str">
            <v xml:space="preserve"> 7B 3C</v>
          </cell>
          <cell r="W200" t="str">
            <v>U1000</v>
          </cell>
          <cell r="X200" t="str">
            <v xml:space="preserve"> 7B 3C</v>
          </cell>
          <cell r="Y200" t="str">
            <v>U1920Y</v>
          </cell>
          <cell r="Z200" t="str">
            <v>AAJ</v>
          </cell>
          <cell r="AB200" t="str">
            <v>U</v>
          </cell>
          <cell r="AD200" t="str">
            <v>*</v>
          </cell>
          <cell r="AE200" t="str">
            <v>JBN49</v>
          </cell>
          <cell r="AF200" t="str">
            <v>020701</v>
          </cell>
          <cell r="AI200" t="str">
            <v>*</v>
          </cell>
          <cell r="AJ200" t="str">
            <v>T</v>
          </cell>
          <cell r="AT200" t="str">
            <v>A</v>
          </cell>
          <cell r="AU200" t="str">
            <v>0</v>
          </cell>
          <cell r="AV200" t="str">
            <v>3</v>
          </cell>
          <cell r="BE200" t="str">
            <v>ﾙ</v>
          </cell>
          <cell r="BF200" t="str">
            <v>0002</v>
          </cell>
          <cell r="BG200" t="str">
            <v>Z6387</v>
          </cell>
        </row>
        <row r="201">
          <cell r="T201" t="str">
            <v>5Q</v>
          </cell>
          <cell r="U201" t="str">
            <v>040</v>
          </cell>
          <cell r="V201" t="str">
            <v xml:space="preserve"> 7A</v>
          </cell>
          <cell r="W201" t="str">
            <v>U6300</v>
          </cell>
          <cell r="Y201" t="str">
            <v>U6300E</v>
          </cell>
          <cell r="Z201" t="str">
            <v>AAC</v>
          </cell>
          <cell r="AB201" t="str">
            <v>U</v>
          </cell>
          <cell r="AD201" t="str">
            <v>*</v>
          </cell>
          <cell r="AE201" t="str">
            <v>2J653</v>
          </cell>
          <cell r="AF201" t="str">
            <v>021223</v>
          </cell>
          <cell r="AI201" t="str">
            <v>*</v>
          </cell>
          <cell r="AJ201" t="str">
            <v>T</v>
          </cell>
          <cell r="AT201" t="str">
            <v>A</v>
          </cell>
          <cell r="AU201" t="str">
            <v>0</v>
          </cell>
          <cell r="AV201" t="str">
            <v>3</v>
          </cell>
          <cell r="BE201" t="str">
            <v>B</v>
          </cell>
          <cell r="BF201" t="str">
            <v>0002</v>
          </cell>
          <cell r="BG201" t="str">
            <v>JAY70</v>
          </cell>
          <cell r="BH201" t="str">
            <v>5Q</v>
          </cell>
          <cell r="BI201" t="str">
            <v>020</v>
          </cell>
        </row>
        <row r="202">
          <cell r="T202" t="str">
            <v>5Q</v>
          </cell>
          <cell r="U202" t="str">
            <v>040</v>
          </cell>
          <cell r="V202" t="str">
            <v xml:space="preserve"> 7B 1A</v>
          </cell>
          <cell r="W202" t="str">
            <v>U7200</v>
          </cell>
          <cell r="Y202" t="str">
            <v>U7200E</v>
          </cell>
          <cell r="Z202" t="str">
            <v>AAC</v>
          </cell>
          <cell r="AB202" t="str">
            <v>T</v>
          </cell>
          <cell r="AD202" t="str">
            <v>*</v>
          </cell>
          <cell r="AE202" t="str">
            <v>2J653</v>
          </cell>
          <cell r="AF202" t="str">
            <v>021223</v>
          </cell>
          <cell r="AI202" t="str">
            <v>*</v>
          </cell>
          <cell r="AJ202" t="str">
            <v>T</v>
          </cell>
          <cell r="AT202" t="str">
            <v>A</v>
          </cell>
          <cell r="AU202" t="str">
            <v>0</v>
          </cell>
          <cell r="AV202" t="str">
            <v>3</v>
          </cell>
          <cell r="BE202" t="str">
            <v>B</v>
          </cell>
          <cell r="BF202" t="str">
            <v>0034</v>
          </cell>
          <cell r="BG202" t="str">
            <v>JAS96</v>
          </cell>
          <cell r="BH202" t="str">
            <v>5Q</v>
          </cell>
          <cell r="BI202" t="str">
            <v>020</v>
          </cell>
        </row>
        <row r="203">
          <cell r="T203" t="str">
            <v>5Q</v>
          </cell>
          <cell r="U203" t="str">
            <v>040</v>
          </cell>
          <cell r="V203" t="str">
            <v xml:space="preserve"> 7B 1A</v>
          </cell>
          <cell r="W203" t="str">
            <v>U0620</v>
          </cell>
          <cell r="X203" t="str">
            <v xml:space="preserve"> 7B 1A</v>
          </cell>
          <cell r="Y203" t="str">
            <v>U0650Y</v>
          </cell>
          <cell r="Z203" t="str">
            <v>AAJ</v>
          </cell>
          <cell r="AB203" t="str">
            <v>U</v>
          </cell>
          <cell r="AD203" t="str">
            <v>*</v>
          </cell>
          <cell r="AE203" t="str">
            <v>2J653</v>
          </cell>
          <cell r="AF203" t="str">
            <v>021223</v>
          </cell>
          <cell r="AI203" t="str">
            <v>*</v>
          </cell>
          <cell r="AJ203" t="str">
            <v>T</v>
          </cell>
          <cell r="BE203" t="str">
            <v>M</v>
          </cell>
          <cell r="BF203" t="str">
            <v>0060</v>
          </cell>
        </row>
        <row r="204">
          <cell r="T204" t="str">
            <v>5Q</v>
          </cell>
          <cell r="U204" t="str">
            <v>040</v>
          </cell>
          <cell r="V204" t="str">
            <v xml:space="preserve"> 7B 1A</v>
          </cell>
          <cell r="W204" t="str">
            <v>U0620</v>
          </cell>
          <cell r="X204" t="str">
            <v xml:space="preserve"> 7B 1A</v>
          </cell>
          <cell r="Y204" t="str">
            <v>U0650Y</v>
          </cell>
          <cell r="Z204" t="str">
            <v>AAK</v>
          </cell>
          <cell r="AB204" t="str">
            <v>U</v>
          </cell>
          <cell r="AD204" t="str">
            <v>*</v>
          </cell>
          <cell r="AE204" t="str">
            <v>2J653</v>
          </cell>
          <cell r="AF204" t="str">
            <v>021223</v>
          </cell>
          <cell r="AI204" t="str">
            <v>*</v>
          </cell>
          <cell r="AJ204" t="str">
            <v>T</v>
          </cell>
          <cell r="BE204" t="str">
            <v>M</v>
          </cell>
          <cell r="BF204" t="str">
            <v>0061</v>
          </cell>
        </row>
        <row r="205">
          <cell r="T205" t="str">
            <v>5Q</v>
          </cell>
          <cell r="U205" t="str">
            <v>040</v>
          </cell>
          <cell r="V205" t="str">
            <v xml:space="preserve"> 7B 1A</v>
          </cell>
          <cell r="W205" t="str">
            <v>U0620</v>
          </cell>
          <cell r="Y205" t="str">
            <v>U0620E</v>
          </cell>
          <cell r="Z205" t="str">
            <v>AAA</v>
          </cell>
          <cell r="AB205" t="str">
            <v>U</v>
          </cell>
          <cell r="AD205" t="str">
            <v>*</v>
          </cell>
          <cell r="AE205" t="str">
            <v>2J653</v>
          </cell>
          <cell r="AF205" t="str">
            <v>021223</v>
          </cell>
          <cell r="BE205" t="str">
            <v>M</v>
          </cell>
          <cell r="BF205" t="str">
            <v>0060</v>
          </cell>
        </row>
        <row r="206">
          <cell r="T206" t="str">
            <v>5Q</v>
          </cell>
          <cell r="U206" t="str">
            <v>040</v>
          </cell>
          <cell r="V206" t="str">
            <v xml:space="preserve"> 7B 1A</v>
          </cell>
          <cell r="W206" t="str">
            <v>U0620</v>
          </cell>
          <cell r="Y206" t="str">
            <v>U0620E</v>
          </cell>
          <cell r="Z206" t="str">
            <v>AAB</v>
          </cell>
          <cell r="AB206" t="str">
            <v>U</v>
          </cell>
          <cell r="AD206" t="str">
            <v>*</v>
          </cell>
          <cell r="AE206" t="str">
            <v>2J653</v>
          </cell>
          <cell r="AF206" t="str">
            <v>021223</v>
          </cell>
          <cell r="BE206" t="str">
            <v>M</v>
          </cell>
          <cell r="BF206" t="str">
            <v>0061</v>
          </cell>
        </row>
        <row r="207">
          <cell r="T207" t="str">
            <v>5Q</v>
          </cell>
          <cell r="U207" t="str">
            <v>040</v>
          </cell>
          <cell r="V207" t="str">
            <v xml:space="preserve"> 7B 1A</v>
          </cell>
          <cell r="W207" t="str">
            <v>U0200</v>
          </cell>
          <cell r="Y207" t="str">
            <v>U0200E</v>
          </cell>
          <cell r="Z207" t="str">
            <v>AAH</v>
          </cell>
          <cell r="AB207" t="str">
            <v>U</v>
          </cell>
          <cell r="AD207" t="str">
            <v>*</v>
          </cell>
          <cell r="AE207" t="str">
            <v>2J653</v>
          </cell>
          <cell r="AF207" t="str">
            <v>021223</v>
          </cell>
          <cell r="AI207" t="str">
            <v>*</v>
          </cell>
          <cell r="AJ207" t="str">
            <v>T</v>
          </cell>
          <cell r="BE207" t="str">
            <v>M</v>
          </cell>
          <cell r="BF207" t="str">
            <v>0059</v>
          </cell>
        </row>
        <row r="208">
          <cell r="T208" t="str">
            <v>5Q</v>
          </cell>
          <cell r="U208" t="str">
            <v>040</v>
          </cell>
          <cell r="V208" t="str">
            <v xml:space="preserve"> 7B 3A</v>
          </cell>
          <cell r="W208" t="str">
            <v>U1800</v>
          </cell>
          <cell r="Y208" t="str">
            <v>U1800E</v>
          </cell>
          <cell r="Z208" t="str">
            <v>AAB</v>
          </cell>
          <cell r="AB208" t="str">
            <v>U</v>
          </cell>
          <cell r="AD208" t="str">
            <v>*</v>
          </cell>
          <cell r="AE208" t="str">
            <v>2J653</v>
          </cell>
          <cell r="AF208" t="str">
            <v>021223</v>
          </cell>
          <cell r="AI208" t="str">
            <v>*</v>
          </cell>
          <cell r="AJ208" t="str">
            <v>T</v>
          </cell>
          <cell r="AT208" t="str">
            <v>A</v>
          </cell>
          <cell r="AU208" t="str">
            <v>0</v>
          </cell>
          <cell r="AV208" t="str">
            <v>3</v>
          </cell>
          <cell r="BE208" t="str">
            <v>ﾙ</v>
          </cell>
          <cell r="BF208" t="str">
            <v>0002</v>
          </cell>
          <cell r="BG208" t="str">
            <v>Z6372</v>
          </cell>
          <cell r="BH208" t="str">
            <v>5P</v>
          </cell>
          <cell r="BI208" t="str">
            <v>020</v>
          </cell>
        </row>
        <row r="209">
          <cell r="T209" t="str">
            <v>5Q</v>
          </cell>
          <cell r="U209" t="str">
            <v>040</v>
          </cell>
          <cell r="V209" t="str">
            <v xml:space="preserve"> 7B 1D</v>
          </cell>
          <cell r="W209" t="str">
            <v>U7320</v>
          </cell>
          <cell r="X209" t="str">
            <v xml:space="preserve"> 7B 1D</v>
          </cell>
          <cell r="Y209" t="str">
            <v>U1583Y</v>
          </cell>
          <cell r="Z209" t="str">
            <v>AAJ</v>
          </cell>
          <cell r="AB209" t="str">
            <v>T</v>
          </cell>
          <cell r="AD209" t="str">
            <v>*</v>
          </cell>
          <cell r="AE209" t="str">
            <v>JBE85</v>
          </cell>
          <cell r="AF209" t="str">
            <v>020318</v>
          </cell>
          <cell r="AI209" t="str">
            <v>*</v>
          </cell>
          <cell r="AJ209" t="str">
            <v>T</v>
          </cell>
          <cell r="AT209" t="str">
            <v>H</v>
          </cell>
          <cell r="AU209" t="str">
            <v>5</v>
          </cell>
          <cell r="AV209" t="str">
            <v>8</v>
          </cell>
          <cell r="BE209" t="str">
            <v>I</v>
          </cell>
          <cell r="BF209" t="str">
            <v>0047</v>
          </cell>
          <cell r="BG209" t="str">
            <v>V PLA</v>
          </cell>
        </row>
        <row r="210">
          <cell r="T210" t="str">
            <v>5Q</v>
          </cell>
          <cell r="U210" t="str">
            <v>040</v>
          </cell>
          <cell r="V210" t="str">
            <v xml:space="preserve"> 7B 1D</v>
          </cell>
          <cell r="W210" t="str">
            <v>U7290</v>
          </cell>
          <cell r="Y210" t="str">
            <v>U7290E</v>
          </cell>
          <cell r="Z210" t="str">
            <v>AAC</v>
          </cell>
          <cell r="AB210" t="str">
            <v>T</v>
          </cell>
          <cell r="AD210" t="str">
            <v>*</v>
          </cell>
          <cell r="AE210" t="str">
            <v>2J653</v>
          </cell>
          <cell r="AF210" t="str">
            <v>021223</v>
          </cell>
          <cell r="AI210" t="str">
            <v>*</v>
          </cell>
          <cell r="AJ210" t="str">
            <v>T</v>
          </cell>
          <cell r="AT210" t="str">
            <v>B</v>
          </cell>
          <cell r="AU210" t="str">
            <v>5</v>
          </cell>
          <cell r="AV210" t="str">
            <v>3</v>
          </cell>
          <cell r="BE210" t="str">
            <v>1</v>
          </cell>
          <cell r="BF210" t="str">
            <v>0033</v>
          </cell>
          <cell r="BG210" t="str">
            <v>V PLA</v>
          </cell>
        </row>
        <row r="211">
          <cell r="T211" t="str">
            <v>5Q</v>
          </cell>
          <cell r="U211" t="str">
            <v>040</v>
          </cell>
          <cell r="V211" t="str">
            <v>14H</v>
          </cell>
          <cell r="W211" t="str">
            <v>U4380</v>
          </cell>
          <cell r="Y211" t="str">
            <v>U4380E</v>
          </cell>
          <cell r="Z211" t="str">
            <v>AAB</v>
          </cell>
          <cell r="AB211" t="str">
            <v>T</v>
          </cell>
          <cell r="AD211" t="str">
            <v>*</v>
          </cell>
          <cell r="AE211" t="str">
            <v>2J653</v>
          </cell>
          <cell r="AF211" t="str">
            <v>021223</v>
          </cell>
          <cell r="AI211" t="str">
            <v>*</v>
          </cell>
          <cell r="AJ211" t="str">
            <v>T</v>
          </cell>
          <cell r="AT211" t="str">
            <v>A</v>
          </cell>
          <cell r="AU211" t="str">
            <v>0</v>
          </cell>
          <cell r="AV211" t="str">
            <v>3</v>
          </cell>
          <cell r="BE211" t="str">
            <v>B</v>
          </cell>
          <cell r="BF211" t="str">
            <v>0050</v>
          </cell>
          <cell r="BG211" t="str">
            <v>JAZ25</v>
          </cell>
          <cell r="BH211" t="str">
            <v>5Q</v>
          </cell>
          <cell r="BI211" t="str">
            <v>020</v>
          </cell>
        </row>
        <row r="212">
          <cell r="T212" t="str">
            <v>5Q</v>
          </cell>
          <cell r="U212" t="str">
            <v>040</v>
          </cell>
          <cell r="V212" t="str">
            <v xml:space="preserve"> 5D</v>
          </cell>
          <cell r="W212" t="str">
            <v>U6400</v>
          </cell>
          <cell r="Y212" t="str">
            <v>U6400E</v>
          </cell>
          <cell r="Z212" t="str">
            <v>AAD</v>
          </cell>
          <cell r="AB212" t="str">
            <v>T</v>
          </cell>
          <cell r="AD212" t="str">
            <v>*</v>
          </cell>
          <cell r="AE212" t="str">
            <v>2J653</v>
          </cell>
          <cell r="AF212" t="str">
            <v>021223</v>
          </cell>
          <cell r="AI212" t="str">
            <v>*</v>
          </cell>
          <cell r="AJ212" t="str">
            <v>T</v>
          </cell>
          <cell r="AT212" t="str">
            <v>A</v>
          </cell>
          <cell r="AU212" t="str">
            <v>0</v>
          </cell>
          <cell r="AV212" t="str">
            <v>5</v>
          </cell>
          <cell r="BE212" t="str">
            <v>I</v>
          </cell>
          <cell r="BF212" t="str">
            <v>0038</v>
          </cell>
          <cell r="BG212" t="str">
            <v>JAY68</v>
          </cell>
          <cell r="BH212" t="str">
            <v>5Q</v>
          </cell>
          <cell r="BI212" t="str">
            <v>020</v>
          </cell>
        </row>
        <row r="213">
          <cell r="T213" t="str">
            <v>5Q</v>
          </cell>
          <cell r="U213" t="str">
            <v>040</v>
          </cell>
          <cell r="V213" t="str">
            <v xml:space="preserve"> 5D</v>
          </cell>
          <cell r="W213" t="str">
            <v>U6400</v>
          </cell>
          <cell r="X213" t="str">
            <v xml:space="preserve"> 5D</v>
          </cell>
          <cell r="Y213" t="str">
            <v>U6540Y</v>
          </cell>
          <cell r="Z213" t="str">
            <v>AAE</v>
          </cell>
          <cell r="AB213" t="str">
            <v>T</v>
          </cell>
          <cell r="AD213" t="str">
            <v>*</v>
          </cell>
          <cell r="AE213" t="str">
            <v>JBC03</v>
          </cell>
          <cell r="AF213" t="str">
            <v>020121</v>
          </cell>
          <cell r="AI213" t="str">
            <v>*</v>
          </cell>
          <cell r="AJ213" t="str">
            <v>T</v>
          </cell>
          <cell r="AT213" t="str">
            <v>A</v>
          </cell>
          <cell r="AU213" t="str">
            <v>0</v>
          </cell>
          <cell r="AV213" t="str">
            <v>3</v>
          </cell>
          <cell r="BE213" t="str">
            <v>I</v>
          </cell>
          <cell r="BF213" t="str">
            <v>0038</v>
          </cell>
          <cell r="BG213" t="str">
            <v>JBC03</v>
          </cell>
        </row>
        <row r="214">
          <cell r="T214" t="str">
            <v>5Q</v>
          </cell>
          <cell r="U214" t="str">
            <v>040</v>
          </cell>
          <cell r="V214" t="str">
            <v xml:space="preserve"> 7B 6</v>
          </cell>
          <cell r="W214" t="str">
            <v>U0520</v>
          </cell>
          <cell r="Y214" t="str">
            <v>U0520E</v>
          </cell>
          <cell r="Z214" t="str">
            <v>AAA</v>
          </cell>
          <cell r="AB214" t="str">
            <v>U</v>
          </cell>
          <cell r="AD214" t="str">
            <v>*</v>
          </cell>
          <cell r="AE214" t="str">
            <v>2J653</v>
          </cell>
          <cell r="AF214" t="str">
            <v>021223</v>
          </cell>
          <cell r="BE214" t="str">
            <v>M</v>
          </cell>
          <cell r="BF214" t="str">
            <v>0002</v>
          </cell>
        </row>
        <row r="215">
          <cell r="T215" t="str">
            <v>5Q</v>
          </cell>
          <cell r="U215" t="str">
            <v>040</v>
          </cell>
          <cell r="V215" t="str">
            <v xml:space="preserve"> 7B 1D</v>
          </cell>
          <cell r="W215" t="str">
            <v>U7320</v>
          </cell>
          <cell r="Y215" t="str">
            <v>U7320E</v>
          </cell>
          <cell r="Z215" t="str">
            <v>AAE</v>
          </cell>
          <cell r="AB215" t="str">
            <v>T</v>
          </cell>
          <cell r="AD215" t="str">
            <v>*</v>
          </cell>
          <cell r="AE215" t="str">
            <v>2J653</v>
          </cell>
          <cell r="AF215" t="str">
            <v>021223</v>
          </cell>
          <cell r="AI215" t="str">
            <v>*</v>
          </cell>
          <cell r="AJ215" t="str">
            <v>T</v>
          </cell>
          <cell r="AT215" t="str">
            <v>2</v>
          </cell>
          <cell r="AU215" t="str">
            <v>0</v>
          </cell>
          <cell r="AV215" t="str">
            <v>7</v>
          </cell>
          <cell r="BE215" t="str">
            <v>I</v>
          </cell>
          <cell r="BF215" t="str">
            <v>0047</v>
          </cell>
          <cell r="BG215" t="str">
            <v>JBE85</v>
          </cell>
          <cell r="BH215" t="str">
            <v>5Q</v>
          </cell>
          <cell r="BI215" t="str">
            <v>020</v>
          </cell>
        </row>
        <row r="216">
          <cell r="T216" t="str">
            <v>5Q</v>
          </cell>
          <cell r="U216" t="str">
            <v>040</v>
          </cell>
          <cell r="V216" t="str">
            <v xml:space="preserve"> 7B 3C</v>
          </cell>
          <cell r="W216" t="str">
            <v>U1000</v>
          </cell>
          <cell r="Y216" t="str">
            <v>U1000E</v>
          </cell>
          <cell r="Z216" t="str">
            <v>AAH</v>
          </cell>
          <cell r="AB216" t="str">
            <v>U</v>
          </cell>
          <cell r="AD216" t="str">
            <v>*</v>
          </cell>
          <cell r="AE216" t="str">
            <v>2J653</v>
          </cell>
          <cell r="AF216" t="str">
            <v>021223</v>
          </cell>
          <cell r="AI216" t="str">
            <v>*</v>
          </cell>
          <cell r="AJ216" t="str">
            <v>T</v>
          </cell>
          <cell r="AT216" t="str">
            <v>A</v>
          </cell>
          <cell r="AU216" t="str">
            <v>0</v>
          </cell>
          <cell r="AV216" t="str">
            <v>5</v>
          </cell>
          <cell r="BE216" t="str">
            <v>B</v>
          </cell>
          <cell r="BF216" t="str">
            <v>0002</v>
          </cell>
          <cell r="BG216" t="str">
            <v>JBN49</v>
          </cell>
          <cell r="BH216" t="str">
            <v>5Q</v>
          </cell>
          <cell r="BI216" t="str">
            <v>020</v>
          </cell>
        </row>
        <row r="217">
          <cell r="T217" t="str">
            <v>5Q</v>
          </cell>
          <cell r="U217" t="str">
            <v>040</v>
          </cell>
          <cell r="V217" t="str">
            <v xml:space="preserve"> 7B 1D</v>
          </cell>
          <cell r="W217" t="str">
            <v>U7300</v>
          </cell>
          <cell r="Y217" t="str">
            <v>U7300E</v>
          </cell>
          <cell r="Z217" t="str">
            <v>AAB</v>
          </cell>
          <cell r="AB217" t="str">
            <v>T</v>
          </cell>
          <cell r="AD217" t="str">
            <v>*</v>
          </cell>
          <cell r="AE217" t="str">
            <v>2J653</v>
          </cell>
          <cell r="AF217" t="str">
            <v>021223</v>
          </cell>
          <cell r="AI217" t="str">
            <v>*</v>
          </cell>
          <cell r="AJ217" t="str">
            <v>T</v>
          </cell>
          <cell r="BE217" t="str">
            <v>M</v>
          </cell>
          <cell r="BF217" t="str">
            <v>0001</v>
          </cell>
        </row>
        <row r="218">
          <cell r="T218" t="str">
            <v>5Q</v>
          </cell>
          <cell r="U218" t="str">
            <v>040</v>
          </cell>
          <cell r="V218" t="str">
            <v xml:space="preserve"> 7B 1A</v>
          </cell>
          <cell r="W218" t="str">
            <v>U0258</v>
          </cell>
          <cell r="Y218" t="str">
            <v>U0258E</v>
          </cell>
          <cell r="Z218" t="str">
            <v>AAD</v>
          </cell>
          <cell r="AB218" t="str">
            <v>T</v>
          </cell>
          <cell r="AD218" t="str">
            <v>*</v>
          </cell>
          <cell r="AE218" t="str">
            <v>2J653</v>
          </cell>
          <cell r="AF218" t="str">
            <v>021223</v>
          </cell>
          <cell r="AI218" t="str">
            <v>*</v>
          </cell>
          <cell r="AJ218" t="str">
            <v>T</v>
          </cell>
          <cell r="BE218" t="str">
            <v>M</v>
          </cell>
          <cell r="BF218" t="str">
            <v>0005</v>
          </cell>
        </row>
        <row r="219">
          <cell r="T219" t="str">
            <v>5Q</v>
          </cell>
          <cell r="U219" t="str">
            <v>040</v>
          </cell>
          <cell r="V219" t="str">
            <v xml:space="preserve"> 7B 1A</v>
          </cell>
          <cell r="W219" t="str">
            <v>U4570</v>
          </cell>
          <cell r="Y219" t="str">
            <v>U4570E</v>
          </cell>
          <cell r="Z219" t="str">
            <v>AAC</v>
          </cell>
          <cell r="AB219" t="str">
            <v>T</v>
          </cell>
          <cell r="AD219" t="str">
            <v>*</v>
          </cell>
          <cell r="AE219" t="str">
            <v>2J653</v>
          </cell>
          <cell r="AF219" t="str">
            <v>021223</v>
          </cell>
          <cell r="AI219" t="str">
            <v>*</v>
          </cell>
          <cell r="AJ219" t="str">
            <v>T</v>
          </cell>
          <cell r="BE219" t="str">
            <v>M</v>
          </cell>
          <cell r="BF219" t="str">
            <v>0028</v>
          </cell>
        </row>
        <row r="220">
          <cell r="T220" t="str">
            <v>5Q</v>
          </cell>
          <cell r="U220" t="str">
            <v>040</v>
          </cell>
          <cell r="V220" t="str">
            <v xml:space="preserve"> 7B 1C</v>
          </cell>
          <cell r="W220" t="str">
            <v>U6300</v>
          </cell>
          <cell r="Y220" t="str">
            <v>U6300E</v>
          </cell>
          <cell r="Z220" t="str">
            <v>AAB</v>
          </cell>
          <cell r="AB220" t="str">
            <v>T</v>
          </cell>
          <cell r="AD220" t="str">
            <v>*</v>
          </cell>
          <cell r="AE220" t="str">
            <v>2J653</v>
          </cell>
          <cell r="AF220" t="str">
            <v>021223</v>
          </cell>
          <cell r="AI220" t="str">
            <v>*</v>
          </cell>
          <cell r="AJ220" t="str">
            <v>T</v>
          </cell>
          <cell r="BE220" t="str">
            <v>M</v>
          </cell>
          <cell r="BF220" t="str">
            <v>0008</v>
          </cell>
        </row>
        <row r="221">
          <cell r="T221" t="str">
            <v>5Q</v>
          </cell>
          <cell r="U221" t="str">
            <v>040</v>
          </cell>
          <cell r="V221" t="str">
            <v xml:space="preserve"> 7B 1A</v>
          </cell>
          <cell r="W221" t="str">
            <v>U0280</v>
          </cell>
          <cell r="Y221" t="str">
            <v>U0280E</v>
          </cell>
          <cell r="Z221" t="str">
            <v>AAC</v>
          </cell>
          <cell r="AB221" t="str">
            <v>T</v>
          </cell>
          <cell r="AD221" t="str">
            <v>*</v>
          </cell>
          <cell r="AE221" t="str">
            <v>2J653</v>
          </cell>
          <cell r="AF221" t="str">
            <v>021223</v>
          </cell>
          <cell r="AI221" t="str">
            <v>*</v>
          </cell>
          <cell r="AJ221" t="str">
            <v>T</v>
          </cell>
          <cell r="BE221" t="str">
            <v>M</v>
          </cell>
          <cell r="BF221" t="str">
            <v>0005</v>
          </cell>
        </row>
        <row r="222">
          <cell r="T222" t="str">
            <v>5Q</v>
          </cell>
          <cell r="U222" t="str">
            <v>040</v>
          </cell>
          <cell r="V222" t="str">
            <v xml:space="preserve"> 7B 1A</v>
          </cell>
          <cell r="W222" t="str">
            <v>U0740</v>
          </cell>
          <cell r="Y222" t="str">
            <v>U0740E</v>
          </cell>
          <cell r="Z222" t="str">
            <v>AAB</v>
          </cell>
          <cell r="AB222" t="str">
            <v>T</v>
          </cell>
          <cell r="AD222" t="str">
            <v>*</v>
          </cell>
          <cell r="AE222" t="str">
            <v>2J653</v>
          </cell>
          <cell r="AF222" t="str">
            <v>021223</v>
          </cell>
          <cell r="AI222" t="str">
            <v>*</v>
          </cell>
          <cell r="AJ222" t="str">
            <v>T</v>
          </cell>
          <cell r="BE222" t="str">
            <v>M</v>
          </cell>
          <cell r="BF222" t="str">
            <v>0001</v>
          </cell>
        </row>
        <row r="223">
          <cell r="T223" t="str">
            <v>5Q</v>
          </cell>
          <cell r="U223" t="str">
            <v>040</v>
          </cell>
          <cell r="V223" t="str">
            <v xml:space="preserve"> 7B 1C</v>
          </cell>
          <cell r="W223" t="str">
            <v>U6800</v>
          </cell>
          <cell r="Y223" t="str">
            <v>U6800E</v>
          </cell>
          <cell r="Z223" t="str">
            <v>AAB</v>
          </cell>
          <cell r="AB223" t="str">
            <v>T</v>
          </cell>
          <cell r="AD223" t="str">
            <v>*</v>
          </cell>
          <cell r="AE223" t="str">
            <v>2J653</v>
          </cell>
          <cell r="AF223" t="str">
            <v>021223</v>
          </cell>
          <cell r="AI223" t="str">
            <v>*</v>
          </cell>
          <cell r="AJ223" t="str">
            <v>T</v>
          </cell>
          <cell r="BE223" t="str">
            <v>M</v>
          </cell>
          <cell r="BF223" t="str">
            <v>0008</v>
          </cell>
        </row>
        <row r="224">
          <cell r="T224" t="str">
            <v>5Q</v>
          </cell>
          <cell r="U224" t="str">
            <v>040</v>
          </cell>
          <cell r="V224" t="str">
            <v xml:space="preserve"> 7A</v>
          </cell>
          <cell r="W224" t="str">
            <v>U1670</v>
          </cell>
          <cell r="Y224" t="str">
            <v>U1670E</v>
          </cell>
          <cell r="Z224" t="str">
            <v>AAB</v>
          </cell>
          <cell r="AB224" t="str">
            <v>T</v>
          </cell>
          <cell r="AD224" t="str">
            <v>*</v>
          </cell>
          <cell r="AE224" t="str">
            <v>2J653</v>
          </cell>
          <cell r="AF224" t="str">
            <v>021223</v>
          </cell>
          <cell r="AI224" t="str">
            <v>*</v>
          </cell>
          <cell r="AJ224" t="str">
            <v>T</v>
          </cell>
          <cell r="BE224" t="str">
            <v>M</v>
          </cell>
          <cell r="BF224" t="str">
            <v>0056</v>
          </cell>
        </row>
        <row r="225">
          <cell r="T225" t="str">
            <v>5Q</v>
          </cell>
          <cell r="U225" t="str">
            <v>040</v>
          </cell>
          <cell r="V225" t="str">
            <v xml:space="preserve"> 7B 1A</v>
          </cell>
          <cell r="W225" t="str">
            <v>U0722</v>
          </cell>
          <cell r="Y225" t="str">
            <v>U0722E</v>
          </cell>
          <cell r="Z225" t="str">
            <v>AAF</v>
          </cell>
          <cell r="AB225" t="str">
            <v>T</v>
          </cell>
          <cell r="AD225" t="str">
            <v>*</v>
          </cell>
          <cell r="AE225" t="str">
            <v>2J653</v>
          </cell>
          <cell r="AF225" t="str">
            <v>021223</v>
          </cell>
          <cell r="AI225" t="str">
            <v>*</v>
          </cell>
          <cell r="AJ225" t="str">
            <v>T</v>
          </cell>
          <cell r="BE225" t="str">
            <v>M</v>
          </cell>
          <cell r="BF225" t="str">
            <v>0001</v>
          </cell>
        </row>
        <row r="226">
          <cell r="T226" t="str">
            <v>5Q</v>
          </cell>
          <cell r="U226" t="str">
            <v>040</v>
          </cell>
          <cell r="V226" t="str">
            <v xml:space="preserve"> 7A</v>
          </cell>
          <cell r="W226" t="str">
            <v>U1672</v>
          </cell>
          <cell r="Y226" t="str">
            <v>U1672E</v>
          </cell>
          <cell r="Z226" t="str">
            <v>AAC</v>
          </cell>
          <cell r="AB226" t="str">
            <v>T</v>
          </cell>
          <cell r="AD226" t="str">
            <v>*</v>
          </cell>
          <cell r="AE226" t="str">
            <v>2J653</v>
          </cell>
          <cell r="AF226" t="str">
            <v>021223</v>
          </cell>
          <cell r="AI226" t="str">
            <v>*</v>
          </cell>
          <cell r="AJ226" t="str">
            <v>T</v>
          </cell>
          <cell r="BE226" t="str">
            <v>M</v>
          </cell>
          <cell r="BF226" t="str">
            <v>0056</v>
          </cell>
        </row>
        <row r="227">
          <cell r="T227" t="str">
            <v>5Q</v>
          </cell>
          <cell r="U227" t="str">
            <v>040</v>
          </cell>
          <cell r="V227" t="str">
            <v xml:space="preserve"> 7B 1A</v>
          </cell>
          <cell r="W227" t="str">
            <v>U0724</v>
          </cell>
          <cell r="Y227" t="str">
            <v>U0724E</v>
          </cell>
          <cell r="Z227" t="str">
            <v>AAB</v>
          </cell>
          <cell r="AB227" t="str">
            <v>T</v>
          </cell>
          <cell r="AD227" t="str">
            <v>*</v>
          </cell>
          <cell r="AE227" t="str">
            <v>2J653</v>
          </cell>
          <cell r="AF227" t="str">
            <v>021223</v>
          </cell>
          <cell r="AI227" t="str">
            <v>*</v>
          </cell>
          <cell r="AJ227" t="str">
            <v>T</v>
          </cell>
          <cell r="BE227" t="str">
            <v>M</v>
          </cell>
          <cell r="BF227" t="str">
            <v>0001</v>
          </cell>
        </row>
        <row r="228">
          <cell r="T228" t="str">
            <v>5Q</v>
          </cell>
          <cell r="U228" t="str">
            <v>040</v>
          </cell>
          <cell r="V228" t="str">
            <v>12E</v>
          </cell>
          <cell r="W228" t="str">
            <v>U0100</v>
          </cell>
          <cell r="Y228" t="str">
            <v>U0100E</v>
          </cell>
          <cell r="Z228" t="str">
            <v>AAE</v>
          </cell>
          <cell r="AB228" t="str">
            <v>T</v>
          </cell>
          <cell r="AD228" t="str">
            <v>*</v>
          </cell>
          <cell r="AE228" t="str">
            <v>2J653</v>
          </cell>
          <cell r="AF228" t="str">
            <v>021223</v>
          </cell>
          <cell r="AI228" t="str">
            <v>*</v>
          </cell>
          <cell r="AJ228" t="str">
            <v>T</v>
          </cell>
          <cell r="BE228" t="str">
            <v>M</v>
          </cell>
          <cell r="BF228" t="str">
            <v>0005</v>
          </cell>
        </row>
        <row r="229">
          <cell r="T229" t="str">
            <v>5Q</v>
          </cell>
          <cell r="U229" t="str">
            <v>040</v>
          </cell>
          <cell r="V229" t="str">
            <v xml:space="preserve"> 5D</v>
          </cell>
          <cell r="W229" t="str">
            <v>U5074</v>
          </cell>
          <cell r="Y229" t="str">
            <v>U5074E</v>
          </cell>
          <cell r="Z229" t="str">
            <v>AAC</v>
          </cell>
          <cell r="AB229" t="str">
            <v>F</v>
          </cell>
          <cell r="AD229" t="str">
            <v>*</v>
          </cell>
          <cell r="AE229" t="str">
            <v>2J653</v>
          </cell>
          <cell r="AF229" t="str">
            <v>021223</v>
          </cell>
          <cell r="AI229" t="str">
            <v>*</v>
          </cell>
          <cell r="AJ229" t="str">
            <v>T</v>
          </cell>
          <cell r="BE229" t="str">
            <v>M</v>
          </cell>
          <cell r="BF229" t="str">
            <v>0037</v>
          </cell>
        </row>
        <row r="230">
          <cell r="T230" t="str">
            <v>5Q</v>
          </cell>
          <cell r="U230" t="str">
            <v>040</v>
          </cell>
          <cell r="V230" t="str">
            <v xml:space="preserve"> 5D</v>
          </cell>
          <cell r="W230" t="str">
            <v>U5078</v>
          </cell>
          <cell r="Y230" t="str">
            <v>U5078E</v>
          </cell>
          <cell r="Z230" t="str">
            <v>AAE</v>
          </cell>
          <cell r="AB230" t="str">
            <v>T</v>
          </cell>
          <cell r="AD230" t="str">
            <v>*</v>
          </cell>
          <cell r="AE230" t="str">
            <v>2J653</v>
          </cell>
          <cell r="AF230" t="str">
            <v>021223</v>
          </cell>
          <cell r="AI230" t="str">
            <v>*</v>
          </cell>
          <cell r="AJ230" t="str">
            <v>T</v>
          </cell>
          <cell r="BE230" t="str">
            <v>M</v>
          </cell>
          <cell r="BF230" t="str">
            <v>0037</v>
          </cell>
        </row>
        <row r="231">
          <cell r="T231" t="str">
            <v>5Q</v>
          </cell>
          <cell r="U231" t="str">
            <v>040</v>
          </cell>
          <cell r="V231" t="str">
            <v xml:space="preserve"> 5D</v>
          </cell>
          <cell r="W231" t="str">
            <v>U6400</v>
          </cell>
          <cell r="Y231" t="str">
            <v>U6400E</v>
          </cell>
          <cell r="Z231" t="str">
            <v>AAE</v>
          </cell>
          <cell r="AB231" t="str">
            <v>T</v>
          </cell>
          <cell r="AD231" t="str">
            <v>*</v>
          </cell>
          <cell r="AE231" t="str">
            <v>2J653</v>
          </cell>
          <cell r="AF231" t="str">
            <v>021223</v>
          </cell>
          <cell r="AI231" t="str">
            <v>*</v>
          </cell>
          <cell r="AJ231" t="str">
            <v>T</v>
          </cell>
          <cell r="BE231" t="str">
            <v>M</v>
          </cell>
          <cell r="BF231" t="str">
            <v>0003</v>
          </cell>
        </row>
        <row r="232">
          <cell r="T232" t="str">
            <v>5Q</v>
          </cell>
          <cell r="U232" t="str">
            <v>040</v>
          </cell>
          <cell r="V232" t="str">
            <v xml:space="preserve"> 5D</v>
          </cell>
          <cell r="W232" t="str">
            <v>U6400</v>
          </cell>
          <cell r="X232" t="str">
            <v xml:space="preserve"> 5D</v>
          </cell>
          <cell r="Y232" t="str">
            <v>U6540Y</v>
          </cell>
          <cell r="Z232" t="str">
            <v>AAF</v>
          </cell>
          <cell r="AB232" t="str">
            <v>T</v>
          </cell>
          <cell r="AD232" t="str">
            <v>*</v>
          </cell>
          <cell r="AE232" t="str">
            <v>2J653</v>
          </cell>
          <cell r="AF232" t="str">
            <v>021223</v>
          </cell>
          <cell r="AI232" t="str">
            <v>*</v>
          </cell>
          <cell r="AJ232" t="str">
            <v>T</v>
          </cell>
          <cell r="BE232" t="str">
            <v>M</v>
          </cell>
          <cell r="BF232" t="str">
            <v>0003</v>
          </cell>
        </row>
        <row r="233">
          <cell r="T233" t="str">
            <v>5Q</v>
          </cell>
          <cell r="U233" t="str">
            <v>040</v>
          </cell>
          <cell r="V233" t="str">
            <v xml:space="preserve"> 7A</v>
          </cell>
          <cell r="W233" t="str">
            <v>U1345</v>
          </cell>
          <cell r="X233" t="str">
            <v xml:space="preserve"> 7A</v>
          </cell>
          <cell r="Y233" t="str">
            <v>U3190Y</v>
          </cell>
          <cell r="Z233" t="str">
            <v>AAY</v>
          </cell>
          <cell r="AB233" t="str">
            <v>T</v>
          </cell>
          <cell r="AD233" t="str">
            <v>*</v>
          </cell>
          <cell r="AE233" t="str">
            <v>2J653</v>
          </cell>
          <cell r="AF233" t="str">
            <v>021223</v>
          </cell>
          <cell r="AI233" t="str">
            <v>*</v>
          </cell>
          <cell r="AJ233" t="str">
            <v>T</v>
          </cell>
          <cell r="BE233" t="str">
            <v>M</v>
          </cell>
          <cell r="BF233" t="str">
            <v>0035</v>
          </cell>
        </row>
        <row r="234">
          <cell r="T234" t="str">
            <v>5Q</v>
          </cell>
          <cell r="U234" t="str">
            <v>040</v>
          </cell>
          <cell r="V234" t="str">
            <v xml:space="preserve"> 7A</v>
          </cell>
          <cell r="W234" t="str">
            <v>U1345</v>
          </cell>
          <cell r="Y234" t="str">
            <v>U1345E</v>
          </cell>
          <cell r="Z234" t="str">
            <v>AA0</v>
          </cell>
          <cell r="AB234" t="str">
            <v>T</v>
          </cell>
          <cell r="AD234" t="str">
            <v>*</v>
          </cell>
          <cell r="AE234" t="str">
            <v>2J653</v>
          </cell>
          <cell r="AF234" t="str">
            <v>021223</v>
          </cell>
          <cell r="AI234" t="str">
            <v>*</v>
          </cell>
          <cell r="AJ234" t="str">
            <v>T</v>
          </cell>
          <cell r="BE234" t="str">
            <v>M</v>
          </cell>
          <cell r="BF234" t="str">
            <v>0055</v>
          </cell>
        </row>
        <row r="235">
          <cell r="T235" t="str">
            <v>5Q</v>
          </cell>
          <cell r="U235" t="str">
            <v>040</v>
          </cell>
          <cell r="V235" t="str">
            <v xml:space="preserve"> 7A</v>
          </cell>
          <cell r="W235" t="str">
            <v>U1345</v>
          </cell>
          <cell r="Y235" t="str">
            <v>U1345E</v>
          </cell>
          <cell r="Z235" t="str">
            <v>AA1</v>
          </cell>
          <cell r="AB235" t="str">
            <v>T</v>
          </cell>
          <cell r="AD235" t="str">
            <v>*</v>
          </cell>
          <cell r="AE235" t="str">
            <v>2J653</v>
          </cell>
          <cell r="AF235" t="str">
            <v>021223</v>
          </cell>
          <cell r="AI235" t="str">
            <v>*</v>
          </cell>
          <cell r="AJ235" t="str">
            <v>T</v>
          </cell>
          <cell r="BE235" t="str">
            <v>M</v>
          </cell>
          <cell r="BF235" t="str">
            <v>0035</v>
          </cell>
        </row>
        <row r="236">
          <cell r="T236" t="str">
            <v>5Q</v>
          </cell>
          <cell r="U236" t="str">
            <v>040</v>
          </cell>
          <cell r="V236" t="str">
            <v xml:space="preserve"> 7A</v>
          </cell>
          <cell r="W236" t="str">
            <v>U1345</v>
          </cell>
          <cell r="Y236" t="str">
            <v>U1345E</v>
          </cell>
          <cell r="Z236" t="str">
            <v>AA2</v>
          </cell>
          <cell r="AB236" t="str">
            <v>T</v>
          </cell>
          <cell r="AD236" t="str">
            <v>*</v>
          </cell>
          <cell r="AE236" t="str">
            <v>2J653</v>
          </cell>
          <cell r="AF236" t="str">
            <v>021223</v>
          </cell>
          <cell r="AI236" t="str">
            <v>*</v>
          </cell>
          <cell r="AJ236" t="str">
            <v>T</v>
          </cell>
          <cell r="BE236" t="str">
            <v>M</v>
          </cell>
          <cell r="BF236" t="str">
            <v>0036</v>
          </cell>
        </row>
        <row r="237">
          <cell r="T237" t="str">
            <v>5Q</v>
          </cell>
          <cell r="U237" t="str">
            <v>040</v>
          </cell>
          <cell r="V237" t="str">
            <v>14H</v>
          </cell>
          <cell r="W237" t="str">
            <v>U4350</v>
          </cell>
          <cell r="Y237" t="str">
            <v>U4350E</v>
          </cell>
          <cell r="Z237" t="str">
            <v>AAA</v>
          </cell>
          <cell r="AB237" t="str">
            <v>T</v>
          </cell>
          <cell r="AD237" t="str">
            <v>*</v>
          </cell>
          <cell r="AE237" t="str">
            <v>2J653</v>
          </cell>
          <cell r="AF237" t="str">
            <v>021223</v>
          </cell>
          <cell r="AI237" t="str">
            <v>*</v>
          </cell>
          <cell r="AJ237" t="str">
            <v>T</v>
          </cell>
          <cell r="AT237" t="str">
            <v>A</v>
          </cell>
          <cell r="AU237" t="str">
            <v>0</v>
          </cell>
          <cell r="AV237" t="str">
            <v>3</v>
          </cell>
          <cell r="BE237" t="str">
            <v>5</v>
          </cell>
          <cell r="BF237" t="str">
            <v>0027</v>
          </cell>
          <cell r="BG237" t="str">
            <v>2J223</v>
          </cell>
          <cell r="BH237" t="str">
            <v>B4</v>
          </cell>
          <cell r="BI237" t="str">
            <v>845</v>
          </cell>
        </row>
        <row r="238">
          <cell r="T238" t="str">
            <v>5Q</v>
          </cell>
          <cell r="U238" t="str">
            <v>040</v>
          </cell>
          <cell r="V238" t="str">
            <v xml:space="preserve"> 7B 1A</v>
          </cell>
          <cell r="W238" t="str">
            <v>U0253</v>
          </cell>
          <cell r="Y238" t="str">
            <v>U0253E</v>
          </cell>
          <cell r="Z238" t="str">
            <v>AAA</v>
          </cell>
          <cell r="AB238" t="str">
            <v>T</v>
          </cell>
          <cell r="AD238" t="str">
            <v>*</v>
          </cell>
          <cell r="AE238" t="str">
            <v>2J653</v>
          </cell>
          <cell r="AF238" t="str">
            <v>021223</v>
          </cell>
          <cell r="AI238" t="str">
            <v>*</v>
          </cell>
          <cell r="AJ238" t="str">
            <v>T</v>
          </cell>
          <cell r="AT238" t="str">
            <v>A</v>
          </cell>
          <cell r="AU238" t="str">
            <v>0</v>
          </cell>
          <cell r="AV238" t="str">
            <v>3</v>
          </cell>
          <cell r="BF238" t="str">
            <v>0005</v>
          </cell>
          <cell r="BG238" t="str">
            <v>K0BAI</v>
          </cell>
        </row>
        <row r="239">
          <cell r="T239" t="str">
            <v>5Q</v>
          </cell>
          <cell r="U239" t="str">
            <v>040</v>
          </cell>
          <cell r="V239" t="str">
            <v xml:space="preserve"> 7B 1D</v>
          </cell>
          <cell r="W239" t="str">
            <v>U7360</v>
          </cell>
          <cell r="Y239" t="str">
            <v>U7360E</v>
          </cell>
          <cell r="Z239" t="str">
            <v>AAA</v>
          </cell>
          <cell r="AB239" t="str">
            <v>T</v>
          </cell>
          <cell r="AD239" t="str">
            <v>*</v>
          </cell>
          <cell r="AE239" t="str">
            <v>2J653</v>
          </cell>
          <cell r="AF239" t="str">
            <v>021223</v>
          </cell>
          <cell r="AI239" t="str">
            <v>*</v>
          </cell>
          <cell r="AJ239" t="str">
            <v>T</v>
          </cell>
          <cell r="AT239" t="str">
            <v>A</v>
          </cell>
          <cell r="AU239" t="str">
            <v>0</v>
          </cell>
          <cell r="AV239" t="str">
            <v>3</v>
          </cell>
          <cell r="BE239" t="str">
            <v>S</v>
          </cell>
          <cell r="BF239" t="str">
            <v>0005</v>
          </cell>
          <cell r="BG239" t="str">
            <v>2J618</v>
          </cell>
          <cell r="BH239" t="str">
            <v>5P</v>
          </cell>
          <cell r="BI239" t="str">
            <v>020</v>
          </cell>
        </row>
        <row r="240">
          <cell r="T240" t="str">
            <v>5Q</v>
          </cell>
          <cell r="U240" t="str">
            <v>040</v>
          </cell>
          <cell r="V240" t="str">
            <v xml:space="preserve"> 7B 1C</v>
          </cell>
          <cell r="W240" t="str">
            <v>U6000</v>
          </cell>
          <cell r="Y240" t="str">
            <v>U6000E</v>
          </cell>
          <cell r="Z240" t="str">
            <v>AAA</v>
          </cell>
          <cell r="AB240" t="str">
            <v>T</v>
          </cell>
          <cell r="AD240" t="str">
            <v>*</v>
          </cell>
          <cell r="AE240" t="str">
            <v>2J653</v>
          </cell>
          <cell r="AF240" t="str">
            <v>021223</v>
          </cell>
          <cell r="AI240" t="str">
            <v>*</v>
          </cell>
          <cell r="AJ240" t="str">
            <v>T</v>
          </cell>
          <cell r="AT240" t="str">
            <v>A</v>
          </cell>
          <cell r="AU240" t="str">
            <v>0</v>
          </cell>
          <cell r="AV240" t="str">
            <v>3</v>
          </cell>
          <cell r="BF240" t="str">
            <v>0008</v>
          </cell>
          <cell r="BG240" t="str">
            <v>2N420</v>
          </cell>
          <cell r="BH240" t="str">
            <v>I5</v>
          </cell>
          <cell r="BI240" t="str">
            <v>860</v>
          </cell>
        </row>
        <row r="241">
          <cell r="T241" t="str">
            <v>5Q</v>
          </cell>
          <cell r="U241" t="str">
            <v>040</v>
          </cell>
          <cell r="V241" t="str">
            <v xml:space="preserve"> 7B 3C</v>
          </cell>
          <cell r="W241" t="str">
            <v>U1300</v>
          </cell>
          <cell r="Y241" t="str">
            <v>U1300E</v>
          </cell>
          <cell r="Z241" t="str">
            <v>AAA</v>
          </cell>
          <cell r="AB241" t="str">
            <v>U</v>
          </cell>
          <cell r="AD241" t="str">
            <v>*</v>
          </cell>
          <cell r="AE241" t="str">
            <v>2J653</v>
          </cell>
          <cell r="AF241" t="str">
            <v>021223</v>
          </cell>
          <cell r="AI241" t="str">
            <v>*</v>
          </cell>
          <cell r="AJ241" t="str">
            <v>T</v>
          </cell>
          <cell r="AT241" t="str">
            <v>A</v>
          </cell>
          <cell r="AU241" t="str">
            <v>0</v>
          </cell>
          <cell r="AV241" t="str">
            <v>3</v>
          </cell>
          <cell r="BF241" t="str">
            <v>0002</v>
          </cell>
          <cell r="BG241" t="str">
            <v>2H403</v>
          </cell>
          <cell r="BH241" t="str">
            <v>C1</v>
          </cell>
          <cell r="BI241" t="str">
            <v>855</v>
          </cell>
        </row>
        <row r="242">
          <cell r="T242" t="str">
            <v>5Q</v>
          </cell>
          <cell r="U242" t="str">
            <v>040</v>
          </cell>
          <cell r="V242" t="str">
            <v>12E</v>
          </cell>
          <cell r="W242" t="str">
            <v>U0530</v>
          </cell>
          <cell r="Y242" t="str">
            <v>U0530E</v>
          </cell>
          <cell r="Z242" t="str">
            <v>AAD</v>
          </cell>
          <cell r="AB242" t="str">
            <v>T</v>
          </cell>
          <cell r="AD242" t="str">
            <v>*</v>
          </cell>
          <cell r="AE242" t="str">
            <v>2J653</v>
          </cell>
          <cell r="AF242" t="str">
            <v>021223</v>
          </cell>
          <cell r="AI242" t="str">
            <v>*</v>
          </cell>
          <cell r="AJ242" t="str">
            <v>T</v>
          </cell>
          <cell r="AT242" t="str">
            <v>A</v>
          </cell>
          <cell r="AU242" t="str">
            <v>0</v>
          </cell>
          <cell r="AV242" t="str">
            <v>3</v>
          </cell>
          <cell r="BE242" t="str">
            <v>ﾙ</v>
          </cell>
          <cell r="BF242" t="str">
            <v>0004</v>
          </cell>
          <cell r="BG242" t="str">
            <v>Z6416</v>
          </cell>
          <cell r="BH242" t="str">
            <v>5P</v>
          </cell>
          <cell r="BI242" t="str">
            <v>020</v>
          </cell>
        </row>
        <row r="243">
          <cell r="T243" t="str">
            <v>5Q</v>
          </cell>
          <cell r="U243" t="str">
            <v>040</v>
          </cell>
          <cell r="V243" t="str">
            <v xml:space="preserve"> 7B 6</v>
          </cell>
          <cell r="W243" t="str">
            <v>U0330</v>
          </cell>
          <cell r="Y243" t="str">
            <v>U0330E</v>
          </cell>
          <cell r="Z243" t="str">
            <v>AAA</v>
          </cell>
          <cell r="AB243" t="str">
            <v>U</v>
          </cell>
          <cell r="AD243" t="str">
            <v>*</v>
          </cell>
          <cell r="AE243" t="str">
            <v>2J653</v>
          </cell>
          <cell r="AF243" t="str">
            <v>021223</v>
          </cell>
          <cell r="AI243" t="str">
            <v>*</v>
          </cell>
          <cell r="AJ243" t="str">
            <v>T</v>
          </cell>
          <cell r="AT243" t="str">
            <v>A</v>
          </cell>
          <cell r="AU243" t="str">
            <v>0</v>
          </cell>
          <cell r="AV243" t="str">
            <v>3</v>
          </cell>
          <cell r="BE243" t="str">
            <v>1</v>
          </cell>
          <cell r="BF243" t="str">
            <v>0002</v>
          </cell>
          <cell r="BG243" t="str">
            <v>TOUGO</v>
          </cell>
        </row>
        <row r="244">
          <cell r="T244" t="str">
            <v>5Q</v>
          </cell>
          <cell r="U244" t="str">
            <v>040</v>
          </cell>
          <cell r="V244" t="str">
            <v xml:space="preserve"> 7B 3A</v>
          </cell>
          <cell r="W244" t="str">
            <v>U1400</v>
          </cell>
          <cell r="Y244" t="str">
            <v>U1400E</v>
          </cell>
          <cell r="Z244" t="str">
            <v>AAA</v>
          </cell>
          <cell r="AB244" t="str">
            <v>U</v>
          </cell>
          <cell r="AD244" t="str">
            <v>*</v>
          </cell>
          <cell r="AE244" t="str">
            <v>2J653</v>
          </cell>
          <cell r="AF244" t="str">
            <v>021223</v>
          </cell>
          <cell r="AI244" t="str">
            <v>*</v>
          </cell>
          <cell r="AJ244" t="str">
            <v>T</v>
          </cell>
          <cell r="AT244" t="str">
            <v>A</v>
          </cell>
          <cell r="AU244" t="str">
            <v>0</v>
          </cell>
          <cell r="AV244" t="str">
            <v>3</v>
          </cell>
          <cell r="BF244" t="str">
            <v>0002</v>
          </cell>
          <cell r="BG244" t="str">
            <v>0456</v>
          </cell>
        </row>
        <row r="245">
          <cell r="T245" t="str">
            <v>5Q</v>
          </cell>
          <cell r="U245" t="str">
            <v>040</v>
          </cell>
          <cell r="V245" t="str">
            <v xml:space="preserve"> 7B 1B1</v>
          </cell>
          <cell r="W245" t="str">
            <v>U1000</v>
          </cell>
          <cell r="Y245" t="str">
            <v>U1000E</v>
          </cell>
          <cell r="Z245" t="str">
            <v>AAA</v>
          </cell>
          <cell r="AB245" t="str">
            <v>T</v>
          </cell>
          <cell r="AD245" t="str">
            <v>*</v>
          </cell>
          <cell r="AE245" t="str">
            <v>2J653</v>
          </cell>
          <cell r="AF245" t="str">
            <v>021223</v>
          </cell>
          <cell r="AI245" t="str">
            <v>*</v>
          </cell>
          <cell r="AJ245" t="str">
            <v>T</v>
          </cell>
          <cell r="AT245" t="str">
            <v>A</v>
          </cell>
          <cell r="AU245" t="str">
            <v>0</v>
          </cell>
          <cell r="AV245" t="str">
            <v>3</v>
          </cell>
          <cell r="BF245" t="str">
            <v>0004</v>
          </cell>
          <cell r="BG245" t="str">
            <v>9J093</v>
          </cell>
          <cell r="BH245" t="str">
            <v>M1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圧着条件"/>
      <sheetName val="ﾏﾙﾁ回路"/>
    </sheetNames>
    <sheetDataSet>
      <sheetData sheetId="0">
        <row r="7">
          <cell r="D7" t="str">
            <v>ALEF36-1</v>
          </cell>
          <cell r="E7">
            <v>4</v>
          </cell>
          <cell r="F7">
            <v>0.95</v>
          </cell>
          <cell r="G7">
            <v>0.89999999999999991</v>
          </cell>
          <cell r="H7">
            <v>1</v>
          </cell>
          <cell r="I7">
            <v>2.25</v>
          </cell>
          <cell r="J7">
            <v>2.15</v>
          </cell>
          <cell r="K7">
            <v>2.35</v>
          </cell>
          <cell r="L7" t="str">
            <v>７９Ｎ以上</v>
          </cell>
          <cell r="M7">
            <v>0</v>
          </cell>
        </row>
        <row r="8">
          <cell r="D8" t="str">
            <v>DSWF03</v>
          </cell>
          <cell r="E8">
            <v>4</v>
          </cell>
          <cell r="F8">
            <v>0.95</v>
          </cell>
          <cell r="G8">
            <v>0.89999999999999991</v>
          </cell>
          <cell r="H8">
            <v>1</v>
          </cell>
          <cell r="I8">
            <v>3.4</v>
          </cell>
          <cell r="J8">
            <v>3.3</v>
          </cell>
          <cell r="K8">
            <v>3.5</v>
          </cell>
          <cell r="L8" t="str">
            <v>７９Ｎ以上</v>
          </cell>
          <cell r="M8" t="str">
            <v>C-090.6-G</v>
          </cell>
        </row>
        <row r="9">
          <cell r="D9" t="str">
            <v>FDSF03</v>
          </cell>
          <cell r="E9">
            <v>4</v>
          </cell>
          <cell r="F9">
            <v>0.9</v>
          </cell>
          <cell r="G9">
            <v>0.85</v>
          </cell>
          <cell r="H9">
            <v>0.95000000000000007</v>
          </cell>
          <cell r="I9">
            <v>2.0499999999999998</v>
          </cell>
          <cell r="J9">
            <v>1.9499999999999997</v>
          </cell>
          <cell r="K9">
            <v>2.15</v>
          </cell>
          <cell r="L9" t="str">
            <v>７９Ｎ以上</v>
          </cell>
          <cell r="M9">
            <v>0</v>
          </cell>
        </row>
        <row r="10">
          <cell r="D10" t="str">
            <v>J</v>
          </cell>
          <cell r="E10">
            <v>9</v>
          </cell>
          <cell r="F10" t="str">
            <v>-</v>
          </cell>
          <cell r="G10" t="str">
            <v>－ －</v>
          </cell>
          <cell r="H10" t="str">
            <v>－ －</v>
          </cell>
          <cell r="I10" t="str">
            <v>-</v>
          </cell>
          <cell r="J10" t="str">
            <v>－ －</v>
          </cell>
          <cell r="K10" t="str">
            <v>－ －</v>
          </cell>
          <cell r="L10" t="str">
            <v>－ －</v>
          </cell>
          <cell r="M10">
            <v>0</v>
          </cell>
        </row>
        <row r="11">
          <cell r="D11" t="str">
            <v>ALEF36-1</v>
          </cell>
          <cell r="E11">
            <v>4</v>
          </cell>
          <cell r="F11">
            <v>1</v>
          </cell>
          <cell r="G11">
            <v>0.95</v>
          </cell>
          <cell r="H11">
            <v>1.05</v>
          </cell>
          <cell r="I11">
            <v>2.35</v>
          </cell>
          <cell r="J11">
            <v>2.25</v>
          </cell>
          <cell r="K11">
            <v>2.4500000000000002</v>
          </cell>
          <cell r="L11" t="str">
            <v>８９Ｎ以上</v>
          </cell>
          <cell r="M11">
            <v>0</v>
          </cell>
        </row>
        <row r="12">
          <cell r="D12" t="str">
            <v>ALEM37-1</v>
          </cell>
          <cell r="E12">
            <v>4.5</v>
          </cell>
          <cell r="F12">
            <v>1.25</v>
          </cell>
          <cell r="G12">
            <v>1.2</v>
          </cell>
          <cell r="H12">
            <v>1.3</v>
          </cell>
          <cell r="I12">
            <v>2.6</v>
          </cell>
          <cell r="J12">
            <v>2.5</v>
          </cell>
          <cell r="K12">
            <v>2.7</v>
          </cell>
          <cell r="L12" t="str">
            <v>８９Ｎ以上</v>
          </cell>
          <cell r="M12">
            <v>0</v>
          </cell>
        </row>
        <row r="13">
          <cell r="D13" t="str">
            <v>CBS236</v>
          </cell>
          <cell r="E13">
            <v>4.5</v>
          </cell>
          <cell r="F13">
            <v>1.05</v>
          </cell>
          <cell r="G13">
            <v>1</v>
          </cell>
          <cell r="H13">
            <v>1.1000000000000001</v>
          </cell>
          <cell r="I13">
            <v>3.8</v>
          </cell>
          <cell r="J13">
            <v>3.6999999999999997</v>
          </cell>
          <cell r="K13">
            <v>3.9</v>
          </cell>
          <cell r="L13" t="str">
            <v>８９Ｎ以上</v>
          </cell>
          <cell r="M13" t="str">
            <v>C-YWSB(G)</v>
          </cell>
        </row>
        <row r="14">
          <cell r="D14" t="str">
            <v>DSWF</v>
          </cell>
          <cell r="E14">
            <v>4</v>
          </cell>
          <cell r="F14">
            <v>1</v>
          </cell>
          <cell r="G14">
            <v>0.95</v>
          </cell>
          <cell r="H14">
            <v>1.05</v>
          </cell>
          <cell r="I14">
            <v>3.5</v>
          </cell>
          <cell r="J14">
            <v>3.4</v>
          </cell>
          <cell r="K14">
            <v>3.6</v>
          </cell>
          <cell r="L14" t="str">
            <v>８９Ｎ以上</v>
          </cell>
          <cell r="M14" t="str">
            <v>C-090.6-BR</v>
          </cell>
        </row>
        <row r="15">
          <cell r="D15" t="str">
            <v>F84-1</v>
          </cell>
          <cell r="E15">
            <v>4.5</v>
          </cell>
          <cell r="F15">
            <v>1.1499999999999999</v>
          </cell>
          <cell r="G15">
            <v>1.0999999999999999</v>
          </cell>
          <cell r="H15">
            <v>1.2</v>
          </cell>
          <cell r="I15">
            <v>1.9</v>
          </cell>
          <cell r="J15">
            <v>1.7999999999999998</v>
          </cell>
          <cell r="K15">
            <v>2</v>
          </cell>
          <cell r="L15" t="str">
            <v>８９Ｎ以上</v>
          </cell>
          <cell r="M15">
            <v>0</v>
          </cell>
        </row>
        <row r="16">
          <cell r="D16" t="str">
            <v>FDSF</v>
          </cell>
          <cell r="E16">
            <v>5</v>
          </cell>
          <cell r="F16">
            <v>1</v>
          </cell>
          <cell r="G16">
            <v>0.95</v>
          </cell>
          <cell r="H16">
            <v>1.05</v>
          </cell>
          <cell r="I16">
            <v>2.4</v>
          </cell>
          <cell r="J16">
            <v>2.2999999999999998</v>
          </cell>
          <cell r="K16">
            <v>2.5</v>
          </cell>
          <cell r="L16" t="str">
            <v>８９Ｎ以上</v>
          </cell>
          <cell r="M16">
            <v>0</v>
          </cell>
        </row>
        <row r="17">
          <cell r="D17" t="str">
            <v>FDSF03</v>
          </cell>
          <cell r="E17">
            <v>4.5</v>
          </cell>
          <cell r="F17">
            <v>0.95</v>
          </cell>
          <cell r="G17">
            <v>0.89999999999999991</v>
          </cell>
          <cell r="H17">
            <v>1</v>
          </cell>
          <cell r="I17">
            <v>2.15</v>
          </cell>
          <cell r="J17">
            <v>2.0499999999999998</v>
          </cell>
          <cell r="K17">
            <v>2.25</v>
          </cell>
          <cell r="L17" t="str">
            <v>８９Ｎ以上</v>
          </cell>
          <cell r="M17">
            <v>0</v>
          </cell>
        </row>
        <row r="18">
          <cell r="D18" t="str">
            <v>FDSM</v>
          </cell>
          <cell r="E18">
            <v>5</v>
          </cell>
          <cell r="F18">
            <v>1.1499999999999999</v>
          </cell>
          <cell r="G18">
            <v>1.0999999999999999</v>
          </cell>
          <cell r="H18">
            <v>1.2</v>
          </cell>
          <cell r="I18">
            <v>2.6</v>
          </cell>
          <cell r="J18">
            <v>2.5</v>
          </cell>
          <cell r="K18">
            <v>2.7</v>
          </cell>
          <cell r="L18" t="str">
            <v>８９Ｎ以上</v>
          </cell>
          <cell r="M18">
            <v>0</v>
          </cell>
        </row>
        <row r="19">
          <cell r="D19" t="str">
            <v>J</v>
          </cell>
          <cell r="E19">
            <v>9</v>
          </cell>
          <cell r="F19" t="str">
            <v>-</v>
          </cell>
          <cell r="G19" t="str">
            <v>－ －</v>
          </cell>
          <cell r="H19" t="str">
            <v>－ －</v>
          </cell>
          <cell r="I19" t="str">
            <v>-</v>
          </cell>
          <cell r="J19" t="str">
            <v>－ －</v>
          </cell>
          <cell r="K19" t="str">
            <v>－ －</v>
          </cell>
          <cell r="L19" t="str">
            <v>－ －</v>
          </cell>
          <cell r="M19">
            <v>0</v>
          </cell>
        </row>
        <row r="20">
          <cell r="D20" t="str">
            <v>JS</v>
          </cell>
          <cell r="E20">
            <v>15</v>
          </cell>
          <cell r="F20" t="str">
            <v>-</v>
          </cell>
          <cell r="G20" t="str">
            <v>－ －</v>
          </cell>
          <cell r="H20" t="str">
            <v>－ －</v>
          </cell>
          <cell r="I20" t="str">
            <v>-</v>
          </cell>
          <cell r="J20" t="str">
            <v>－ －</v>
          </cell>
          <cell r="K20" t="str">
            <v>－ －</v>
          </cell>
          <cell r="L20" t="str">
            <v>－ －</v>
          </cell>
          <cell r="M20">
            <v>0</v>
          </cell>
        </row>
        <row r="21">
          <cell r="D21" t="str">
            <v>LA106N-R-2</v>
          </cell>
          <cell r="E21">
            <v>6.5</v>
          </cell>
          <cell r="F21">
            <v>1.95</v>
          </cell>
          <cell r="G21">
            <v>1.9</v>
          </cell>
          <cell r="H21">
            <v>2</v>
          </cell>
          <cell r="I21">
            <v>3.3</v>
          </cell>
          <cell r="J21">
            <v>3.1999999999999997</v>
          </cell>
          <cell r="K21">
            <v>3.4</v>
          </cell>
          <cell r="L21" t="str">
            <v>８９Ｎ以上</v>
          </cell>
          <cell r="M21">
            <v>0</v>
          </cell>
        </row>
        <row r="22">
          <cell r="D22" t="str">
            <v>MKWF</v>
          </cell>
          <cell r="E22">
            <v>5.5</v>
          </cell>
          <cell r="F22">
            <v>1.45</v>
          </cell>
          <cell r="G22">
            <v>1.4</v>
          </cell>
          <cell r="H22">
            <v>1.5</v>
          </cell>
          <cell r="I22">
            <v>3.95</v>
          </cell>
          <cell r="J22">
            <v>3.85</v>
          </cell>
          <cell r="K22">
            <v>4.05</v>
          </cell>
          <cell r="L22" t="str">
            <v>８９Ｎ以上</v>
          </cell>
          <cell r="M22" t="str">
            <v>C-187-BR</v>
          </cell>
        </row>
        <row r="23">
          <cell r="D23" t="str">
            <v>NTF</v>
          </cell>
          <cell r="E23">
            <v>4</v>
          </cell>
          <cell r="F23">
            <v>1.05</v>
          </cell>
          <cell r="G23">
            <v>1</v>
          </cell>
          <cell r="H23">
            <v>1.1000000000000001</v>
          </cell>
          <cell r="I23">
            <v>2.0499999999999998</v>
          </cell>
          <cell r="J23">
            <v>1.9499999999999997</v>
          </cell>
          <cell r="K23">
            <v>2.15</v>
          </cell>
          <cell r="L23" t="str">
            <v>８９Ｎ以上</v>
          </cell>
          <cell r="M23">
            <v>0</v>
          </cell>
        </row>
        <row r="24">
          <cell r="D24" t="str">
            <v>CBS236</v>
          </cell>
          <cell r="E24">
            <v>4.5</v>
          </cell>
          <cell r="F24">
            <v>1.2</v>
          </cell>
          <cell r="G24">
            <v>1.1499999999999999</v>
          </cell>
          <cell r="H24">
            <v>1.25</v>
          </cell>
          <cell r="I24">
            <v>3.7</v>
          </cell>
          <cell r="J24">
            <v>3.6</v>
          </cell>
          <cell r="K24">
            <v>3.8000000000000003</v>
          </cell>
          <cell r="L24" t="str">
            <v>128Ｎ以上</v>
          </cell>
          <cell r="M24" t="str">
            <v>C-YWSB</v>
          </cell>
        </row>
        <row r="25">
          <cell r="D25" t="str">
            <v>DSWF</v>
          </cell>
          <cell r="E25">
            <v>4.5</v>
          </cell>
          <cell r="F25">
            <v>1.05</v>
          </cell>
          <cell r="G25">
            <v>1</v>
          </cell>
          <cell r="H25">
            <v>1.1000000000000001</v>
          </cell>
          <cell r="I25">
            <v>3.55</v>
          </cell>
          <cell r="J25">
            <v>3.4499999999999997</v>
          </cell>
          <cell r="K25">
            <v>3.65</v>
          </cell>
          <cell r="L25" t="str">
            <v>128Ｎ以上</v>
          </cell>
          <cell r="M25" t="str">
            <v>C-090.6-BR</v>
          </cell>
        </row>
        <row r="26">
          <cell r="D26" t="str">
            <v>FDSF</v>
          </cell>
          <cell r="E26">
            <v>5</v>
          </cell>
          <cell r="F26">
            <v>1.1499999999999999</v>
          </cell>
          <cell r="G26">
            <v>1.0999999999999999</v>
          </cell>
          <cell r="H26">
            <v>1.2</v>
          </cell>
          <cell r="I26">
            <v>2.5499999999999998</v>
          </cell>
          <cell r="J26">
            <v>2.4499999999999997</v>
          </cell>
          <cell r="K26">
            <v>2.65</v>
          </cell>
          <cell r="L26" t="str">
            <v>128Ｎ以上</v>
          </cell>
          <cell r="M26">
            <v>0</v>
          </cell>
        </row>
        <row r="27">
          <cell r="D27" t="str">
            <v>J</v>
          </cell>
          <cell r="E27">
            <v>9</v>
          </cell>
          <cell r="F27" t="str">
            <v>-</v>
          </cell>
          <cell r="G27" t="str">
            <v>－ －</v>
          </cell>
          <cell r="H27" t="str">
            <v>－ －</v>
          </cell>
          <cell r="I27" t="str">
            <v>-</v>
          </cell>
          <cell r="J27" t="str">
            <v>－ －</v>
          </cell>
          <cell r="K27" t="str">
            <v>－ －</v>
          </cell>
          <cell r="L27" t="str">
            <v>－ －</v>
          </cell>
          <cell r="M27">
            <v>0</v>
          </cell>
        </row>
        <row r="28">
          <cell r="D28" t="str">
            <v>JS</v>
          </cell>
          <cell r="E28">
            <v>15</v>
          </cell>
          <cell r="F28" t="str">
            <v>-</v>
          </cell>
          <cell r="G28" t="str">
            <v>－ －</v>
          </cell>
          <cell r="H28" t="str">
            <v>－ －</v>
          </cell>
          <cell r="I28" t="str">
            <v>-</v>
          </cell>
          <cell r="J28" t="str">
            <v>－ －</v>
          </cell>
          <cell r="K28" t="str">
            <v>－ －</v>
          </cell>
          <cell r="L28" t="str">
            <v>－ －</v>
          </cell>
          <cell r="M28">
            <v>0</v>
          </cell>
        </row>
        <row r="29">
          <cell r="D29" t="str">
            <v>MKWF</v>
          </cell>
          <cell r="E29">
            <v>5.5</v>
          </cell>
          <cell r="F29">
            <v>1.55</v>
          </cell>
          <cell r="G29">
            <v>1.5</v>
          </cell>
          <cell r="H29">
            <v>1.6</v>
          </cell>
          <cell r="I29">
            <v>4.05</v>
          </cell>
          <cell r="J29">
            <v>3.9499999999999997</v>
          </cell>
          <cell r="K29">
            <v>4.1499999999999995</v>
          </cell>
          <cell r="L29" t="str">
            <v>128Ｎ以上</v>
          </cell>
          <cell r="M29" t="str">
            <v>C-187-BR</v>
          </cell>
        </row>
        <row r="30">
          <cell r="D30" t="str">
            <v>CBS237</v>
          </cell>
          <cell r="E30">
            <v>4.5</v>
          </cell>
          <cell r="F30">
            <v>1.3</v>
          </cell>
          <cell r="G30">
            <v>1.25</v>
          </cell>
          <cell r="H30">
            <v>1.35</v>
          </cell>
          <cell r="I30">
            <v>4.2</v>
          </cell>
          <cell r="J30">
            <v>4.1000000000000005</v>
          </cell>
          <cell r="K30">
            <v>4.3</v>
          </cell>
          <cell r="L30" t="str">
            <v>177Ｎ以上</v>
          </cell>
          <cell r="M30" t="str">
            <v>C-YWSB</v>
          </cell>
        </row>
        <row r="31">
          <cell r="D31" t="str">
            <v>DSWF</v>
          </cell>
          <cell r="E31">
            <v>4.5</v>
          </cell>
          <cell r="F31">
            <v>1.25</v>
          </cell>
          <cell r="G31">
            <v>1.2</v>
          </cell>
          <cell r="H31">
            <v>1.3</v>
          </cell>
          <cell r="I31">
            <v>3.6</v>
          </cell>
          <cell r="J31">
            <v>3.5</v>
          </cell>
          <cell r="K31">
            <v>3.7</v>
          </cell>
          <cell r="L31" t="str">
            <v>177Ｎ以上</v>
          </cell>
          <cell r="M31" t="str">
            <v>C-090.6-G</v>
          </cell>
        </row>
        <row r="32">
          <cell r="D32" t="str">
            <v>FDSF</v>
          </cell>
          <cell r="E32">
            <v>5</v>
          </cell>
          <cell r="F32">
            <v>1.25</v>
          </cell>
          <cell r="G32">
            <v>1.2</v>
          </cell>
          <cell r="H32">
            <v>1.3</v>
          </cell>
          <cell r="I32">
            <v>2.6</v>
          </cell>
          <cell r="J32">
            <v>2.5</v>
          </cell>
          <cell r="K32">
            <v>2.7</v>
          </cell>
          <cell r="L32" t="str">
            <v>177Ｎ以上</v>
          </cell>
          <cell r="M32">
            <v>0</v>
          </cell>
        </row>
        <row r="33">
          <cell r="D33" t="str">
            <v>J</v>
          </cell>
          <cell r="E33">
            <v>9</v>
          </cell>
          <cell r="F33" t="str">
            <v>-</v>
          </cell>
          <cell r="G33" t="str">
            <v>－ －</v>
          </cell>
          <cell r="H33" t="str">
            <v>－ －</v>
          </cell>
          <cell r="I33" t="str">
            <v>-</v>
          </cell>
          <cell r="J33" t="str">
            <v>－ －</v>
          </cell>
          <cell r="K33" t="str">
            <v>－ －</v>
          </cell>
          <cell r="L33" t="str">
            <v>－ －</v>
          </cell>
          <cell r="M33">
            <v>0</v>
          </cell>
        </row>
        <row r="34">
          <cell r="D34" t="str">
            <v>JS</v>
          </cell>
          <cell r="E34">
            <v>15</v>
          </cell>
          <cell r="F34" t="str">
            <v>-</v>
          </cell>
          <cell r="G34" t="str">
            <v>－ －</v>
          </cell>
          <cell r="H34" t="str">
            <v>－ －</v>
          </cell>
          <cell r="I34" t="str">
            <v>-</v>
          </cell>
          <cell r="J34" t="str">
            <v>－ －</v>
          </cell>
          <cell r="K34" t="str">
            <v>－ －</v>
          </cell>
          <cell r="L34" t="str">
            <v>－ －</v>
          </cell>
          <cell r="M34">
            <v>0</v>
          </cell>
        </row>
        <row r="35">
          <cell r="D35" t="str">
            <v>MKF</v>
          </cell>
          <cell r="E35">
            <v>5</v>
          </cell>
          <cell r="F35">
            <v>1.6</v>
          </cell>
          <cell r="G35">
            <v>1.55</v>
          </cell>
          <cell r="H35">
            <v>1.6500000000000001</v>
          </cell>
          <cell r="I35">
            <v>2.6</v>
          </cell>
          <cell r="J35">
            <v>2.5</v>
          </cell>
          <cell r="K35">
            <v>2.7</v>
          </cell>
          <cell r="L35" t="str">
            <v>177Ｎ以上</v>
          </cell>
          <cell r="M35">
            <v>0</v>
          </cell>
        </row>
        <row r="36">
          <cell r="D36" t="str">
            <v>MKWF</v>
          </cell>
          <cell r="E36">
            <v>5.5</v>
          </cell>
          <cell r="F36">
            <v>1.7</v>
          </cell>
          <cell r="G36">
            <v>1.65</v>
          </cell>
          <cell r="H36">
            <v>1.75</v>
          </cell>
          <cell r="I36">
            <v>4.1500000000000004</v>
          </cell>
          <cell r="J36">
            <v>4.0500000000000007</v>
          </cell>
          <cell r="K36">
            <v>4.25</v>
          </cell>
          <cell r="L36" t="str">
            <v>177Ｎ以上</v>
          </cell>
          <cell r="M36" t="str">
            <v>C-187-G</v>
          </cell>
        </row>
        <row r="37">
          <cell r="D37" t="str">
            <v>DSWF20</v>
          </cell>
          <cell r="E37">
            <v>4</v>
          </cell>
          <cell r="F37">
            <v>1.45</v>
          </cell>
          <cell r="G37">
            <v>1.4</v>
          </cell>
          <cell r="H37">
            <v>1.5</v>
          </cell>
          <cell r="I37">
            <v>4.0999999999999996</v>
          </cell>
          <cell r="J37">
            <v>3.9999999999999996</v>
          </cell>
          <cell r="K37">
            <v>4.1999999999999993</v>
          </cell>
          <cell r="L37" t="str">
            <v>246Ｎ以上</v>
          </cell>
          <cell r="M37" t="str">
            <v>C-090.6-DGR</v>
          </cell>
        </row>
        <row r="38">
          <cell r="D38" t="str">
            <v>F030</v>
          </cell>
          <cell r="E38">
            <v>4.5</v>
          </cell>
          <cell r="F38">
            <v>1.5</v>
          </cell>
          <cell r="G38">
            <v>1.45</v>
          </cell>
          <cell r="H38">
            <v>1.55</v>
          </cell>
          <cell r="I38">
            <v>2.95</v>
          </cell>
          <cell r="J38">
            <v>2.85</v>
          </cell>
          <cell r="K38">
            <v>3.0500000000000003</v>
          </cell>
          <cell r="L38" t="str">
            <v>246Ｎ以上</v>
          </cell>
          <cell r="M38">
            <v>0</v>
          </cell>
        </row>
        <row r="39">
          <cell r="D39" t="str">
            <v>FDSF20</v>
          </cell>
          <cell r="E39">
            <v>5</v>
          </cell>
          <cell r="F39">
            <v>1.65</v>
          </cell>
          <cell r="G39">
            <v>1.5999999999999999</v>
          </cell>
          <cell r="H39">
            <v>1.7</v>
          </cell>
          <cell r="I39">
            <v>2.75</v>
          </cell>
          <cell r="J39">
            <v>2.65</v>
          </cell>
          <cell r="K39">
            <v>2.85</v>
          </cell>
          <cell r="L39" t="str">
            <v>246Ｎ以上</v>
          </cell>
          <cell r="M39">
            <v>0</v>
          </cell>
        </row>
        <row r="40">
          <cell r="D40" t="str">
            <v>FDSM20</v>
          </cell>
          <cell r="E40">
            <v>5</v>
          </cell>
          <cell r="F40">
            <v>1.85</v>
          </cell>
          <cell r="G40">
            <v>1.8</v>
          </cell>
          <cell r="H40">
            <v>1.9000000000000001</v>
          </cell>
          <cell r="I40">
            <v>3</v>
          </cell>
          <cell r="J40">
            <v>2.9</v>
          </cell>
          <cell r="K40">
            <v>3.1</v>
          </cell>
          <cell r="L40" t="str">
            <v>246Ｎ以上</v>
          </cell>
          <cell r="M40">
            <v>0</v>
          </cell>
        </row>
        <row r="41">
          <cell r="D41" t="str">
            <v>J</v>
          </cell>
          <cell r="E41">
            <v>9</v>
          </cell>
          <cell r="F41" t="str">
            <v>-</v>
          </cell>
          <cell r="G41" t="str">
            <v>－ －</v>
          </cell>
          <cell r="H41" t="str">
            <v>－ －</v>
          </cell>
          <cell r="I41" t="str">
            <v>-</v>
          </cell>
          <cell r="J41" t="str">
            <v>－ －</v>
          </cell>
          <cell r="K41" t="str">
            <v>－ －</v>
          </cell>
          <cell r="L41" t="str">
            <v>－ －</v>
          </cell>
          <cell r="M41">
            <v>0</v>
          </cell>
        </row>
        <row r="42">
          <cell r="D42" t="str">
            <v>JS</v>
          </cell>
          <cell r="E42">
            <v>15</v>
          </cell>
          <cell r="F42" t="str">
            <v>-</v>
          </cell>
          <cell r="G42" t="str">
            <v>－ －</v>
          </cell>
          <cell r="H42" t="str">
            <v>－ －</v>
          </cell>
          <cell r="I42" t="str">
            <v>-</v>
          </cell>
          <cell r="J42" t="str">
            <v>－ －</v>
          </cell>
          <cell r="K42" t="str">
            <v>－ －</v>
          </cell>
          <cell r="L42" t="str">
            <v>－ －</v>
          </cell>
          <cell r="M42">
            <v>0</v>
          </cell>
        </row>
        <row r="43">
          <cell r="D43" t="str">
            <v>LA206</v>
          </cell>
          <cell r="E43">
            <v>6.5</v>
          </cell>
          <cell r="F43">
            <v>2.5</v>
          </cell>
          <cell r="G43">
            <v>2.4500000000000002</v>
          </cell>
          <cell r="H43">
            <v>2.5499999999999998</v>
          </cell>
          <cell r="I43">
            <v>3.8</v>
          </cell>
          <cell r="J43">
            <v>3.6999999999999997</v>
          </cell>
          <cell r="K43">
            <v>3.9</v>
          </cell>
          <cell r="L43" t="str">
            <v>246Ｎ以上</v>
          </cell>
          <cell r="M43">
            <v>0</v>
          </cell>
        </row>
        <row r="44">
          <cell r="D44" t="str">
            <v>LAS206N-L-2</v>
          </cell>
          <cell r="E44">
            <v>6.5</v>
          </cell>
          <cell r="F44">
            <v>1.95</v>
          </cell>
          <cell r="G44">
            <v>1.9</v>
          </cell>
          <cell r="H44">
            <v>2</v>
          </cell>
          <cell r="I44">
            <v>3.3</v>
          </cell>
          <cell r="J44">
            <v>3.1999999999999997</v>
          </cell>
          <cell r="K44">
            <v>3.4</v>
          </cell>
          <cell r="L44" t="str">
            <v>246Ｎ以上</v>
          </cell>
          <cell r="M44">
            <v>0</v>
          </cell>
        </row>
        <row r="45">
          <cell r="D45" t="str">
            <v>MKSWF20</v>
          </cell>
          <cell r="E45">
            <v>5.5</v>
          </cell>
          <cell r="F45">
            <v>1.75</v>
          </cell>
          <cell r="G45">
            <v>1.7</v>
          </cell>
          <cell r="H45">
            <v>1.8</v>
          </cell>
          <cell r="I45">
            <v>4.7</v>
          </cell>
          <cell r="J45">
            <v>4.6000000000000005</v>
          </cell>
          <cell r="K45">
            <v>4.8</v>
          </cell>
          <cell r="L45" t="str">
            <v>246Ｎ以上</v>
          </cell>
          <cell r="M45" t="str">
            <v>C-187-G</v>
          </cell>
        </row>
        <row r="46">
          <cell r="D46" t="str">
            <v>STDCF-20</v>
          </cell>
          <cell r="E46">
            <v>5</v>
          </cell>
          <cell r="F46">
            <v>1.6</v>
          </cell>
          <cell r="G46">
            <v>1.55</v>
          </cell>
          <cell r="H46">
            <v>1.6500000000000001</v>
          </cell>
          <cell r="I46">
            <v>2.85</v>
          </cell>
          <cell r="J46">
            <v>2.75</v>
          </cell>
          <cell r="K46">
            <v>2.95</v>
          </cell>
          <cell r="L46" t="str">
            <v>246Ｎ以上</v>
          </cell>
          <cell r="M46">
            <v>0</v>
          </cell>
        </row>
        <row r="47">
          <cell r="D47" t="str">
            <v>MKSWF20</v>
          </cell>
          <cell r="E47">
            <v>5.5</v>
          </cell>
          <cell r="F47">
            <v>2.0499999999999998</v>
          </cell>
          <cell r="G47">
            <v>1.9999999999999998</v>
          </cell>
          <cell r="H47">
            <v>2.0999999999999996</v>
          </cell>
          <cell r="I47">
            <v>5</v>
          </cell>
          <cell r="J47">
            <v>4.9000000000000004</v>
          </cell>
          <cell r="K47">
            <v>5.0999999999999996</v>
          </cell>
          <cell r="L47" t="str">
            <v>295Ｎ以上</v>
          </cell>
          <cell r="M47" t="str">
            <v>C-187-L</v>
          </cell>
        </row>
        <row r="48">
          <cell r="D48" t="str">
            <v>LA206</v>
          </cell>
          <cell r="E48">
            <v>7</v>
          </cell>
          <cell r="F48">
            <v>2.4500000000000002</v>
          </cell>
          <cell r="G48">
            <v>2.4000000000000004</v>
          </cell>
          <cell r="H48">
            <v>2.5</v>
          </cell>
          <cell r="I48">
            <v>3.75</v>
          </cell>
          <cell r="J48">
            <v>3.65</v>
          </cell>
          <cell r="K48">
            <v>3.85</v>
          </cell>
          <cell r="L48" t="str">
            <v>サイズ別</v>
          </cell>
          <cell r="M48">
            <v>0</v>
          </cell>
        </row>
        <row r="49">
          <cell r="D49" t="str">
            <v>LAS206N-L-2</v>
          </cell>
          <cell r="E49">
            <v>6.5</v>
          </cell>
          <cell r="F49">
            <v>2.5499999999999998</v>
          </cell>
          <cell r="G49">
            <v>2.5</v>
          </cell>
          <cell r="H49">
            <v>2.5999999999999996</v>
          </cell>
          <cell r="I49">
            <v>3.5</v>
          </cell>
          <cell r="J49">
            <v>3.4</v>
          </cell>
          <cell r="K49">
            <v>3.6</v>
          </cell>
          <cell r="L49" t="str">
            <v>177Ｎ以上</v>
          </cell>
          <cell r="M49">
            <v>0</v>
          </cell>
        </row>
        <row r="50">
          <cell r="D50" t="str">
            <v>LAS206N-L-2</v>
          </cell>
          <cell r="E50">
            <v>6.5</v>
          </cell>
          <cell r="F50">
            <v>2.8</v>
          </cell>
          <cell r="G50">
            <v>2.75</v>
          </cell>
          <cell r="H50">
            <v>2.8499999999999996</v>
          </cell>
          <cell r="I50">
            <v>3.75</v>
          </cell>
          <cell r="J50">
            <v>3.65</v>
          </cell>
          <cell r="K50">
            <v>3.85</v>
          </cell>
          <cell r="L50" t="str">
            <v>246Ｎ以上</v>
          </cell>
          <cell r="M50">
            <v>0</v>
          </cell>
        </row>
      </sheetData>
      <sheetData sheetId="1">
        <row r="8">
          <cell r="A8">
            <v>104</v>
          </cell>
          <cell r="B8" t="str">
            <v>J151(5/5)</v>
          </cell>
          <cell r="C8" t="str">
            <v>1A</v>
          </cell>
          <cell r="E8">
            <v>1</v>
          </cell>
          <cell r="G8">
            <v>13</v>
          </cell>
          <cell r="M8" t="str">
            <v>J</v>
          </cell>
          <cell r="O8" t="str">
            <v>A</v>
          </cell>
          <cell r="Q8">
            <v>20</v>
          </cell>
          <cell r="R8">
            <v>2</v>
          </cell>
          <cell r="V8" t="str">
            <v>*</v>
          </cell>
          <cell r="W8" t="str">
            <v xml:space="preserve">AVSS </v>
          </cell>
          <cell r="X8" t="str">
            <v>2.0F</v>
          </cell>
          <cell r="Y8" t="str">
            <v>W</v>
          </cell>
          <cell r="Z8" t="str">
            <v>/</v>
          </cell>
          <cell r="AA8" t="str">
            <v>B</v>
          </cell>
          <cell r="AB8">
            <v>1305</v>
          </cell>
          <cell r="AD8" t="str">
            <v xml:space="preserve">FDSF20 </v>
          </cell>
          <cell r="AE8">
            <v>5</v>
          </cell>
          <cell r="AF8">
            <v>1.65</v>
          </cell>
          <cell r="AG8">
            <v>1.5999999999999999</v>
          </cell>
          <cell r="AH8">
            <v>1.7</v>
          </cell>
          <cell r="AI8">
            <v>2.75</v>
          </cell>
          <cell r="AJ8">
            <v>2.65</v>
          </cell>
          <cell r="AK8">
            <v>2.85</v>
          </cell>
          <cell r="AL8" t="str">
            <v>246Ｎ以上</v>
          </cell>
          <cell r="AM8">
            <v>0</v>
          </cell>
          <cell r="AO8" t="str">
            <v xml:space="preserve">DS-9F </v>
          </cell>
          <cell r="AP8" t="str">
            <v xml:space="preserve">%Z8 </v>
          </cell>
          <cell r="AR8" t="str">
            <v xml:space="preserve">FDSF20 </v>
          </cell>
          <cell r="AS8">
            <v>5</v>
          </cell>
          <cell r="AT8">
            <v>1.65</v>
          </cell>
          <cell r="AU8">
            <v>1.5999999999999999</v>
          </cell>
          <cell r="AV8">
            <v>1.7</v>
          </cell>
          <cell r="AW8">
            <v>2.75</v>
          </cell>
          <cell r="AX8">
            <v>2.65</v>
          </cell>
          <cell r="AY8">
            <v>2.85</v>
          </cell>
          <cell r="AZ8" t="str">
            <v>246Ｎ以上</v>
          </cell>
          <cell r="BA8">
            <v>0</v>
          </cell>
          <cell r="BC8" t="str">
            <v xml:space="preserve">RLE/DS12-18F </v>
          </cell>
          <cell r="BD8" t="str">
            <v xml:space="preserve">Z2G </v>
          </cell>
          <cell r="BE8" t="str">
            <v>1305</v>
          </cell>
          <cell r="BG8" t="str">
            <v>214W</v>
          </cell>
          <cell r="BH8">
            <v>82151</v>
          </cell>
          <cell r="BL8" t="str">
            <v>492</v>
          </cell>
        </row>
        <row r="9">
          <cell r="A9" t="str">
            <v>104A</v>
          </cell>
          <cell r="C9" t="str">
            <v>1A</v>
          </cell>
          <cell r="E9">
            <v>1</v>
          </cell>
          <cell r="G9">
            <v>14</v>
          </cell>
          <cell r="R9">
            <v>2</v>
          </cell>
          <cell r="T9" t="str">
            <v>*</v>
          </cell>
          <cell r="W9" t="str">
            <v xml:space="preserve">AVSS </v>
          </cell>
          <cell r="X9" t="str">
            <v>2.0F</v>
          </cell>
          <cell r="Y9" t="str">
            <v>W</v>
          </cell>
          <cell r="Z9" t="str">
            <v>/</v>
          </cell>
          <cell r="AA9" t="str">
            <v>B</v>
          </cell>
          <cell r="AB9">
            <v>1305</v>
          </cell>
          <cell r="AD9" t="str">
            <v xml:space="preserve">FDSF20 </v>
          </cell>
          <cell r="AE9">
            <v>5</v>
          </cell>
          <cell r="AF9">
            <v>1.65</v>
          </cell>
          <cell r="AG9">
            <v>1.5999999999999999</v>
          </cell>
          <cell r="AH9">
            <v>1.7</v>
          </cell>
          <cell r="AI9">
            <v>2.75</v>
          </cell>
          <cell r="AJ9">
            <v>2.65</v>
          </cell>
          <cell r="AK9">
            <v>2.85</v>
          </cell>
          <cell r="AL9" t="str">
            <v>246Ｎ以上</v>
          </cell>
          <cell r="AM9">
            <v>0</v>
          </cell>
          <cell r="AO9" t="str">
            <v xml:space="preserve">DS-9F </v>
          </cell>
          <cell r="AP9" t="str">
            <v xml:space="preserve">%Z8 </v>
          </cell>
          <cell r="AR9" t="str">
            <v xml:space="preserve">FDSF20 </v>
          </cell>
          <cell r="AS9">
            <v>5</v>
          </cell>
          <cell r="AT9">
            <v>1.65</v>
          </cell>
          <cell r="AU9">
            <v>1.5999999999999999</v>
          </cell>
          <cell r="AV9">
            <v>1.7</v>
          </cell>
          <cell r="AW9">
            <v>2.75</v>
          </cell>
          <cell r="AX9">
            <v>2.65</v>
          </cell>
          <cell r="AY9">
            <v>2.85</v>
          </cell>
          <cell r="AZ9" t="str">
            <v>246Ｎ以上</v>
          </cell>
          <cell r="BA9">
            <v>0</v>
          </cell>
          <cell r="BC9" t="str">
            <v xml:space="preserve">RLE/DS12-18F </v>
          </cell>
          <cell r="BD9" t="str">
            <v xml:space="preserve">Z2G </v>
          </cell>
          <cell r="BE9" t="str">
            <v>1305</v>
          </cell>
          <cell r="BG9" t="str">
            <v>214W</v>
          </cell>
          <cell r="BH9">
            <v>82151</v>
          </cell>
          <cell r="BI9" t="str">
            <v>441</v>
          </cell>
          <cell r="BK9" t="str">
            <v>441</v>
          </cell>
        </row>
        <row r="10">
          <cell r="A10">
            <v>105</v>
          </cell>
          <cell r="B10" t="str">
            <v>J151(5/5)</v>
          </cell>
          <cell r="C10" t="str">
            <v>J</v>
          </cell>
          <cell r="M10" t="str">
            <v>J</v>
          </cell>
          <cell r="O10" t="str">
            <v>A</v>
          </cell>
          <cell r="Q10" t="str">
            <v>S5</v>
          </cell>
          <cell r="R10">
            <v>2</v>
          </cell>
          <cell r="V10" t="str">
            <v>*</v>
          </cell>
          <cell r="W10" t="str">
            <v xml:space="preserve">AVSS </v>
          </cell>
          <cell r="X10" t="str">
            <v>2.0F</v>
          </cell>
          <cell r="Y10" t="str">
            <v>W</v>
          </cell>
          <cell r="Z10" t="str">
            <v>/</v>
          </cell>
          <cell r="AA10" t="str">
            <v>B</v>
          </cell>
          <cell r="AB10">
            <v>205</v>
          </cell>
          <cell r="AD10" t="str">
            <v>J</v>
          </cell>
          <cell r="AE10">
            <v>9</v>
          </cell>
          <cell r="AF10" t="str">
            <v>-</v>
          </cell>
          <cell r="AG10" t="str">
            <v>－ －</v>
          </cell>
          <cell r="AH10" t="str">
            <v>－ －</v>
          </cell>
          <cell r="AI10" t="str">
            <v>-</v>
          </cell>
          <cell r="AJ10" t="str">
            <v>－ －</v>
          </cell>
          <cell r="AK10" t="str">
            <v>－ －</v>
          </cell>
          <cell r="AL10" t="str">
            <v>－ －</v>
          </cell>
          <cell r="AM10">
            <v>0</v>
          </cell>
          <cell r="AO10" t="str">
            <v>PS-200-2</v>
          </cell>
          <cell r="AP10" t="str">
            <v xml:space="preserve"> </v>
          </cell>
          <cell r="AR10" t="str">
            <v xml:space="preserve">FDSF20 </v>
          </cell>
          <cell r="AS10">
            <v>5</v>
          </cell>
          <cell r="AT10">
            <v>1.65</v>
          </cell>
          <cell r="AU10">
            <v>1.5999999999999999</v>
          </cell>
          <cell r="AV10">
            <v>1.7</v>
          </cell>
          <cell r="AW10">
            <v>2.75</v>
          </cell>
          <cell r="AX10">
            <v>2.65</v>
          </cell>
          <cell r="AY10">
            <v>2.85</v>
          </cell>
          <cell r="AZ10" t="str">
            <v>246Ｎ以上</v>
          </cell>
          <cell r="BA10">
            <v>0</v>
          </cell>
          <cell r="BC10" t="str">
            <v xml:space="preserve">RLE/DS12-18F </v>
          </cell>
          <cell r="BD10" t="str">
            <v xml:space="preserve">Z8L </v>
          </cell>
          <cell r="BE10" t="str">
            <v xml:space="preserve"> 205</v>
          </cell>
          <cell r="BG10" t="str">
            <v>214W</v>
          </cell>
          <cell r="BH10">
            <v>82151</v>
          </cell>
          <cell r="BL10" t="str">
            <v>493</v>
          </cell>
        </row>
        <row r="11">
          <cell r="A11">
            <v>106</v>
          </cell>
          <cell r="B11" t="str">
            <v>J151(3/5)</v>
          </cell>
          <cell r="C11" t="str">
            <v>J</v>
          </cell>
          <cell r="M11" t="str">
            <v>J</v>
          </cell>
          <cell r="O11" t="str">
            <v>A</v>
          </cell>
          <cell r="Q11" t="str">
            <v>S3</v>
          </cell>
          <cell r="R11">
            <v>2</v>
          </cell>
          <cell r="V11" t="str">
            <v>*</v>
          </cell>
          <cell r="W11" t="str">
            <v xml:space="preserve">AVSS </v>
          </cell>
          <cell r="X11">
            <v>0.3</v>
          </cell>
          <cell r="Y11" t="str">
            <v>BR</v>
          </cell>
          <cell r="Z11" t="str">
            <v>/</v>
          </cell>
          <cell r="AA11" t="str">
            <v>Y</v>
          </cell>
          <cell r="AB11">
            <v>645</v>
          </cell>
          <cell r="AD11" t="str">
            <v>J</v>
          </cell>
          <cell r="AE11">
            <v>9</v>
          </cell>
          <cell r="AF11" t="str">
            <v>-</v>
          </cell>
          <cell r="AG11" t="str">
            <v>－ －</v>
          </cell>
          <cell r="AH11" t="str">
            <v>－ －</v>
          </cell>
          <cell r="AI11" t="str">
            <v>-</v>
          </cell>
          <cell r="AJ11" t="str">
            <v>－ －</v>
          </cell>
          <cell r="AK11" t="str">
            <v>－ －</v>
          </cell>
          <cell r="AL11" t="str">
            <v>－ －</v>
          </cell>
          <cell r="AM11">
            <v>0</v>
          </cell>
          <cell r="AO11" t="str">
            <v>PS-800-2</v>
          </cell>
          <cell r="AP11" t="str">
            <v xml:space="preserve"> </v>
          </cell>
          <cell r="AR11" t="str">
            <v xml:space="preserve">ALEF36-1 </v>
          </cell>
          <cell r="AS11">
            <v>4</v>
          </cell>
          <cell r="AT11">
            <v>0.95</v>
          </cell>
          <cell r="AU11">
            <v>0.89999999999999991</v>
          </cell>
          <cell r="AV11">
            <v>1</v>
          </cell>
          <cell r="AW11">
            <v>2.25</v>
          </cell>
          <cell r="AX11">
            <v>2.15</v>
          </cell>
          <cell r="AY11">
            <v>2.35</v>
          </cell>
          <cell r="AZ11" t="str">
            <v>７９Ｎ以上</v>
          </cell>
          <cell r="BA11">
            <v>0</v>
          </cell>
          <cell r="BC11" t="str">
            <v xml:space="preserve">YLE/DS4-10F </v>
          </cell>
          <cell r="BD11" t="str">
            <v xml:space="preserve">D0D </v>
          </cell>
          <cell r="BE11" t="str">
            <v xml:space="preserve"> 645</v>
          </cell>
          <cell r="BG11" t="str">
            <v>214W</v>
          </cell>
          <cell r="BH11">
            <v>82151</v>
          </cell>
          <cell r="BI11" t="str">
            <v>433</v>
          </cell>
          <cell r="BK11" t="str">
            <v>433</v>
          </cell>
        </row>
        <row r="12">
          <cell r="A12" t="str">
            <v>106A</v>
          </cell>
          <cell r="B12" t="str">
            <v>J151(4/5)</v>
          </cell>
          <cell r="C12" t="str">
            <v>J</v>
          </cell>
          <cell r="M12" t="str">
            <v>J</v>
          </cell>
          <cell r="O12" t="str">
            <v>A</v>
          </cell>
          <cell r="Q12" t="str">
            <v>S4</v>
          </cell>
          <cell r="R12">
            <v>2</v>
          </cell>
          <cell r="V12" t="str">
            <v>*</v>
          </cell>
          <cell r="W12" t="str">
            <v xml:space="preserve">AVSS </v>
          </cell>
          <cell r="X12">
            <v>0.3</v>
          </cell>
          <cell r="Y12" t="str">
            <v>BR</v>
          </cell>
          <cell r="Z12" t="str">
            <v>/</v>
          </cell>
          <cell r="AA12" t="str">
            <v>Y</v>
          </cell>
          <cell r="AB12">
            <v>645</v>
          </cell>
          <cell r="AD12" t="str">
            <v>J</v>
          </cell>
          <cell r="AE12">
            <v>9</v>
          </cell>
          <cell r="AF12" t="str">
            <v>-</v>
          </cell>
          <cell r="AG12" t="str">
            <v>－ －</v>
          </cell>
          <cell r="AH12" t="str">
            <v>－ －</v>
          </cell>
          <cell r="AI12" t="str">
            <v>-</v>
          </cell>
          <cell r="AJ12" t="str">
            <v>－ －</v>
          </cell>
          <cell r="AK12" t="str">
            <v>－ －</v>
          </cell>
          <cell r="AL12" t="str">
            <v>－ －</v>
          </cell>
          <cell r="AM12">
            <v>0</v>
          </cell>
          <cell r="AO12" t="str">
            <v>PS-800-2</v>
          </cell>
          <cell r="AP12" t="str">
            <v xml:space="preserve"> </v>
          </cell>
          <cell r="AR12" t="str">
            <v xml:space="preserve">ALEF36-1 </v>
          </cell>
          <cell r="AS12">
            <v>4</v>
          </cell>
          <cell r="AT12">
            <v>0.95</v>
          </cell>
          <cell r="AU12">
            <v>0.89999999999999991</v>
          </cell>
          <cell r="AV12">
            <v>1</v>
          </cell>
          <cell r="AW12">
            <v>2.25</v>
          </cell>
          <cell r="AX12">
            <v>2.15</v>
          </cell>
          <cell r="AY12">
            <v>2.35</v>
          </cell>
          <cell r="AZ12" t="str">
            <v>７９Ｎ以上</v>
          </cell>
          <cell r="BA12">
            <v>0</v>
          </cell>
          <cell r="BC12" t="str">
            <v xml:space="preserve">YLE/DS4-10F </v>
          </cell>
          <cell r="BD12" t="str">
            <v xml:space="preserve">D0D </v>
          </cell>
          <cell r="BE12" t="str">
            <v xml:space="preserve"> 645</v>
          </cell>
          <cell r="BG12" t="str">
            <v>214W</v>
          </cell>
          <cell r="BH12">
            <v>82151</v>
          </cell>
          <cell r="BL12" t="str">
            <v>479</v>
          </cell>
        </row>
        <row r="13">
          <cell r="A13">
            <v>107</v>
          </cell>
          <cell r="B13" t="str">
            <v>J151(1/5)</v>
          </cell>
          <cell r="C13" t="str">
            <v>J</v>
          </cell>
          <cell r="M13" t="str">
            <v>J</v>
          </cell>
          <cell r="O13" t="str">
            <v>A</v>
          </cell>
          <cell r="Q13" t="str">
            <v>S1</v>
          </cell>
          <cell r="R13">
            <v>2</v>
          </cell>
          <cell r="V13" t="str">
            <v>*</v>
          </cell>
          <cell r="W13" t="str">
            <v xml:space="preserve">AVSS </v>
          </cell>
          <cell r="X13">
            <v>0.3</v>
          </cell>
          <cell r="Y13" t="str">
            <v>G</v>
          </cell>
          <cell r="Z13" t="str">
            <v>/</v>
          </cell>
          <cell r="AA13" t="str">
            <v>B</v>
          </cell>
          <cell r="AB13">
            <v>675</v>
          </cell>
          <cell r="AD13" t="str">
            <v>J</v>
          </cell>
          <cell r="AE13">
            <v>9</v>
          </cell>
          <cell r="AF13" t="str">
            <v>-</v>
          </cell>
          <cell r="AG13" t="str">
            <v>－ －</v>
          </cell>
          <cell r="AH13" t="str">
            <v>－ －</v>
          </cell>
          <cell r="AI13" t="str">
            <v>-</v>
          </cell>
          <cell r="AJ13" t="str">
            <v>－ －</v>
          </cell>
          <cell r="AK13" t="str">
            <v>－ －</v>
          </cell>
          <cell r="AL13" t="str">
            <v>－ －</v>
          </cell>
          <cell r="AM13">
            <v>0</v>
          </cell>
          <cell r="AO13" t="str">
            <v>PS-800-2</v>
          </cell>
          <cell r="AP13" t="str">
            <v xml:space="preserve"> </v>
          </cell>
          <cell r="AR13" t="str">
            <v xml:space="preserve">ALEF36-1 </v>
          </cell>
          <cell r="AS13">
            <v>4</v>
          </cell>
          <cell r="AT13">
            <v>0.95</v>
          </cell>
          <cell r="AU13">
            <v>0.89999999999999991</v>
          </cell>
          <cell r="AV13">
            <v>1</v>
          </cell>
          <cell r="AW13">
            <v>2.25</v>
          </cell>
          <cell r="AX13">
            <v>2.15</v>
          </cell>
          <cell r="AY13">
            <v>2.35</v>
          </cell>
          <cell r="AZ13" t="str">
            <v>７９Ｎ以上</v>
          </cell>
          <cell r="BA13">
            <v>0</v>
          </cell>
          <cell r="BC13" t="str">
            <v xml:space="preserve">YLE/DS4-10F </v>
          </cell>
          <cell r="BD13" t="str">
            <v xml:space="preserve">D0E </v>
          </cell>
          <cell r="BE13" t="str">
            <v xml:space="preserve"> 675</v>
          </cell>
          <cell r="BG13" t="str">
            <v>214W</v>
          </cell>
          <cell r="BH13">
            <v>82151</v>
          </cell>
          <cell r="BI13" t="str">
            <v>413</v>
          </cell>
          <cell r="BK13" t="str">
            <v>413</v>
          </cell>
        </row>
        <row r="14">
          <cell r="A14" t="str">
            <v>107A</v>
          </cell>
          <cell r="B14" t="str">
            <v>J151(2/5)</v>
          </cell>
          <cell r="C14" t="str">
            <v>J</v>
          </cell>
          <cell r="M14" t="str">
            <v>J</v>
          </cell>
          <cell r="O14" t="str">
            <v>A</v>
          </cell>
          <cell r="Q14" t="str">
            <v>S2</v>
          </cell>
          <cell r="R14">
            <v>2</v>
          </cell>
          <cell r="V14" t="str">
            <v>*</v>
          </cell>
          <cell r="W14" t="str">
            <v xml:space="preserve">AVSS </v>
          </cell>
          <cell r="X14">
            <v>0.3</v>
          </cell>
          <cell r="Y14" t="str">
            <v>G</v>
          </cell>
          <cell r="Z14" t="str">
            <v>/</v>
          </cell>
          <cell r="AA14" t="str">
            <v>B</v>
          </cell>
          <cell r="AB14">
            <v>675</v>
          </cell>
          <cell r="AD14" t="str">
            <v>J</v>
          </cell>
          <cell r="AE14">
            <v>9</v>
          </cell>
          <cell r="AF14" t="str">
            <v>-</v>
          </cell>
          <cell r="AG14" t="str">
            <v>－ －</v>
          </cell>
          <cell r="AH14" t="str">
            <v>－ －</v>
          </cell>
          <cell r="AI14" t="str">
            <v>-</v>
          </cell>
          <cell r="AJ14" t="str">
            <v>－ －</v>
          </cell>
          <cell r="AK14" t="str">
            <v>－ －</v>
          </cell>
          <cell r="AL14" t="str">
            <v>－ －</v>
          </cell>
          <cell r="AM14">
            <v>0</v>
          </cell>
          <cell r="AO14" t="str">
            <v>PS-800-2</v>
          </cell>
          <cell r="AP14" t="str">
            <v xml:space="preserve"> </v>
          </cell>
          <cell r="AR14" t="str">
            <v xml:space="preserve">ALEF36-1 </v>
          </cell>
          <cell r="AS14">
            <v>4</v>
          </cell>
          <cell r="AT14">
            <v>0.95</v>
          </cell>
          <cell r="AU14">
            <v>0.89999999999999991</v>
          </cell>
          <cell r="AV14">
            <v>1</v>
          </cell>
          <cell r="AW14">
            <v>2.25</v>
          </cell>
          <cell r="AX14">
            <v>2.15</v>
          </cell>
          <cell r="AY14">
            <v>2.35</v>
          </cell>
          <cell r="AZ14" t="str">
            <v>７９Ｎ以上</v>
          </cell>
          <cell r="BA14">
            <v>0</v>
          </cell>
          <cell r="BC14" t="str">
            <v xml:space="preserve">YLE/DS4-10F </v>
          </cell>
          <cell r="BD14" t="str">
            <v xml:space="preserve">D0E </v>
          </cell>
          <cell r="BE14" t="str">
            <v xml:space="preserve"> 675</v>
          </cell>
          <cell r="BG14" t="str">
            <v>214W</v>
          </cell>
          <cell r="BH14">
            <v>82151</v>
          </cell>
          <cell r="BL14" t="str">
            <v>401</v>
          </cell>
        </row>
        <row r="15">
          <cell r="A15">
            <v>108</v>
          </cell>
          <cell r="C15" t="str">
            <v>1A</v>
          </cell>
          <cell r="E15">
            <v>1</v>
          </cell>
          <cell r="G15">
            <v>4</v>
          </cell>
          <cell r="R15">
            <v>2</v>
          </cell>
          <cell r="T15" t="str">
            <v>*</v>
          </cell>
          <cell r="W15" t="str">
            <v xml:space="preserve">AVSS </v>
          </cell>
          <cell r="X15">
            <v>0.3</v>
          </cell>
          <cell r="Y15" t="str">
            <v>L</v>
          </cell>
          <cell r="Z15" t="str">
            <v>/</v>
          </cell>
          <cell r="AA15" t="str">
            <v>R</v>
          </cell>
          <cell r="AB15">
            <v>1675</v>
          </cell>
          <cell r="AD15" t="str">
            <v xml:space="preserve">ALEF36-1 </v>
          </cell>
          <cell r="AE15">
            <v>4</v>
          </cell>
          <cell r="AF15">
            <v>0.95</v>
          </cell>
          <cell r="AG15">
            <v>0.89999999999999991</v>
          </cell>
          <cell r="AH15">
            <v>1</v>
          </cell>
          <cell r="AI15">
            <v>2.25</v>
          </cell>
          <cell r="AJ15">
            <v>2.15</v>
          </cell>
          <cell r="AK15">
            <v>2.35</v>
          </cell>
          <cell r="AL15" t="str">
            <v>７９Ｎ以上</v>
          </cell>
          <cell r="AM15">
            <v>0</v>
          </cell>
          <cell r="AO15" t="str">
            <v xml:space="preserve">YLE-TP-14F </v>
          </cell>
          <cell r="AP15" t="str">
            <v xml:space="preserve">Q2N </v>
          </cell>
          <cell r="AR15" t="str">
            <v xml:space="preserve">ALEF36-1 </v>
          </cell>
          <cell r="AS15">
            <v>4</v>
          </cell>
          <cell r="AT15">
            <v>0.95</v>
          </cell>
          <cell r="AU15">
            <v>0.89999999999999991</v>
          </cell>
          <cell r="AV15">
            <v>1</v>
          </cell>
          <cell r="AW15">
            <v>2.25</v>
          </cell>
          <cell r="AX15">
            <v>2.15</v>
          </cell>
          <cell r="AY15">
            <v>2.35</v>
          </cell>
          <cell r="AZ15" t="str">
            <v>７９Ｎ以上</v>
          </cell>
          <cell r="BA15">
            <v>0</v>
          </cell>
          <cell r="BC15" t="str">
            <v xml:space="preserve">YLE/DS4-10F </v>
          </cell>
          <cell r="BD15" t="str">
            <v xml:space="preserve">Q41 </v>
          </cell>
          <cell r="BE15" t="str">
            <v>1680</v>
          </cell>
          <cell r="BF15">
            <v>-5</v>
          </cell>
          <cell r="BG15" t="str">
            <v>214W</v>
          </cell>
          <cell r="BH15">
            <v>82151</v>
          </cell>
          <cell r="BI15" t="str">
            <v>405</v>
          </cell>
          <cell r="BK15" t="str">
            <v>405</v>
          </cell>
          <cell r="BL15" t="str">
            <v>405</v>
          </cell>
        </row>
        <row r="16">
          <cell r="A16">
            <v>109</v>
          </cell>
          <cell r="B16" t="str">
            <v>J151(4/5)</v>
          </cell>
          <cell r="C16" t="str">
            <v>1A</v>
          </cell>
          <cell r="E16">
            <v>1</v>
          </cell>
          <cell r="G16">
            <v>5</v>
          </cell>
          <cell r="M16" t="str">
            <v>J</v>
          </cell>
          <cell r="O16" t="str">
            <v>A</v>
          </cell>
          <cell r="Q16">
            <v>18</v>
          </cell>
          <cell r="R16">
            <v>2</v>
          </cell>
          <cell r="V16" t="str">
            <v>*</v>
          </cell>
          <cell r="W16" t="str">
            <v xml:space="preserve">AVSS </v>
          </cell>
          <cell r="X16">
            <v>0.5</v>
          </cell>
          <cell r="Y16" t="str">
            <v>BR</v>
          </cell>
          <cell r="Z16" t="str">
            <v>/</v>
          </cell>
          <cell r="AA16" t="str">
            <v>Y</v>
          </cell>
          <cell r="AB16">
            <v>1345</v>
          </cell>
          <cell r="AD16" t="str">
            <v xml:space="preserve">ALEF36-1 </v>
          </cell>
          <cell r="AE16">
            <v>4</v>
          </cell>
          <cell r="AF16">
            <v>1</v>
          </cell>
          <cell r="AG16">
            <v>0.95</v>
          </cell>
          <cell r="AH16">
            <v>1.05</v>
          </cell>
          <cell r="AI16">
            <v>2.35</v>
          </cell>
          <cell r="AJ16">
            <v>2.25</v>
          </cell>
          <cell r="AK16">
            <v>2.4500000000000002</v>
          </cell>
          <cell r="AL16" t="str">
            <v>８９Ｎ以上</v>
          </cell>
          <cell r="AM16">
            <v>0</v>
          </cell>
          <cell r="AO16" t="str">
            <v xml:space="preserve">RLE/DS12-18F </v>
          </cell>
          <cell r="AP16" t="str">
            <v xml:space="preserve">Q09 </v>
          </cell>
          <cell r="AR16" t="str">
            <v xml:space="preserve">ALEF36-1 </v>
          </cell>
          <cell r="AS16">
            <v>4</v>
          </cell>
          <cell r="AT16">
            <v>1</v>
          </cell>
          <cell r="AU16">
            <v>0.95</v>
          </cell>
          <cell r="AV16">
            <v>1.05</v>
          </cell>
          <cell r="AW16">
            <v>2.35</v>
          </cell>
          <cell r="AX16">
            <v>2.25</v>
          </cell>
          <cell r="AY16">
            <v>2.4500000000000002</v>
          </cell>
          <cell r="AZ16" t="str">
            <v>８９Ｎ以上</v>
          </cell>
          <cell r="BA16">
            <v>0</v>
          </cell>
          <cell r="BC16" t="str">
            <v xml:space="preserve">YLE-TP-14F </v>
          </cell>
          <cell r="BD16" t="str">
            <v xml:space="preserve">Q2J </v>
          </cell>
          <cell r="BE16" t="str">
            <v>1350</v>
          </cell>
          <cell r="BF16">
            <v>-5</v>
          </cell>
          <cell r="BG16" t="str">
            <v>214W</v>
          </cell>
          <cell r="BH16">
            <v>82151</v>
          </cell>
          <cell r="BL16" t="str">
            <v>491</v>
          </cell>
        </row>
        <row r="17">
          <cell r="A17">
            <v>110</v>
          </cell>
          <cell r="B17" t="str">
            <v>J151(1/5)</v>
          </cell>
          <cell r="C17" t="str">
            <v>1A</v>
          </cell>
          <cell r="E17">
            <v>1</v>
          </cell>
          <cell r="G17">
            <v>2</v>
          </cell>
          <cell r="M17" t="str">
            <v>J</v>
          </cell>
          <cell r="O17" t="str">
            <v>A</v>
          </cell>
          <cell r="Q17">
            <v>12</v>
          </cell>
          <cell r="R17">
            <v>2</v>
          </cell>
          <cell r="V17" t="str">
            <v>*</v>
          </cell>
          <cell r="W17" t="str">
            <v xml:space="preserve">AVSS </v>
          </cell>
          <cell r="X17">
            <v>0.5</v>
          </cell>
          <cell r="Y17" t="str">
            <v>G</v>
          </cell>
          <cell r="Z17" t="str">
            <v>/</v>
          </cell>
          <cell r="AA17" t="str">
            <v>B</v>
          </cell>
          <cell r="AB17">
            <v>1345</v>
          </cell>
          <cell r="AD17" t="str">
            <v xml:space="preserve">ALEF36-1 </v>
          </cell>
          <cell r="AE17">
            <v>4</v>
          </cell>
          <cell r="AF17">
            <v>1</v>
          </cell>
          <cell r="AG17">
            <v>0.95</v>
          </cell>
          <cell r="AH17">
            <v>1.05</v>
          </cell>
          <cell r="AI17">
            <v>2.35</v>
          </cell>
          <cell r="AJ17">
            <v>2.25</v>
          </cell>
          <cell r="AK17">
            <v>2.4500000000000002</v>
          </cell>
          <cell r="AL17" t="str">
            <v>８９Ｎ以上</v>
          </cell>
          <cell r="AM17">
            <v>0</v>
          </cell>
          <cell r="AO17" t="str">
            <v xml:space="preserve">RLE/DS12-18F </v>
          </cell>
          <cell r="AP17" t="str">
            <v xml:space="preserve">Q10 </v>
          </cell>
          <cell r="AR17" t="str">
            <v xml:space="preserve">ALEF36-1 </v>
          </cell>
          <cell r="AS17">
            <v>4</v>
          </cell>
          <cell r="AT17">
            <v>1</v>
          </cell>
          <cell r="AU17">
            <v>0.95</v>
          </cell>
          <cell r="AV17">
            <v>1.05</v>
          </cell>
          <cell r="AW17">
            <v>2.35</v>
          </cell>
          <cell r="AX17">
            <v>2.25</v>
          </cell>
          <cell r="AY17">
            <v>2.4500000000000002</v>
          </cell>
          <cell r="AZ17" t="str">
            <v>８９Ｎ以上</v>
          </cell>
          <cell r="BA17">
            <v>0</v>
          </cell>
          <cell r="BC17" t="str">
            <v xml:space="preserve">YLE-TP-14F </v>
          </cell>
          <cell r="BD17" t="str">
            <v xml:space="preserve">Q2K </v>
          </cell>
          <cell r="BE17" t="str">
            <v>1350</v>
          </cell>
          <cell r="BF17">
            <v>-5</v>
          </cell>
          <cell r="BG17" t="str">
            <v>214W</v>
          </cell>
          <cell r="BH17">
            <v>82151</v>
          </cell>
          <cell r="BL17" t="str">
            <v>404</v>
          </cell>
        </row>
        <row r="18">
          <cell r="A18">
            <v>111</v>
          </cell>
          <cell r="C18" t="str">
            <v>1A</v>
          </cell>
          <cell r="E18">
            <v>1</v>
          </cell>
          <cell r="G18">
            <v>1</v>
          </cell>
          <cell r="R18">
            <v>2</v>
          </cell>
          <cell r="T18" t="str">
            <v>*</v>
          </cell>
          <cell r="W18" t="str">
            <v xml:space="preserve">AVSS </v>
          </cell>
          <cell r="X18">
            <v>0.5</v>
          </cell>
          <cell r="Y18" t="str">
            <v>W</v>
          </cell>
          <cell r="Z18" t="str">
            <v>/</v>
          </cell>
          <cell r="AA18" t="str">
            <v>R</v>
          </cell>
          <cell r="AB18">
            <v>1675</v>
          </cell>
          <cell r="AD18" t="str">
            <v xml:space="preserve">ALEF36-1 </v>
          </cell>
          <cell r="AE18">
            <v>4</v>
          </cell>
          <cell r="AF18">
            <v>1</v>
          </cell>
          <cell r="AG18">
            <v>0.95</v>
          </cell>
          <cell r="AH18">
            <v>1.05</v>
          </cell>
          <cell r="AI18">
            <v>2.35</v>
          </cell>
          <cell r="AJ18">
            <v>2.25</v>
          </cell>
          <cell r="AK18">
            <v>2.4500000000000002</v>
          </cell>
          <cell r="AL18" t="str">
            <v>８９Ｎ以上</v>
          </cell>
          <cell r="AM18">
            <v>0</v>
          </cell>
          <cell r="AO18" t="str">
            <v xml:space="preserve">YLE-TP-14F </v>
          </cell>
          <cell r="AP18" t="str">
            <v xml:space="preserve">#F2 </v>
          </cell>
          <cell r="AR18" t="str">
            <v xml:space="preserve">ALEF36-1 </v>
          </cell>
          <cell r="AS18">
            <v>4</v>
          </cell>
          <cell r="AT18">
            <v>1</v>
          </cell>
          <cell r="AU18">
            <v>0.95</v>
          </cell>
          <cell r="AV18">
            <v>1.05</v>
          </cell>
          <cell r="AW18">
            <v>2.35</v>
          </cell>
          <cell r="AX18">
            <v>2.25</v>
          </cell>
          <cell r="AY18">
            <v>2.4500000000000002</v>
          </cell>
          <cell r="AZ18" t="str">
            <v>８９Ｎ以上</v>
          </cell>
          <cell r="BA18">
            <v>0</v>
          </cell>
          <cell r="BC18" t="str">
            <v xml:space="preserve">YLE/DS4-10F </v>
          </cell>
          <cell r="BD18" t="str">
            <v xml:space="preserve">Z60 </v>
          </cell>
          <cell r="BE18" t="str">
            <v>1680</v>
          </cell>
          <cell r="BF18">
            <v>-5</v>
          </cell>
          <cell r="BG18" t="str">
            <v>214W</v>
          </cell>
          <cell r="BH18">
            <v>82151</v>
          </cell>
          <cell r="BI18" t="str">
            <v>411</v>
          </cell>
          <cell r="BK18" t="str">
            <v>411</v>
          </cell>
          <cell r="BL18" t="str">
            <v>411</v>
          </cell>
        </row>
        <row r="19">
          <cell r="A19">
            <v>112</v>
          </cell>
          <cell r="C19" t="str">
            <v>1A</v>
          </cell>
          <cell r="E19">
            <v>1</v>
          </cell>
          <cell r="G19">
            <v>7</v>
          </cell>
          <cell r="R19">
            <v>2</v>
          </cell>
          <cell r="T19" t="str">
            <v>*</v>
          </cell>
          <cell r="W19" t="str">
            <v xml:space="preserve">AVSS </v>
          </cell>
          <cell r="X19">
            <v>0.5</v>
          </cell>
          <cell r="Y19" t="str">
            <v>G</v>
          </cell>
          <cell r="Z19" t="str">
            <v>/</v>
          </cell>
          <cell r="AA19" t="str">
            <v>W</v>
          </cell>
          <cell r="AB19">
            <v>1105</v>
          </cell>
          <cell r="AD19" t="str">
            <v xml:space="preserve">ALEF36-1 </v>
          </cell>
          <cell r="AE19">
            <v>4</v>
          </cell>
          <cell r="AF19">
            <v>1</v>
          </cell>
          <cell r="AG19">
            <v>0.95</v>
          </cell>
          <cell r="AH19">
            <v>1.05</v>
          </cell>
          <cell r="AI19">
            <v>2.35</v>
          </cell>
          <cell r="AJ19">
            <v>2.25</v>
          </cell>
          <cell r="AK19">
            <v>2.4500000000000002</v>
          </cell>
          <cell r="AL19" t="str">
            <v>８９Ｎ以上</v>
          </cell>
          <cell r="AM19">
            <v>0</v>
          </cell>
          <cell r="AN19" t="str">
            <v>*</v>
          </cell>
          <cell r="AO19" t="str">
            <v xml:space="preserve">YLE-TP-14F </v>
          </cell>
          <cell r="AP19" t="str">
            <v xml:space="preserve">#9B </v>
          </cell>
          <cell r="AR19" t="str">
            <v xml:space="preserve">ALEM37-1 </v>
          </cell>
          <cell r="AS19">
            <v>4.5</v>
          </cell>
          <cell r="AT19">
            <v>1.25</v>
          </cell>
          <cell r="AU19">
            <v>1.2</v>
          </cell>
          <cell r="AV19">
            <v>1.3</v>
          </cell>
          <cell r="AW19">
            <v>2.6</v>
          </cell>
          <cell r="AX19">
            <v>2.5</v>
          </cell>
          <cell r="AY19">
            <v>2.7</v>
          </cell>
          <cell r="AZ19" t="str">
            <v>８９Ｎ以上</v>
          </cell>
          <cell r="BA19">
            <v>0</v>
          </cell>
          <cell r="BC19" t="str">
            <v xml:space="preserve">RLE-TP-5MCP </v>
          </cell>
          <cell r="BD19" t="str">
            <v xml:space="preserve">R57 </v>
          </cell>
          <cell r="BE19" t="str">
            <v>1115</v>
          </cell>
          <cell r="BF19">
            <v>-10</v>
          </cell>
          <cell r="BG19" t="str">
            <v>214W</v>
          </cell>
          <cell r="BH19">
            <v>82151</v>
          </cell>
          <cell r="BI19" t="str">
            <v>406</v>
          </cell>
          <cell r="BJ19" t="str">
            <v>453</v>
          </cell>
          <cell r="BK19" t="str">
            <v>406</v>
          </cell>
          <cell r="BL19" t="str">
            <v>406</v>
          </cell>
        </row>
        <row r="20">
          <cell r="A20">
            <v>113</v>
          </cell>
          <cell r="C20" t="str">
            <v>1A</v>
          </cell>
          <cell r="E20">
            <v>1</v>
          </cell>
          <cell r="G20">
            <v>11</v>
          </cell>
          <cell r="R20">
            <v>2</v>
          </cell>
          <cell r="T20" t="str">
            <v>*</v>
          </cell>
          <cell r="W20" t="str">
            <v xml:space="preserve">AVSS </v>
          </cell>
          <cell r="X20">
            <v>0.5</v>
          </cell>
          <cell r="Y20" t="str">
            <v>G</v>
          </cell>
          <cell r="Z20" t="str">
            <v>/</v>
          </cell>
          <cell r="AA20" t="str">
            <v>Y</v>
          </cell>
          <cell r="AB20">
            <v>1105</v>
          </cell>
          <cell r="AD20" t="str">
            <v xml:space="preserve">ALEF36-1 </v>
          </cell>
          <cell r="AE20">
            <v>4</v>
          </cell>
          <cell r="AF20">
            <v>1</v>
          </cell>
          <cell r="AG20">
            <v>0.95</v>
          </cell>
          <cell r="AH20">
            <v>1.05</v>
          </cell>
          <cell r="AI20">
            <v>2.35</v>
          </cell>
          <cell r="AJ20">
            <v>2.25</v>
          </cell>
          <cell r="AK20">
            <v>2.4500000000000002</v>
          </cell>
          <cell r="AL20" t="str">
            <v>８９Ｎ以上</v>
          </cell>
          <cell r="AM20">
            <v>0</v>
          </cell>
          <cell r="AN20" t="str">
            <v>*</v>
          </cell>
          <cell r="AO20" t="str">
            <v xml:space="preserve">YLE-TP-14F </v>
          </cell>
          <cell r="AP20" t="str">
            <v xml:space="preserve">&amp;DB </v>
          </cell>
          <cell r="AR20" t="str">
            <v xml:space="preserve">ALEM37-1 </v>
          </cell>
          <cell r="AS20">
            <v>4.5</v>
          </cell>
          <cell r="AT20">
            <v>1.25</v>
          </cell>
          <cell r="AU20">
            <v>1.2</v>
          </cell>
          <cell r="AV20">
            <v>1.3</v>
          </cell>
          <cell r="AW20">
            <v>2.6</v>
          </cell>
          <cell r="AX20">
            <v>2.5</v>
          </cell>
          <cell r="AY20">
            <v>2.7</v>
          </cell>
          <cell r="AZ20" t="str">
            <v>８９Ｎ以上</v>
          </cell>
          <cell r="BA20">
            <v>0</v>
          </cell>
          <cell r="BC20" t="str">
            <v xml:space="preserve">RLE-TP-5MCP </v>
          </cell>
          <cell r="BD20" t="str">
            <v xml:space="preserve">RH1 </v>
          </cell>
          <cell r="BE20" t="str">
            <v>1115</v>
          </cell>
          <cell r="BF20">
            <v>-10</v>
          </cell>
          <cell r="BG20" t="str">
            <v>214W</v>
          </cell>
          <cell r="BH20">
            <v>82151</v>
          </cell>
          <cell r="BI20" t="str">
            <v>409</v>
          </cell>
          <cell r="BJ20" t="str">
            <v>456</v>
          </cell>
          <cell r="BK20" t="str">
            <v>409</v>
          </cell>
          <cell r="BL20" t="str">
            <v>409</v>
          </cell>
        </row>
        <row r="21">
          <cell r="A21">
            <v>114</v>
          </cell>
          <cell r="C21" t="str">
            <v>1A</v>
          </cell>
          <cell r="E21">
            <v>1</v>
          </cell>
          <cell r="G21">
            <v>10</v>
          </cell>
          <cell r="R21">
            <v>2</v>
          </cell>
          <cell r="T21" t="str">
            <v>*</v>
          </cell>
          <cell r="W21" t="str">
            <v xml:space="preserve">AVSS </v>
          </cell>
          <cell r="X21">
            <v>0.5</v>
          </cell>
          <cell r="Y21" t="str">
            <v>R</v>
          </cell>
          <cell r="Z21" t="str">
            <v>/</v>
          </cell>
          <cell r="AA21" t="str">
            <v>-</v>
          </cell>
          <cell r="AB21">
            <v>1105</v>
          </cell>
          <cell r="AD21" t="str">
            <v xml:space="preserve">ALEF36-1 </v>
          </cell>
          <cell r="AE21">
            <v>4</v>
          </cell>
          <cell r="AF21">
            <v>1</v>
          </cell>
          <cell r="AG21">
            <v>0.95</v>
          </cell>
          <cell r="AH21">
            <v>1.05</v>
          </cell>
          <cell r="AI21">
            <v>2.35</v>
          </cell>
          <cell r="AJ21">
            <v>2.25</v>
          </cell>
          <cell r="AK21">
            <v>2.4500000000000002</v>
          </cell>
          <cell r="AL21" t="str">
            <v>８９Ｎ以上</v>
          </cell>
          <cell r="AM21">
            <v>0</v>
          </cell>
          <cell r="AN21" t="str">
            <v>*</v>
          </cell>
          <cell r="AO21" t="str">
            <v xml:space="preserve">YLE-TP-14F </v>
          </cell>
          <cell r="AP21" t="str">
            <v xml:space="preserve">&amp;EB </v>
          </cell>
          <cell r="AR21" t="str">
            <v xml:space="preserve">ALEM37-1 </v>
          </cell>
          <cell r="AS21">
            <v>4.5</v>
          </cell>
          <cell r="AT21">
            <v>1.25</v>
          </cell>
          <cell r="AU21">
            <v>1.2</v>
          </cell>
          <cell r="AV21">
            <v>1.3</v>
          </cell>
          <cell r="AW21">
            <v>2.6</v>
          </cell>
          <cell r="AX21">
            <v>2.5</v>
          </cell>
          <cell r="AY21">
            <v>2.7</v>
          </cell>
          <cell r="AZ21" t="str">
            <v>８９Ｎ以上</v>
          </cell>
          <cell r="BA21">
            <v>0</v>
          </cell>
          <cell r="BC21" t="str">
            <v xml:space="preserve">RLE-TP-5MCP </v>
          </cell>
          <cell r="BD21" t="str">
            <v xml:space="preserve">RH2 </v>
          </cell>
          <cell r="BE21" t="str">
            <v>1115</v>
          </cell>
          <cell r="BF21">
            <v>-10</v>
          </cell>
          <cell r="BG21" t="str">
            <v>214W</v>
          </cell>
          <cell r="BH21">
            <v>82151</v>
          </cell>
          <cell r="BI21" t="str">
            <v>410</v>
          </cell>
          <cell r="BJ21" t="str">
            <v>457</v>
          </cell>
          <cell r="BK21" t="str">
            <v>410</v>
          </cell>
          <cell r="BL21" t="str">
            <v>410</v>
          </cell>
        </row>
        <row r="22">
          <cell r="A22">
            <v>115</v>
          </cell>
          <cell r="C22" t="str">
            <v>1A</v>
          </cell>
          <cell r="E22">
            <v>1</v>
          </cell>
          <cell r="G22">
            <v>8</v>
          </cell>
          <cell r="R22">
            <v>2</v>
          </cell>
          <cell r="T22" t="str">
            <v>*</v>
          </cell>
          <cell r="W22" t="str">
            <v xml:space="preserve">AVSS </v>
          </cell>
          <cell r="X22">
            <v>0.5</v>
          </cell>
          <cell r="Y22" t="str">
            <v>LG</v>
          </cell>
          <cell r="Z22" t="str">
            <v>/</v>
          </cell>
          <cell r="AA22" t="str">
            <v>B</v>
          </cell>
          <cell r="AB22">
            <v>1105</v>
          </cell>
          <cell r="AD22" t="str">
            <v xml:space="preserve">ALEF36-1 </v>
          </cell>
          <cell r="AE22">
            <v>4</v>
          </cell>
          <cell r="AF22">
            <v>1</v>
          </cell>
          <cell r="AG22">
            <v>0.95</v>
          </cell>
          <cell r="AH22">
            <v>1.05</v>
          </cell>
          <cell r="AI22">
            <v>2.35</v>
          </cell>
          <cell r="AJ22">
            <v>2.25</v>
          </cell>
          <cell r="AK22">
            <v>2.4500000000000002</v>
          </cell>
          <cell r="AL22" t="str">
            <v>８９Ｎ以上</v>
          </cell>
          <cell r="AM22">
            <v>0</v>
          </cell>
          <cell r="AN22" t="str">
            <v>*</v>
          </cell>
          <cell r="AO22" t="str">
            <v xml:space="preserve">YLE-TP-14F </v>
          </cell>
          <cell r="AP22" t="str">
            <v xml:space="preserve">R6F </v>
          </cell>
          <cell r="AR22" t="str">
            <v xml:space="preserve">ALEM37-1 </v>
          </cell>
          <cell r="AS22">
            <v>4.5</v>
          </cell>
          <cell r="AT22">
            <v>1.25</v>
          </cell>
          <cell r="AU22">
            <v>1.2</v>
          </cell>
          <cell r="AV22">
            <v>1.3</v>
          </cell>
          <cell r="AW22">
            <v>2.6</v>
          </cell>
          <cell r="AX22">
            <v>2.5</v>
          </cell>
          <cell r="AY22">
            <v>2.7</v>
          </cell>
          <cell r="AZ22" t="str">
            <v>８９Ｎ以上</v>
          </cell>
          <cell r="BA22">
            <v>0</v>
          </cell>
          <cell r="BC22" t="str">
            <v xml:space="preserve">RLE-TP-5MCP </v>
          </cell>
          <cell r="BD22" t="str">
            <v xml:space="preserve">R58 </v>
          </cell>
          <cell r="BE22" t="str">
            <v>1115</v>
          </cell>
          <cell r="BF22">
            <v>-10</v>
          </cell>
          <cell r="BG22" t="str">
            <v>214W</v>
          </cell>
          <cell r="BH22">
            <v>82151</v>
          </cell>
          <cell r="BI22" t="str">
            <v>407</v>
          </cell>
          <cell r="BJ22" t="str">
            <v>454</v>
          </cell>
          <cell r="BK22" t="str">
            <v>407</v>
          </cell>
          <cell r="BL22" t="str">
            <v>407</v>
          </cell>
        </row>
        <row r="23">
          <cell r="A23">
            <v>116</v>
          </cell>
          <cell r="C23" t="str">
            <v>1A</v>
          </cell>
          <cell r="E23">
            <v>1</v>
          </cell>
          <cell r="G23">
            <v>9</v>
          </cell>
          <cell r="R23">
            <v>2</v>
          </cell>
          <cell r="T23" t="str">
            <v>*</v>
          </cell>
          <cell r="W23" t="str">
            <v xml:space="preserve">AVSS </v>
          </cell>
          <cell r="X23">
            <v>0.5</v>
          </cell>
          <cell r="Y23" t="str">
            <v>LG</v>
          </cell>
          <cell r="Z23" t="str">
            <v>/</v>
          </cell>
          <cell r="AA23" t="str">
            <v>R</v>
          </cell>
          <cell r="AB23">
            <v>1105</v>
          </cell>
          <cell r="AD23" t="str">
            <v xml:space="preserve">ALEF36-1 </v>
          </cell>
          <cell r="AE23">
            <v>4</v>
          </cell>
          <cell r="AF23">
            <v>1</v>
          </cell>
          <cell r="AG23">
            <v>0.95</v>
          </cell>
          <cell r="AH23">
            <v>1.05</v>
          </cell>
          <cell r="AI23">
            <v>2.35</v>
          </cell>
          <cell r="AJ23">
            <v>2.25</v>
          </cell>
          <cell r="AK23">
            <v>2.4500000000000002</v>
          </cell>
          <cell r="AL23" t="str">
            <v>８９Ｎ以上</v>
          </cell>
          <cell r="AM23">
            <v>0</v>
          </cell>
          <cell r="AN23" t="str">
            <v>*</v>
          </cell>
          <cell r="AO23" t="str">
            <v xml:space="preserve">YLE-TP-14F </v>
          </cell>
          <cell r="AP23" t="str">
            <v xml:space="preserve">R6H </v>
          </cell>
          <cell r="AR23" t="str">
            <v xml:space="preserve">ALEM37-1 </v>
          </cell>
          <cell r="AS23">
            <v>4.5</v>
          </cell>
          <cell r="AT23">
            <v>1.25</v>
          </cell>
          <cell r="AU23">
            <v>1.2</v>
          </cell>
          <cell r="AV23">
            <v>1.3</v>
          </cell>
          <cell r="AW23">
            <v>2.6</v>
          </cell>
          <cell r="AX23">
            <v>2.5</v>
          </cell>
          <cell r="AY23">
            <v>2.7</v>
          </cell>
          <cell r="AZ23" t="str">
            <v>８９Ｎ以上</v>
          </cell>
          <cell r="BA23">
            <v>0</v>
          </cell>
          <cell r="BC23" t="str">
            <v xml:space="preserve">RLE-TP-5MCP </v>
          </cell>
          <cell r="BD23" t="str">
            <v xml:space="preserve">R56 </v>
          </cell>
          <cell r="BE23" t="str">
            <v>1115</v>
          </cell>
          <cell r="BF23">
            <v>-10</v>
          </cell>
          <cell r="BG23" t="str">
            <v>214W</v>
          </cell>
          <cell r="BH23">
            <v>82151</v>
          </cell>
          <cell r="BI23" t="str">
            <v>408</v>
          </cell>
          <cell r="BJ23" t="str">
            <v>455</v>
          </cell>
          <cell r="BK23" t="str">
            <v>408</v>
          </cell>
          <cell r="BL23" t="str">
            <v>408</v>
          </cell>
        </row>
        <row r="24">
          <cell r="A24">
            <v>117</v>
          </cell>
          <cell r="B24" t="str">
            <v>J151(3/5)</v>
          </cell>
          <cell r="C24" t="str">
            <v>1A</v>
          </cell>
          <cell r="E24">
            <v>1</v>
          </cell>
          <cell r="G24">
            <v>6</v>
          </cell>
          <cell r="M24" t="str">
            <v>J</v>
          </cell>
          <cell r="O24" t="str">
            <v>A</v>
          </cell>
          <cell r="Q24">
            <v>16</v>
          </cell>
          <cell r="R24">
            <v>2</v>
          </cell>
          <cell r="V24" t="str">
            <v>*</v>
          </cell>
          <cell r="W24" t="str">
            <v xml:space="preserve">AVSS </v>
          </cell>
          <cell r="X24">
            <v>0.5</v>
          </cell>
          <cell r="Y24" t="str">
            <v>BR</v>
          </cell>
          <cell r="Z24" t="str">
            <v>/</v>
          </cell>
          <cell r="AA24" t="str">
            <v>Y</v>
          </cell>
          <cell r="AB24">
            <v>1340</v>
          </cell>
          <cell r="AD24" t="str">
            <v xml:space="preserve">ALEF36-1 </v>
          </cell>
          <cell r="AE24">
            <v>4</v>
          </cell>
          <cell r="AF24">
            <v>1</v>
          </cell>
          <cell r="AG24">
            <v>0.95</v>
          </cell>
          <cell r="AH24">
            <v>1.05</v>
          </cell>
          <cell r="AI24">
            <v>2.35</v>
          </cell>
          <cell r="AJ24">
            <v>2.25</v>
          </cell>
          <cell r="AK24">
            <v>2.4500000000000002</v>
          </cell>
          <cell r="AL24" t="str">
            <v>８９Ｎ以上</v>
          </cell>
          <cell r="AM24">
            <v>0</v>
          </cell>
          <cell r="AN24" t="str">
            <v>*</v>
          </cell>
          <cell r="AO24" t="str">
            <v xml:space="preserve">YLE-TP-14F </v>
          </cell>
          <cell r="AP24" t="str">
            <v xml:space="preserve">Q2J </v>
          </cell>
          <cell r="AR24" t="str">
            <v xml:space="preserve">FDSF03 </v>
          </cell>
          <cell r="AS24">
            <v>4.5</v>
          </cell>
          <cell r="AT24">
            <v>0.95</v>
          </cell>
          <cell r="AU24">
            <v>0.89999999999999991</v>
          </cell>
          <cell r="AV24">
            <v>1</v>
          </cell>
          <cell r="AW24">
            <v>2.15</v>
          </cell>
          <cell r="AX24">
            <v>2.0499999999999998</v>
          </cell>
          <cell r="AY24">
            <v>2.25</v>
          </cell>
          <cell r="AZ24" t="str">
            <v>８９Ｎ以上</v>
          </cell>
          <cell r="BA24">
            <v>0</v>
          </cell>
          <cell r="BC24" t="str">
            <v xml:space="preserve">RLE/DS12-18F </v>
          </cell>
          <cell r="BD24" t="str">
            <v xml:space="preserve">Q09 </v>
          </cell>
          <cell r="BE24" t="str">
            <v>1345</v>
          </cell>
          <cell r="BF24">
            <v>-5</v>
          </cell>
          <cell r="BG24" t="str">
            <v>214W</v>
          </cell>
          <cell r="BH24">
            <v>82151</v>
          </cell>
          <cell r="BI24" t="str">
            <v>440</v>
          </cell>
          <cell r="BK24" t="str">
            <v>440</v>
          </cell>
        </row>
        <row r="25">
          <cell r="A25">
            <v>118</v>
          </cell>
          <cell r="B25" t="str">
            <v>J151(2/5)</v>
          </cell>
          <cell r="C25" t="str">
            <v>1A</v>
          </cell>
          <cell r="E25">
            <v>1</v>
          </cell>
          <cell r="G25">
            <v>3</v>
          </cell>
          <cell r="M25" t="str">
            <v>J</v>
          </cell>
          <cell r="O25" t="str">
            <v>A</v>
          </cell>
          <cell r="Q25">
            <v>14</v>
          </cell>
          <cell r="R25">
            <v>2</v>
          </cell>
          <cell r="V25" t="str">
            <v>*</v>
          </cell>
          <cell r="W25" t="str">
            <v xml:space="preserve">AVSS </v>
          </cell>
          <cell r="X25">
            <v>0.5</v>
          </cell>
          <cell r="Y25" t="str">
            <v>G</v>
          </cell>
          <cell r="Z25" t="str">
            <v>/</v>
          </cell>
          <cell r="AA25" t="str">
            <v>B</v>
          </cell>
          <cell r="AB25">
            <v>1340</v>
          </cell>
          <cell r="AD25" t="str">
            <v xml:space="preserve">ALEF36-1 </v>
          </cell>
          <cell r="AE25">
            <v>4</v>
          </cell>
          <cell r="AF25">
            <v>1</v>
          </cell>
          <cell r="AG25">
            <v>0.95</v>
          </cell>
          <cell r="AH25">
            <v>1.05</v>
          </cell>
          <cell r="AI25">
            <v>2.35</v>
          </cell>
          <cell r="AJ25">
            <v>2.25</v>
          </cell>
          <cell r="AK25">
            <v>2.4500000000000002</v>
          </cell>
          <cell r="AL25" t="str">
            <v>８９Ｎ以上</v>
          </cell>
          <cell r="AM25">
            <v>0</v>
          </cell>
          <cell r="AN25" t="str">
            <v>*</v>
          </cell>
          <cell r="AO25" t="str">
            <v xml:space="preserve">YLE-TP-14F </v>
          </cell>
          <cell r="AP25" t="str">
            <v xml:space="preserve">Q2K </v>
          </cell>
          <cell r="AR25" t="str">
            <v xml:space="preserve">FDSF03 </v>
          </cell>
          <cell r="AS25">
            <v>4.5</v>
          </cell>
          <cell r="AT25">
            <v>0.95</v>
          </cell>
          <cell r="AU25">
            <v>0.89999999999999991</v>
          </cell>
          <cell r="AV25">
            <v>1</v>
          </cell>
          <cell r="AW25">
            <v>2.15</v>
          </cell>
          <cell r="AX25">
            <v>2.0499999999999998</v>
          </cell>
          <cell r="AY25">
            <v>2.25</v>
          </cell>
          <cell r="AZ25" t="str">
            <v>８９Ｎ以上</v>
          </cell>
          <cell r="BA25">
            <v>0</v>
          </cell>
          <cell r="BC25" t="str">
            <v xml:space="preserve">RLE/DS12-18F </v>
          </cell>
          <cell r="BD25" t="str">
            <v xml:space="preserve">Q10 </v>
          </cell>
          <cell r="BE25" t="str">
            <v>1345</v>
          </cell>
          <cell r="BF25">
            <v>-5</v>
          </cell>
          <cell r="BG25" t="str">
            <v>214W</v>
          </cell>
          <cell r="BH25">
            <v>82151</v>
          </cell>
          <cell r="BI25" t="str">
            <v>412</v>
          </cell>
          <cell r="BK25" t="str">
            <v>412</v>
          </cell>
        </row>
        <row r="26">
          <cell r="A26">
            <v>119</v>
          </cell>
          <cell r="C26" t="str">
            <v>1A</v>
          </cell>
          <cell r="E26">
            <v>4</v>
          </cell>
          <cell r="G26" t="str">
            <v>S4</v>
          </cell>
          <cell r="R26">
            <v>2</v>
          </cell>
          <cell r="T26" t="str">
            <v>*</v>
          </cell>
          <cell r="W26" t="str">
            <v xml:space="preserve">AVSS </v>
          </cell>
          <cell r="X26">
            <v>0.5</v>
          </cell>
          <cell r="Y26" t="str">
            <v>L</v>
          </cell>
          <cell r="Z26" t="str">
            <v>/</v>
          </cell>
          <cell r="AA26" t="str">
            <v>B</v>
          </cell>
          <cell r="AB26">
            <v>560</v>
          </cell>
          <cell r="AD26" t="str">
            <v xml:space="preserve">ALEF36-1 </v>
          </cell>
          <cell r="AE26">
            <v>4</v>
          </cell>
          <cell r="AF26">
            <v>1</v>
          </cell>
          <cell r="AG26">
            <v>0.95</v>
          </cell>
          <cell r="AH26">
            <v>1.05</v>
          </cell>
          <cell r="AI26">
            <v>2.35</v>
          </cell>
          <cell r="AJ26">
            <v>2.25</v>
          </cell>
          <cell r="AK26">
            <v>2.4500000000000002</v>
          </cell>
          <cell r="AL26" t="str">
            <v>８９Ｎ以上</v>
          </cell>
          <cell r="AM26">
            <v>0</v>
          </cell>
          <cell r="AO26" t="str">
            <v xml:space="preserve">RLE/DS12-18F </v>
          </cell>
          <cell r="AP26" t="str">
            <v xml:space="preserve">PPE </v>
          </cell>
          <cell r="AR26" t="str">
            <v xml:space="preserve">FDSF03 </v>
          </cell>
          <cell r="AS26">
            <v>4.5</v>
          </cell>
          <cell r="AT26">
            <v>0.95</v>
          </cell>
          <cell r="AU26">
            <v>0.89999999999999991</v>
          </cell>
          <cell r="AV26">
            <v>1</v>
          </cell>
          <cell r="AW26">
            <v>2.15</v>
          </cell>
          <cell r="AX26">
            <v>2.0499999999999998</v>
          </cell>
          <cell r="AY26">
            <v>2.25</v>
          </cell>
          <cell r="AZ26" t="str">
            <v>８９Ｎ以上</v>
          </cell>
          <cell r="BA26">
            <v>0</v>
          </cell>
          <cell r="BB26" t="str">
            <v>*</v>
          </cell>
          <cell r="BC26" t="str">
            <v xml:space="preserve">DSY-6F-B </v>
          </cell>
          <cell r="BD26" t="str">
            <v xml:space="preserve">PGH </v>
          </cell>
          <cell r="BE26" t="str">
            <v xml:space="preserve"> 565</v>
          </cell>
          <cell r="BF26">
            <v>-5</v>
          </cell>
          <cell r="BG26" t="str">
            <v>214W</v>
          </cell>
          <cell r="BH26">
            <v>82151</v>
          </cell>
          <cell r="BI26" t="str">
            <v>438</v>
          </cell>
          <cell r="BK26" t="str">
            <v>438</v>
          </cell>
          <cell r="BL26" t="str">
            <v>489</v>
          </cell>
        </row>
        <row r="27">
          <cell r="A27">
            <v>120</v>
          </cell>
          <cell r="C27" t="str">
            <v>1A</v>
          </cell>
          <cell r="E27">
            <v>4</v>
          </cell>
          <cell r="G27" t="str">
            <v>S1</v>
          </cell>
          <cell r="R27">
            <v>2</v>
          </cell>
          <cell r="T27" t="str">
            <v>*</v>
          </cell>
          <cell r="W27" t="str">
            <v xml:space="preserve">AVSS </v>
          </cell>
          <cell r="X27">
            <v>0.5</v>
          </cell>
          <cell r="Y27" t="str">
            <v>L</v>
          </cell>
          <cell r="Z27" t="str">
            <v>/</v>
          </cell>
          <cell r="AA27" t="str">
            <v>-</v>
          </cell>
          <cell r="AB27">
            <v>560</v>
          </cell>
          <cell r="AD27" t="str">
            <v xml:space="preserve">ALEF36-1 </v>
          </cell>
          <cell r="AE27">
            <v>4</v>
          </cell>
          <cell r="AF27">
            <v>1</v>
          </cell>
          <cell r="AG27">
            <v>0.95</v>
          </cell>
          <cell r="AH27">
            <v>1.05</v>
          </cell>
          <cell r="AI27">
            <v>2.35</v>
          </cell>
          <cell r="AJ27">
            <v>2.25</v>
          </cell>
          <cell r="AK27">
            <v>2.4500000000000002</v>
          </cell>
          <cell r="AL27" t="str">
            <v>８９Ｎ以上</v>
          </cell>
          <cell r="AM27">
            <v>0</v>
          </cell>
          <cell r="AO27" t="str">
            <v xml:space="preserve">RLE/DS12-18F </v>
          </cell>
          <cell r="AP27" t="str">
            <v xml:space="preserve">PPF </v>
          </cell>
          <cell r="AR27" t="str">
            <v xml:space="preserve">FDSF03 </v>
          </cell>
          <cell r="AS27">
            <v>4.5</v>
          </cell>
          <cell r="AT27">
            <v>0.95</v>
          </cell>
          <cell r="AU27">
            <v>0.89999999999999991</v>
          </cell>
          <cell r="AV27">
            <v>1</v>
          </cell>
          <cell r="AW27">
            <v>2.15</v>
          </cell>
          <cell r="AX27">
            <v>2.0499999999999998</v>
          </cell>
          <cell r="AY27">
            <v>2.25</v>
          </cell>
          <cell r="AZ27" t="str">
            <v>８９Ｎ以上</v>
          </cell>
          <cell r="BA27">
            <v>0</v>
          </cell>
          <cell r="BB27" t="str">
            <v>*</v>
          </cell>
          <cell r="BC27" t="str">
            <v xml:space="preserve">DSY-6F-B </v>
          </cell>
          <cell r="BD27" t="str">
            <v xml:space="preserve">PGJ </v>
          </cell>
          <cell r="BE27" t="str">
            <v xml:space="preserve"> 565</v>
          </cell>
          <cell r="BF27">
            <v>-5</v>
          </cell>
          <cell r="BG27" t="str">
            <v>214W</v>
          </cell>
          <cell r="BH27">
            <v>82151</v>
          </cell>
          <cell r="BI27" t="str">
            <v>439</v>
          </cell>
          <cell r="BK27" t="str">
            <v>439</v>
          </cell>
          <cell r="BL27" t="str">
            <v>490</v>
          </cell>
        </row>
        <row r="28">
          <cell r="A28">
            <v>121</v>
          </cell>
          <cell r="C28" t="str">
            <v>1A</v>
          </cell>
          <cell r="E28">
            <v>4</v>
          </cell>
          <cell r="G28" t="str">
            <v>S5</v>
          </cell>
          <cell r="R28">
            <v>2</v>
          </cell>
          <cell r="T28" t="str">
            <v>*</v>
          </cell>
          <cell r="W28" t="str">
            <v xml:space="preserve">AVSS </v>
          </cell>
          <cell r="X28">
            <v>0.5</v>
          </cell>
          <cell r="Y28" t="str">
            <v>W</v>
          </cell>
          <cell r="Z28" t="str">
            <v>/</v>
          </cell>
          <cell r="AA28" t="str">
            <v>B</v>
          </cell>
          <cell r="AB28">
            <v>560</v>
          </cell>
          <cell r="AD28" t="str">
            <v xml:space="preserve">ALEF36-1 </v>
          </cell>
          <cell r="AE28">
            <v>4</v>
          </cell>
          <cell r="AF28">
            <v>1</v>
          </cell>
          <cell r="AG28">
            <v>0.95</v>
          </cell>
          <cell r="AH28">
            <v>1.05</v>
          </cell>
          <cell r="AI28">
            <v>2.35</v>
          </cell>
          <cell r="AJ28">
            <v>2.25</v>
          </cell>
          <cell r="AK28">
            <v>2.4500000000000002</v>
          </cell>
          <cell r="AL28" t="str">
            <v>８９Ｎ以上</v>
          </cell>
          <cell r="AM28">
            <v>0</v>
          </cell>
          <cell r="AO28" t="str">
            <v xml:space="preserve">RLE/DS12-18F </v>
          </cell>
          <cell r="AP28" t="str">
            <v xml:space="preserve">ZJF </v>
          </cell>
          <cell r="AR28" t="str">
            <v xml:space="preserve">FDSF03 </v>
          </cell>
          <cell r="AS28">
            <v>4.5</v>
          </cell>
          <cell r="AT28">
            <v>0.95</v>
          </cell>
          <cell r="AU28">
            <v>0.89999999999999991</v>
          </cell>
          <cell r="AV28">
            <v>1</v>
          </cell>
          <cell r="AW28">
            <v>2.15</v>
          </cell>
          <cell r="AX28">
            <v>2.0499999999999998</v>
          </cell>
          <cell r="AY28">
            <v>2.25</v>
          </cell>
          <cell r="AZ28" t="str">
            <v>８９Ｎ以上</v>
          </cell>
          <cell r="BA28">
            <v>0</v>
          </cell>
          <cell r="BB28" t="str">
            <v>*</v>
          </cell>
          <cell r="BC28" t="str">
            <v xml:space="preserve">DSY-6F-B </v>
          </cell>
          <cell r="BD28" t="str">
            <v xml:space="preserve">ZFM </v>
          </cell>
          <cell r="BE28" t="str">
            <v xml:space="preserve"> 565</v>
          </cell>
          <cell r="BF28">
            <v>-5</v>
          </cell>
          <cell r="BG28" t="str">
            <v>214W</v>
          </cell>
          <cell r="BH28">
            <v>82151</v>
          </cell>
          <cell r="BI28" t="str">
            <v>442</v>
          </cell>
          <cell r="BK28" t="str">
            <v>442</v>
          </cell>
          <cell r="BL28" t="str">
            <v>494</v>
          </cell>
        </row>
        <row r="29">
          <cell r="A29">
            <v>142</v>
          </cell>
          <cell r="C29" t="str">
            <v>1A</v>
          </cell>
          <cell r="E29">
            <v>3</v>
          </cell>
          <cell r="G29">
            <v>10</v>
          </cell>
          <cell r="R29">
            <v>2</v>
          </cell>
          <cell r="T29" t="str">
            <v>*</v>
          </cell>
          <cell r="W29" t="str">
            <v xml:space="preserve">AVSS </v>
          </cell>
          <cell r="X29">
            <v>0.5</v>
          </cell>
          <cell r="Y29" t="str">
            <v>BR</v>
          </cell>
          <cell r="Z29" t="str">
            <v>/</v>
          </cell>
          <cell r="AA29" t="str">
            <v>W</v>
          </cell>
          <cell r="AB29">
            <v>1070</v>
          </cell>
          <cell r="AD29" t="str">
            <v xml:space="preserve">FDSF03 </v>
          </cell>
          <cell r="AE29">
            <v>4.5</v>
          </cell>
          <cell r="AF29">
            <v>0.95</v>
          </cell>
          <cell r="AG29">
            <v>0.89999999999999991</v>
          </cell>
          <cell r="AH29">
            <v>1</v>
          </cell>
          <cell r="AI29">
            <v>2.15</v>
          </cell>
          <cell r="AJ29">
            <v>2.0499999999999998</v>
          </cell>
          <cell r="AK29">
            <v>2.25</v>
          </cell>
          <cell r="AL29" t="str">
            <v>８９Ｎ以上</v>
          </cell>
          <cell r="AM29">
            <v>0</v>
          </cell>
          <cell r="AN29" t="str">
            <v>*</v>
          </cell>
          <cell r="AO29" t="str">
            <v xml:space="preserve">DSR-13FA </v>
          </cell>
          <cell r="AP29" t="str">
            <v xml:space="preserve">R6G </v>
          </cell>
          <cell r="AR29" t="str">
            <v xml:space="preserve">ALEM37-1 </v>
          </cell>
          <cell r="AS29">
            <v>4.5</v>
          </cell>
          <cell r="AT29">
            <v>1.25</v>
          </cell>
          <cell r="AU29">
            <v>1.2</v>
          </cell>
          <cell r="AV29">
            <v>1.3</v>
          </cell>
          <cell r="AW29">
            <v>2.6</v>
          </cell>
          <cell r="AX29">
            <v>2.5</v>
          </cell>
          <cell r="AY29">
            <v>2.7</v>
          </cell>
          <cell r="AZ29" t="str">
            <v>８９Ｎ以上</v>
          </cell>
          <cell r="BA29">
            <v>0</v>
          </cell>
          <cell r="BC29" t="str">
            <v xml:space="preserve">RLE-TP-5MCP </v>
          </cell>
          <cell r="BD29" t="str">
            <v xml:space="preserve">R53 </v>
          </cell>
          <cell r="BE29" t="str">
            <v>1075</v>
          </cell>
          <cell r="BF29">
            <v>-5</v>
          </cell>
          <cell r="BG29" t="str">
            <v>214W</v>
          </cell>
          <cell r="BH29">
            <v>82152</v>
          </cell>
          <cell r="BM29" t="str">
            <v>406</v>
          </cell>
          <cell r="BN29" t="str">
            <v>405</v>
          </cell>
          <cell r="BO29" t="str">
            <v>406</v>
          </cell>
        </row>
        <row r="30">
          <cell r="A30">
            <v>143</v>
          </cell>
          <cell r="C30" t="str">
            <v>1A</v>
          </cell>
          <cell r="E30">
            <v>3</v>
          </cell>
          <cell r="G30">
            <v>18</v>
          </cell>
          <cell r="R30">
            <v>2</v>
          </cell>
          <cell r="T30" t="str">
            <v>*</v>
          </cell>
          <cell r="W30" t="str">
            <v xml:space="preserve">AVSS </v>
          </cell>
          <cell r="X30">
            <v>0.5</v>
          </cell>
          <cell r="Y30" t="str">
            <v>BR</v>
          </cell>
          <cell r="Z30" t="str">
            <v>/</v>
          </cell>
          <cell r="AA30" t="str">
            <v>Y</v>
          </cell>
          <cell r="AB30">
            <v>1070</v>
          </cell>
          <cell r="AD30" t="str">
            <v xml:space="preserve">FDSF03 </v>
          </cell>
          <cell r="AE30">
            <v>4.5</v>
          </cell>
          <cell r="AF30">
            <v>0.95</v>
          </cell>
          <cell r="AG30">
            <v>0.89999999999999991</v>
          </cell>
          <cell r="AH30">
            <v>1</v>
          </cell>
          <cell r="AI30">
            <v>2.15</v>
          </cell>
          <cell r="AJ30">
            <v>2.0499999999999998</v>
          </cell>
          <cell r="AK30">
            <v>2.25</v>
          </cell>
          <cell r="AL30" t="str">
            <v>８９Ｎ以上</v>
          </cell>
          <cell r="AM30">
            <v>0</v>
          </cell>
          <cell r="AN30" t="str">
            <v>*</v>
          </cell>
          <cell r="AO30" t="str">
            <v xml:space="preserve">DSR-13FA </v>
          </cell>
          <cell r="AP30" t="str">
            <v xml:space="preserve">R6E </v>
          </cell>
          <cell r="AR30" t="str">
            <v xml:space="preserve">ALEM37-1 </v>
          </cell>
          <cell r="AS30">
            <v>4.5</v>
          </cell>
          <cell r="AT30">
            <v>1.25</v>
          </cell>
          <cell r="AU30">
            <v>1.2</v>
          </cell>
          <cell r="AV30">
            <v>1.3</v>
          </cell>
          <cell r="AW30">
            <v>2.6</v>
          </cell>
          <cell r="AX30">
            <v>2.5</v>
          </cell>
          <cell r="AY30">
            <v>2.7</v>
          </cell>
          <cell r="AZ30" t="str">
            <v>８９Ｎ以上</v>
          </cell>
          <cell r="BA30">
            <v>0</v>
          </cell>
          <cell r="BC30" t="str">
            <v xml:space="preserve">RLE-TP-5MCP </v>
          </cell>
          <cell r="BD30" t="str">
            <v xml:space="preserve">R55 </v>
          </cell>
          <cell r="BE30" t="str">
            <v>1075</v>
          </cell>
          <cell r="BF30">
            <v>-5</v>
          </cell>
          <cell r="BG30" t="str">
            <v>214W</v>
          </cell>
          <cell r="BH30">
            <v>82152</v>
          </cell>
          <cell r="BM30" t="str">
            <v>403</v>
          </cell>
          <cell r="BN30" t="str">
            <v>402</v>
          </cell>
          <cell r="BO30" t="str">
            <v>403</v>
          </cell>
        </row>
        <row r="31">
          <cell r="A31">
            <v>144</v>
          </cell>
          <cell r="C31" t="str">
            <v>1A</v>
          </cell>
          <cell r="E31">
            <v>3</v>
          </cell>
          <cell r="G31">
            <v>8</v>
          </cell>
          <cell r="R31">
            <v>2</v>
          </cell>
          <cell r="T31" t="str">
            <v>*</v>
          </cell>
          <cell r="W31" t="str">
            <v xml:space="preserve">AVSS </v>
          </cell>
          <cell r="X31">
            <v>0.5</v>
          </cell>
          <cell r="Y31" t="str">
            <v>G</v>
          </cell>
          <cell r="Z31" t="str">
            <v>/</v>
          </cell>
          <cell r="AA31" t="str">
            <v>R</v>
          </cell>
          <cell r="AB31">
            <v>1070</v>
          </cell>
          <cell r="AD31" t="str">
            <v xml:space="preserve">FDSF03 </v>
          </cell>
          <cell r="AE31">
            <v>4.5</v>
          </cell>
          <cell r="AF31">
            <v>0.95</v>
          </cell>
          <cell r="AG31">
            <v>0.89999999999999991</v>
          </cell>
          <cell r="AH31">
            <v>1</v>
          </cell>
          <cell r="AI31">
            <v>2.15</v>
          </cell>
          <cell r="AJ31">
            <v>2.0499999999999998</v>
          </cell>
          <cell r="AK31">
            <v>2.25</v>
          </cell>
          <cell r="AL31" t="str">
            <v>８９Ｎ以上</v>
          </cell>
          <cell r="AM31">
            <v>0</v>
          </cell>
          <cell r="AN31" t="str">
            <v>*</v>
          </cell>
          <cell r="AO31" t="str">
            <v xml:space="preserve">DSR-13FA </v>
          </cell>
          <cell r="AP31" t="str">
            <v xml:space="preserve">#9C </v>
          </cell>
          <cell r="AR31" t="str">
            <v xml:space="preserve">ALEM37-1 </v>
          </cell>
          <cell r="AS31">
            <v>4.5</v>
          </cell>
          <cell r="AT31">
            <v>1.25</v>
          </cell>
          <cell r="AU31">
            <v>1.2</v>
          </cell>
          <cell r="AV31">
            <v>1.3</v>
          </cell>
          <cell r="AW31">
            <v>2.6</v>
          </cell>
          <cell r="AX31">
            <v>2.5</v>
          </cell>
          <cell r="AY31">
            <v>2.7</v>
          </cell>
          <cell r="AZ31" t="str">
            <v>８９Ｎ以上</v>
          </cell>
          <cell r="BA31">
            <v>0</v>
          </cell>
          <cell r="BC31" t="str">
            <v xml:space="preserve">RLE-TP-5MCP </v>
          </cell>
          <cell r="BD31" t="str">
            <v xml:space="preserve">R54 </v>
          </cell>
          <cell r="BE31" t="str">
            <v>1075</v>
          </cell>
          <cell r="BF31">
            <v>-5</v>
          </cell>
          <cell r="BG31" t="str">
            <v>214W</v>
          </cell>
          <cell r="BH31">
            <v>82152</v>
          </cell>
          <cell r="BM31" t="str">
            <v>409</v>
          </cell>
          <cell r="BN31" t="str">
            <v>415</v>
          </cell>
          <cell r="BO31" t="str">
            <v>409</v>
          </cell>
        </row>
        <row r="32">
          <cell r="A32">
            <v>145</v>
          </cell>
          <cell r="C32" t="str">
            <v>1A</v>
          </cell>
          <cell r="E32">
            <v>3</v>
          </cell>
          <cell r="G32">
            <v>14</v>
          </cell>
          <cell r="R32">
            <v>2</v>
          </cell>
          <cell r="T32" t="str">
            <v>*</v>
          </cell>
          <cell r="W32" t="str">
            <v xml:space="preserve">AVSS </v>
          </cell>
          <cell r="X32">
            <v>0.5</v>
          </cell>
          <cell r="Y32" t="str">
            <v>G</v>
          </cell>
          <cell r="Z32" t="str">
            <v>/</v>
          </cell>
          <cell r="AA32" t="str">
            <v>Y</v>
          </cell>
          <cell r="AB32">
            <v>1070</v>
          </cell>
          <cell r="AD32" t="str">
            <v xml:space="preserve">FDSF03 </v>
          </cell>
          <cell r="AE32">
            <v>4.5</v>
          </cell>
          <cell r="AF32">
            <v>0.95</v>
          </cell>
          <cell r="AG32">
            <v>0.89999999999999991</v>
          </cell>
          <cell r="AH32">
            <v>1</v>
          </cell>
          <cell r="AI32">
            <v>2.15</v>
          </cell>
          <cell r="AJ32">
            <v>2.0499999999999998</v>
          </cell>
          <cell r="AK32">
            <v>2.25</v>
          </cell>
          <cell r="AL32" t="str">
            <v>８９Ｎ以上</v>
          </cell>
          <cell r="AM32">
            <v>0</v>
          </cell>
          <cell r="AN32" t="str">
            <v>*</v>
          </cell>
          <cell r="AO32" t="str">
            <v xml:space="preserve">DSR-13FA </v>
          </cell>
          <cell r="AP32" t="str">
            <v xml:space="preserve">&amp;DC </v>
          </cell>
          <cell r="AR32" t="str">
            <v xml:space="preserve">ALEM37-1 </v>
          </cell>
          <cell r="AS32">
            <v>4.5</v>
          </cell>
          <cell r="AT32">
            <v>1.25</v>
          </cell>
          <cell r="AU32">
            <v>1.2</v>
          </cell>
          <cell r="AV32">
            <v>1.3</v>
          </cell>
          <cell r="AW32">
            <v>2.6</v>
          </cell>
          <cell r="AX32">
            <v>2.5</v>
          </cell>
          <cell r="AY32">
            <v>2.7</v>
          </cell>
          <cell r="AZ32" t="str">
            <v>８９Ｎ以上</v>
          </cell>
          <cell r="BA32">
            <v>0</v>
          </cell>
          <cell r="BC32" t="str">
            <v xml:space="preserve">RLE-TP-5MCP </v>
          </cell>
          <cell r="BD32" t="str">
            <v xml:space="preserve">RHZ </v>
          </cell>
          <cell r="BE32" t="str">
            <v>1075</v>
          </cell>
          <cell r="BF32">
            <v>-5</v>
          </cell>
          <cell r="BG32" t="str">
            <v>214W</v>
          </cell>
          <cell r="BH32">
            <v>82152</v>
          </cell>
          <cell r="BM32" t="str">
            <v>408</v>
          </cell>
          <cell r="BN32" t="str">
            <v>413</v>
          </cell>
          <cell r="BO32" t="str">
            <v>408</v>
          </cell>
        </row>
        <row r="33">
          <cell r="A33">
            <v>146</v>
          </cell>
          <cell r="C33" t="str">
            <v>1A</v>
          </cell>
          <cell r="E33">
            <v>3</v>
          </cell>
          <cell r="G33">
            <v>12</v>
          </cell>
          <cell r="R33">
            <v>2</v>
          </cell>
          <cell r="T33" t="str">
            <v>*</v>
          </cell>
          <cell r="W33" t="str">
            <v xml:space="preserve">AVSS </v>
          </cell>
          <cell r="X33">
            <v>0.5</v>
          </cell>
          <cell r="Y33" t="str">
            <v>R</v>
          </cell>
          <cell r="Z33" t="str">
            <v>/</v>
          </cell>
          <cell r="AA33" t="str">
            <v>-</v>
          </cell>
          <cell r="AB33">
            <v>1070</v>
          </cell>
          <cell r="AD33" t="str">
            <v xml:space="preserve">FDSF03 </v>
          </cell>
          <cell r="AE33">
            <v>4.5</v>
          </cell>
          <cell r="AF33">
            <v>0.95</v>
          </cell>
          <cell r="AG33">
            <v>0.89999999999999991</v>
          </cell>
          <cell r="AH33">
            <v>1</v>
          </cell>
          <cell r="AI33">
            <v>2.15</v>
          </cell>
          <cell r="AJ33">
            <v>2.0499999999999998</v>
          </cell>
          <cell r="AK33">
            <v>2.25</v>
          </cell>
          <cell r="AL33" t="str">
            <v>８９Ｎ以上</v>
          </cell>
          <cell r="AM33">
            <v>0</v>
          </cell>
          <cell r="AN33" t="str">
            <v>*</v>
          </cell>
          <cell r="AO33" t="str">
            <v xml:space="preserve">DSR-13FA </v>
          </cell>
          <cell r="AP33" t="str">
            <v xml:space="preserve">&amp;EC </v>
          </cell>
          <cell r="AR33" t="str">
            <v xml:space="preserve">ALEM37-1 </v>
          </cell>
          <cell r="AS33">
            <v>4.5</v>
          </cell>
          <cell r="AT33">
            <v>1.25</v>
          </cell>
          <cell r="AU33">
            <v>1.2</v>
          </cell>
          <cell r="AV33">
            <v>1.3</v>
          </cell>
          <cell r="AW33">
            <v>2.6</v>
          </cell>
          <cell r="AX33">
            <v>2.5</v>
          </cell>
          <cell r="AY33">
            <v>2.7</v>
          </cell>
          <cell r="AZ33" t="str">
            <v>８９Ｎ以上</v>
          </cell>
          <cell r="BA33">
            <v>0</v>
          </cell>
          <cell r="BC33" t="str">
            <v xml:space="preserve">RLE-TP-5MCP </v>
          </cell>
          <cell r="BD33" t="str">
            <v xml:space="preserve">RH0 </v>
          </cell>
          <cell r="BE33" t="str">
            <v>1075</v>
          </cell>
          <cell r="BF33">
            <v>-5</v>
          </cell>
          <cell r="BG33" t="str">
            <v>214W</v>
          </cell>
          <cell r="BH33">
            <v>82152</v>
          </cell>
          <cell r="BM33" t="str">
            <v>407</v>
          </cell>
          <cell r="BN33" t="str">
            <v>411</v>
          </cell>
          <cell r="BO33" t="str">
            <v>407</v>
          </cell>
        </row>
        <row r="34">
          <cell r="A34">
            <v>153</v>
          </cell>
          <cell r="C34" t="str">
            <v>1A</v>
          </cell>
          <cell r="E34">
            <v>1</v>
          </cell>
          <cell r="G34">
            <v>16</v>
          </cell>
          <cell r="R34">
            <v>2</v>
          </cell>
          <cell r="T34" t="str">
            <v>*</v>
          </cell>
          <cell r="W34" t="str">
            <v xml:space="preserve">AVSS </v>
          </cell>
          <cell r="X34">
            <v>1.25</v>
          </cell>
          <cell r="Y34" t="str">
            <v>L</v>
          </cell>
          <cell r="Z34" t="str">
            <v>/</v>
          </cell>
          <cell r="AA34" t="str">
            <v>B</v>
          </cell>
          <cell r="AB34">
            <v>1640</v>
          </cell>
          <cell r="AD34" t="str">
            <v xml:space="preserve">FDSF </v>
          </cell>
          <cell r="AE34">
            <v>5</v>
          </cell>
          <cell r="AF34">
            <v>1.25</v>
          </cell>
          <cell r="AG34">
            <v>1.2</v>
          </cell>
          <cell r="AH34">
            <v>1.3</v>
          </cell>
          <cell r="AI34">
            <v>2.6</v>
          </cell>
          <cell r="AJ34">
            <v>2.5</v>
          </cell>
          <cell r="AK34">
            <v>2.7</v>
          </cell>
          <cell r="AL34" t="str">
            <v>177Ｎ以上</v>
          </cell>
          <cell r="AM34">
            <v>0</v>
          </cell>
          <cell r="AO34" t="str">
            <v xml:space="preserve">DS-9F </v>
          </cell>
          <cell r="AP34" t="str">
            <v xml:space="preserve">&amp;HB </v>
          </cell>
          <cell r="AR34" t="str">
            <v xml:space="preserve">FDSF </v>
          </cell>
          <cell r="AS34">
            <v>5</v>
          </cell>
          <cell r="AT34">
            <v>1.25</v>
          </cell>
          <cell r="AU34">
            <v>1.2</v>
          </cell>
          <cell r="AV34">
            <v>1.3</v>
          </cell>
          <cell r="AW34">
            <v>2.6</v>
          </cell>
          <cell r="AX34">
            <v>2.5</v>
          </cell>
          <cell r="AY34">
            <v>2.7</v>
          </cell>
          <cell r="AZ34" t="str">
            <v>177Ｎ以上</v>
          </cell>
          <cell r="BA34">
            <v>0</v>
          </cell>
          <cell r="BC34" t="str">
            <v xml:space="preserve">YLE/DS4-10F </v>
          </cell>
          <cell r="BD34" t="str">
            <v xml:space="preserve">Q14 </v>
          </cell>
          <cell r="BE34" t="str">
            <v>1635</v>
          </cell>
          <cell r="BF34">
            <v>5</v>
          </cell>
          <cell r="BG34" t="str">
            <v>214W</v>
          </cell>
          <cell r="BH34">
            <v>82151</v>
          </cell>
          <cell r="BI34" t="str">
            <v>403</v>
          </cell>
          <cell r="BK34" t="str">
            <v>403</v>
          </cell>
          <cell r="BL34" t="str">
            <v>403</v>
          </cell>
        </row>
        <row r="35">
          <cell r="A35">
            <v>154</v>
          </cell>
          <cell r="C35" t="str">
            <v>1A</v>
          </cell>
          <cell r="E35">
            <v>3</v>
          </cell>
          <cell r="G35">
            <v>20</v>
          </cell>
          <cell r="R35">
            <v>2</v>
          </cell>
          <cell r="T35" t="str">
            <v>*</v>
          </cell>
          <cell r="W35" t="str">
            <v xml:space="preserve">AVSS </v>
          </cell>
          <cell r="X35">
            <v>1.25</v>
          </cell>
          <cell r="Y35" t="str">
            <v>L</v>
          </cell>
          <cell r="Z35" t="str">
            <v>/</v>
          </cell>
          <cell r="AA35" t="str">
            <v>B</v>
          </cell>
          <cell r="AB35">
            <v>1637</v>
          </cell>
          <cell r="AD35" t="str">
            <v xml:space="preserve">FDSF </v>
          </cell>
          <cell r="AE35">
            <v>5</v>
          </cell>
          <cell r="AF35">
            <v>1.25</v>
          </cell>
          <cell r="AG35">
            <v>1.2</v>
          </cell>
          <cell r="AH35">
            <v>1.3</v>
          </cell>
          <cell r="AI35">
            <v>2.6</v>
          </cell>
          <cell r="AJ35">
            <v>2.5</v>
          </cell>
          <cell r="AK35">
            <v>2.7</v>
          </cell>
          <cell r="AL35" t="str">
            <v>177Ｎ以上</v>
          </cell>
          <cell r="AM35">
            <v>0</v>
          </cell>
          <cell r="AO35" t="str">
            <v xml:space="preserve">DSR-13FA </v>
          </cell>
          <cell r="AP35" t="str">
            <v xml:space="preserve">&amp;HC </v>
          </cell>
          <cell r="AR35" t="str">
            <v xml:space="preserve">FDSF </v>
          </cell>
          <cell r="AS35">
            <v>5</v>
          </cell>
          <cell r="AT35">
            <v>1.25</v>
          </cell>
          <cell r="AU35">
            <v>1.2</v>
          </cell>
          <cell r="AV35">
            <v>1.3</v>
          </cell>
          <cell r="AW35">
            <v>2.6</v>
          </cell>
          <cell r="AX35">
            <v>2.5</v>
          </cell>
          <cell r="AY35">
            <v>2.7</v>
          </cell>
          <cell r="AZ35" t="str">
            <v>177Ｎ以上</v>
          </cell>
          <cell r="BA35">
            <v>0</v>
          </cell>
          <cell r="BC35" t="str">
            <v xml:space="preserve">YLE/DS4-10F </v>
          </cell>
          <cell r="BD35" t="str">
            <v xml:space="preserve">Q12 </v>
          </cell>
          <cell r="BE35" t="str">
            <v>1635</v>
          </cell>
          <cell r="BF35">
            <v>2</v>
          </cell>
          <cell r="BG35" t="str">
            <v>214W</v>
          </cell>
          <cell r="BH35">
            <v>82152</v>
          </cell>
          <cell r="BM35" t="str">
            <v>401</v>
          </cell>
          <cell r="BO35" t="str">
            <v>401</v>
          </cell>
        </row>
        <row r="36">
          <cell r="A36">
            <v>155</v>
          </cell>
          <cell r="B36" t="str">
            <v>50% 1A-2-17</v>
          </cell>
          <cell r="C36" t="str">
            <v>2F</v>
          </cell>
          <cell r="E36">
            <v>1</v>
          </cell>
          <cell r="G36">
            <v>2</v>
          </cell>
          <cell r="R36">
            <v>2</v>
          </cell>
          <cell r="T36" t="str">
            <v>*</v>
          </cell>
          <cell r="W36" t="str">
            <v xml:space="preserve">AVSS </v>
          </cell>
          <cell r="X36">
            <v>1.25</v>
          </cell>
          <cell r="Y36" t="str">
            <v>L</v>
          </cell>
          <cell r="Z36" t="str">
            <v>/</v>
          </cell>
          <cell r="AA36" t="str">
            <v>B</v>
          </cell>
          <cell r="AB36">
            <v>1523</v>
          </cell>
          <cell r="AD36" t="str">
            <v xml:space="preserve">FDSF </v>
          </cell>
          <cell r="AE36">
            <v>5</v>
          </cell>
          <cell r="AF36">
            <v>1.25</v>
          </cell>
          <cell r="AG36">
            <v>1.2</v>
          </cell>
          <cell r="AH36">
            <v>1.3</v>
          </cell>
          <cell r="AI36">
            <v>2.6</v>
          </cell>
          <cell r="AJ36">
            <v>2.5</v>
          </cell>
          <cell r="AK36">
            <v>2.7</v>
          </cell>
          <cell r="AL36" t="str">
            <v>177Ｎ以上</v>
          </cell>
          <cell r="AM36">
            <v>0</v>
          </cell>
          <cell r="AO36" t="str">
            <v xml:space="preserve">DS-6FA </v>
          </cell>
          <cell r="AP36" t="str">
            <v xml:space="preserve">&amp;HD </v>
          </cell>
          <cell r="AR36" t="str">
            <v xml:space="preserve">FDSF </v>
          </cell>
          <cell r="AS36">
            <v>5</v>
          </cell>
          <cell r="AT36">
            <v>1.25</v>
          </cell>
          <cell r="AU36">
            <v>1.2</v>
          </cell>
          <cell r="AV36">
            <v>1.3</v>
          </cell>
          <cell r="AW36">
            <v>2.6</v>
          </cell>
          <cell r="AX36">
            <v>2.5</v>
          </cell>
          <cell r="AY36">
            <v>2.7</v>
          </cell>
          <cell r="AZ36" t="str">
            <v>177Ｎ以上</v>
          </cell>
          <cell r="BA36">
            <v>0</v>
          </cell>
          <cell r="BC36" t="str">
            <v xml:space="preserve">YLE/DS4-10F </v>
          </cell>
          <cell r="BD36" t="str">
            <v xml:space="preserve">Q18 </v>
          </cell>
          <cell r="BE36" t="str">
            <v>1520</v>
          </cell>
          <cell r="BF36">
            <v>3</v>
          </cell>
          <cell r="BG36" t="str">
            <v>214W</v>
          </cell>
          <cell r="BH36">
            <v>82153</v>
          </cell>
          <cell r="BP36" t="str">
            <v>102</v>
          </cell>
          <cell r="BQ36" t="str">
            <v>102</v>
          </cell>
        </row>
        <row r="37">
          <cell r="A37">
            <v>160</v>
          </cell>
          <cell r="C37" t="str">
            <v>1A</v>
          </cell>
          <cell r="E37">
            <v>1</v>
          </cell>
          <cell r="G37">
            <v>15</v>
          </cell>
          <cell r="R37">
            <v>2</v>
          </cell>
          <cell r="T37" t="str">
            <v>*</v>
          </cell>
          <cell r="W37" t="str">
            <v xml:space="preserve">AVSS </v>
          </cell>
          <cell r="X37">
            <v>1.25</v>
          </cell>
          <cell r="Y37" t="str">
            <v>L</v>
          </cell>
          <cell r="Z37" t="str">
            <v>/</v>
          </cell>
          <cell r="AA37" t="str">
            <v>O</v>
          </cell>
          <cell r="AB37">
            <v>1640</v>
          </cell>
          <cell r="AD37" t="str">
            <v xml:space="preserve">FDSF </v>
          </cell>
          <cell r="AE37">
            <v>5</v>
          </cell>
          <cell r="AF37">
            <v>1.25</v>
          </cell>
          <cell r="AG37">
            <v>1.2</v>
          </cell>
          <cell r="AH37">
            <v>1.3</v>
          </cell>
          <cell r="AI37">
            <v>2.6</v>
          </cell>
          <cell r="AJ37">
            <v>2.5</v>
          </cell>
          <cell r="AK37">
            <v>2.7</v>
          </cell>
          <cell r="AL37" t="str">
            <v>177Ｎ以上</v>
          </cell>
          <cell r="AM37">
            <v>0</v>
          </cell>
          <cell r="AO37" t="str">
            <v xml:space="preserve">DS-9F </v>
          </cell>
          <cell r="AP37" t="str">
            <v xml:space="preserve">&amp;LB </v>
          </cell>
          <cell r="AR37" t="str">
            <v xml:space="preserve">FDSF </v>
          </cell>
          <cell r="AS37">
            <v>5</v>
          </cell>
          <cell r="AT37">
            <v>1.25</v>
          </cell>
          <cell r="AU37">
            <v>1.2</v>
          </cell>
          <cell r="AV37">
            <v>1.3</v>
          </cell>
          <cell r="AW37">
            <v>2.6</v>
          </cell>
          <cell r="AX37">
            <v>2.5</v>
          </cell>
          <cell r="AY37">
            <v>2.7</v>
          </cell>
          <cell r="AZ37" t="str">
            <v>177Ｎ以上</v>
          </cell>
          <cell r="BA37">
            <v>0</v>
          </cell>
          <cell r="BC37" t="str">
            <v xml:space="preserve">YLE/DS4-10F </v>
          </cell>
          <cell r="BD37" t="str">
            <v xml:space="preserve">Q13 </v>
          </cell>
          <cell r="BE37" t="str">
            <v>1635</v>
          </cell>
          <cell r="BF37">
            <v>5</v>
          </cell>
          <cell r="BG37" t="str">
            <v>214W</v>
          </cell>
          <cell r="BH37">
            <v>82151</v>
          </cell>
          <cell r="BI37" t="str">
            <v>402</v>
          </cell>
          <cell r="BK37" t="str">
            <v>402</v>
          </cell>
          <cell r="BL37" t="str">
            <v>402</v>
          </cell>
        </row>
        <row r="38">
          <cell r="A38">
            <v>161</v>
          </cell>
          <cell r="C38" t="str">
            <v>1A</v>
          </cell>
          <cell r="E38">
            <v>3</v>
          </cell>
          <cell r="G38">
            <v>16</v>
          </cell>
          <cell r="R38">
            <v>2</v>
          </cell>
          <cell r="T38" t="str">
            <v>*</v>
          </cell>
          <cell r="W38" t="str">
            <v xml:space="preserve">AVSS </v>
          </cell>
          <cell r="X38">
            <v>1.25</v>
          </cell>
          <cell r="Y38" t="str">
            <v>L</v>
          </cell>
          <cell r="Z38" t="str">
            <v>/</v>
          </cell>
          <cell r="AA38" t="str">
            <v>O</v>
          </cell>
          <cell r="AB38">
            <v>1637</v>
          </cell>
          <cell r="AD38" t="str">
            <v xml:space="preserve">FDSF </v>
          </cell>
          <cell r="AE38">
            <v>5</v>
          </cell>
          <cell r="AF38">
            <v>1.25</v>
          </cell>
          <cell r="AG38">
            <v>1.2</v>
          </cell>
          <cell r="AH38">
            <v>1.3</v>
          </cell>
          <cell r="AI38">
            <v>2.6</v>
          </cell>
          <cell r="AJ38">
            <v>2.5</v>
          </cell>
          <cell r="AK38">
            <v>2.7</v>
          </cell>
          <cell r="AL38" t="str">
            <v>177Ｎ以上</v>
          </cell>
          <cell r="AM38">
            <v>0</v>
          </cell>
          <cell r="AO38" t="str">
            <v xml:space="preserve">DSR-13FA </v>
          </cell>
          <cell r="AP38" t="str">
            <v xml:space="preserve">&amp;LC </v>
          </cell>
          <cell r="AR38" t="str">
            <v xml:space="preserve">FDSF </v>
          </cell>
          <cell r="AS38">
            <v>5</v>
          </cell>
          <cell r="AT38">
            <v>1.25</v>
          </cell>
          <cell r="AU38">
            <v>1.2</v>
          </cell>
          <cell r="AV38">
            <v>1.3</v>
          </cell>
          <cell r="AW38">
            <v>2.6</v>
          </cell>
          <cell r="AX38">
            <v>2.5</v>
          </cell>
          <cell r="AY38">
            <v>2.7</v>
          </cell>
          <cell r="AZ38" t="str">
            <v>177Ｎ以上</v>
          </cell>
          <cell r="BA38">
            <v>0</v>
          </cell>
          <cell r="BC38" t="str">
            <v xml:space="preserve">YLE/DS4-10F </v>
          </cell>
          <cell r="BD38" t="str">
            <v xml:space="preserve">Q11 </v>
          </cell>
          <cell r="BE38" t="str">
            <v>1635</v>
          </cell>
          <cell r="BF38">
            <v>2</v>
          </cell>
          <cell r="BG38" t="str">
            <v>214W</v>
          </cell>
          <cell r="BH38">
            <v>82152</v>
          </cell>
          <cell r="BM38" t="str">
            <v>416</v>
          </cell>
          <cell r="BO38" t="str">
            <v>416</v>
          </cell>
        </row>
        <row r="39">
          <cell r="A39">
            <v>162</v>
          </cell>
          <cell r="B39" t="str">
            <v>50% 1A-2-16</v>
          </cell>
          <cell r="C39" t="str">
            <v>2F</v>
          </cell>
          <cell r="E39">
            <v>1</v>
          </cell>
          <cell r="G39">
            <v>1</v>
          </cell>
          <cell r="R39">
            <v>2</v>
          </cell>
          <cell r="T39" t="str">
            <v>*</v>
          </cell>
          <cell r="W39" t="str">
            <v xml:space="preserve">AVSS </v>
          </cell>
          <cell r="X39">
            <v>1.25</v>
          </cell>
          <cell r="Y39" t="str">
            <v>L</v>
          </cell>
          <cell r="Z39" t="str">
            <v>/</v>
          </cell>
          <cell r="AA39" t="str">
            <v>O</v>
          </cell>
          <cell r="AB39">
            <v>1523</v>
          </cell>
          <cell r="AD39" t="str">
            <v xml:space="preserve">FDSF </v>
          </cell>
          <cell r="AE39">
            <v>5</v>
          </cell>
          <cell r="AF39">
            <v>1.25</v>
          </cell>
          <cell r="AG39">
            <v>1.2</v>
          </cell>
          <cell r="AH39">
            <v>1.3</v>
          </cell>
          <cell r="AI39">
            <v>2.6</v>
          </cell>
          <cell r="AJ39">
            <v>2.5</v>
          </cell>
          <cell r="AK39">
            <v>2.7</v>
          </cell>
          <cell r="AL39" t="str">
            <v>177Ｎ以上</v>
          </cell>
          <cell r="AM39">
            <v>0</v>
          </cell>
          <cell r="AO39" t="str">
            <v xml:space="preserve">DS-6FA </v>
          </cell>
          <cell r="AP39" t="str">
            <v xml:space="preserve">&amp;LD </v>
          </cell>
          <cell r="AR39" t="str">
            <v xml:space="preserve">FDSF </v>
          </cell>
          <cell r="AS39">
            <v>5</v>
          </cell>
          <cell r="AT39">
            <v>1.25</v>
          </cell>
          <cell r="AU39">
            <v>1.2</v>
          </cell>
          <cell r="AV39">
            <v>1.3</v>
          </cell>
          <cell r="AW39">
            <v>2.6</v>
          </cell>
          <cell r="AX39">
            <v>2.5</v>
          </cell>
          <cell r="AY39">
            <v>2.7</v>
          </cell>
          <cell r="AZ39" t="str">
            <v>177Ｎ以上</v>
          </cell>
          <cell r="BA39">
            <v>0</v>
          </cell>
          <cell r="BC39" t="str">
            <v xml:space="preserve">YLE/DS4-10F </v>
          </cell>
          <cell r="BD39" t="str">
            <v xml:space="preserve">Q17 </v>
          </cell>
          <cell r="BE39" t="str">
            <v>1520</v>
          </cell>
          <cell r="BF39">
            <v>3</v>
          </cell>
          <cell r="BG39" t="str">
            <v>214W</v>
          </cell>
          <cell r="BH39">
            <v>82153</v>
          </cell>
          <cell r="BP39" t="str">
            <v>101</v>
          </cell>
          <cell r="BQ39" t="str">
            <v>101</v>
          </cell>
        </row>
        <row r="40">
          <cell r="A40">
            <v>163</v>
          </cell>
          <cell r="C40" t="str">
            <v>1A</v>
          </cell>
          <cell r="E40">
            <v>4</v>
          </cell>
          <cell r="G40">
            <v>4</v>
          </cell>
          <cell r="R40">
            <v>2</v>
          </cell>
          <cell r="T40" t="str">
            <v>*</v>
          </cell>
          <cell r="W40" t="str">
            <v xml:space="preserve">AVSS </v>
          </cell>
          <cell r="X40" t="str">
            <v>2.0F</v>
          </cell>
          <cell r="Y40" t="str">
            <v>G</v>
          </cell>
          <cell r="Z40" t="str">
            <v>/</v>
          </cell>
          <cell r="AA40" t="str">
            <v>Y</v>
          </cell>
          <cell r="AB40">
            <v>1300</v>
          </cell>
          <cell r="AD40" t="str">
            <v xml:space="preserve">FDSF20 </v>
          </cell>
          <cell r="AE40">
            <v>5</v>
          </cell>
          <cell r="AF40">
            <v>1.65</v>
          </cell>
          <cell r="AG40">
            <v>1.5999999999999999</v>
          </cell>
          <cell r="AH40">
            <v>1.7</v>
          </cell>
          <cell r="AI40">
            <v>2.75</v>
          </cell>
          <cell r="AJ40">
            <v>2.65</v>
          </cell>
          <cell r="AK40">
            <v>2.85</v>
          </cell>
          <cell r="AL40" t="str">
            <v>246Ｎ以上</v>
          </cell>
          <cell r="AM40">
            <v>0</v>
          </cell>
          <cell r="AO40" t="str">
            <v xml:space="preserve">FDS-4F </v>
          </cell>
          <cell r="AP40" t="str">
            <v xml:space="preserve">P37 </v>
          </cell>
          <cell r="AR40" t="str">
            <v xml:space="preserve">FDSF20 </v>
          </cell>
          <cell r="AS40">
            <v>5</v>
          </cell>
          <cell r="AT40">
            <v>1.65</v>
          </cell>
          <cell r="AU40">
            <v>1.5999999999999999</v>
          </cell>
          <cell r="AV40">
            <v>1.7</v>
          </cell>
          <cell r="AW40">
            <v>2.75</v>
          </cell>
          <cell r="AX40">
            <v>2.65</v>
          </cell>
          <cell r="AY40">
            <v>2.85</v>
          </cell>
          <cell r="AZ40" t="str">
            <v>246Ｎ以上</v>
          </cell>
          <cell r="BA40">
            <v>0</v>
          </cell>
          <cell r="BC40" t="str">
            <v xml:space="preserve">RLE/DS12-18F </v>
          </cell>
          <cell r="BD40" t="str">
            <v xml:space="preserve">P62 </v>
          </cell>
          <cell r="BE40" t="str">
            <v>1300</v>
          </cell>
          <cell r="BG40" t="str">
            <v>214W</v>
          </cell>
          <cell r="BH40">
            <v>82151</v>
          </cell>
          <cell r="BL40" t="str">
            <v>483</v>
          </cell>
        </row>
        <row r="41">
          <cell r="A41">
            <v>164</v>
          </cell>
          <cell r="C41" t="str">
            <v>1A</v>
          </cell>
          <cell r="E41">
            <v>3</v>
          </cell>
          <cell r="G41">
            <v>3</v>
          </cell>
          <cell r="R41">
            <v>2</v>
          </cell>
          <cell r="T41" t="str">
            <v>*</v>
          </cell>
          <cell r="W41" t="str">
            <v xml:space="preserve">AVSS </v>
          </cell>
          <cell r="X41" t="str">
            <v>2.0F</v>
          </cell>
          <cell r="Y41" t="str">
            <v>L</v>
          </cell>
          <cell r="Z41" t="str">
            <v>/</v>
          </cell>
          <cell r="AA41" t="str">
            <v>W</v>
          </cell>
          <cell r="AB41">
            <v>1260</v>
          </cell>
          <cell r="AD41" t="str">
            <v xml:space="preserve">FDSF20 </v>
          </cell>
          <cell r="AE41">
            <v>5</v>
          </cell>
          <cell r="AF41">
            <v>1.65</v>
          </cell>
          <cell r="AG41">
            <v>1.5999999999999999</v>
          </cell>
          <cell r="AH41">
            <v>1.7</v>
          </cell>
          <cell r="AI41">
            <v>2.75</v>
          </cell>
          <cell r="AJ41">
            <v>2.65</v>
          </cell>
          <cell r="AK41">
            <v>2.85</v>
          </cell>
          <cell r="AL41" t="str">
            <v>246Ｎ以上</v>
          </cell>
          <cell r="AM41">
            <v>0</v>
          </cell>
          <cell r="AO41" t="str">
            <v xml:space="preserve">DSR-13FA </v>
          </cell>
          <cell r="AP41" t="str">
            <v xml:space="preserve">#8D </v>
          </cell>
          <cell r="AR41" t="str">
            <v xml:space="preserve">FDSF20 </v>
          </cell>
          <cell r="AS41">
            <v>5</v>
          </cell>
          <cell r="AT41">
            <v>1.65</v>
          </cell>
          <cell r="AU41">
            <v>1.5999999999999999</v>
          </cell>
          <cell r="AV41">
            <v>1.7</v>
          </cell>
          <cell r="AW41">
            <v>2.75</v>
          </cell>
          <cell r="AX41">
            <v>2.65</v>
          </cell>
          <cell r="AY41">
            <v>2.85</v>
          </cell>
          <cell r="AZ41" t="str">
            <v>246Ｎ以上</v>
          </cell>
          <cell r="BA41">
            <v>0</v>
          </cell>
          <cell r="BC41" t="str">
            <v xml:space="preserve">DSR-5F </v>
          </cell>
          <cell r="BD41" t="str">
            <v xml:space="preserve">P73 </v>
          </cell>
          <cell r="BE41" t="str">
            <v>1260</v>
          </cell>
          <cell r="BG41" t="str">
            <v>214W</v>
          </cell>
          <cell r="BH41">
            <v>82152</v>
          </cell>
          <cell r="BO41" t="str">
            <v>404</v>
          </cell>
        </row>
        <row r="42">
          <cell r="A42">
            <v>165</v>
          </cell>
          <cell r="C42" t="str">
            <v>1A</v>
          </cell>
          <cell r="E42">
            <v>3</v>
          </cell>
          <cell r="G42">
            <v>6</v>
          </cell>
          <cell r="R42">
            <v>2</v>
          </cell>
          <cell r="T42" t="str">
            <v>*</v>
          </cell>
          <cell r="W42" t="str">
            <v xml:space="preserve">AVSS </v>
          </cell>
          <cell r="X42" t="str">
            <v>2.0F</v>
          </cell>
          <cell r="Y42" t="str">
            <v>G</v>
          </cell>
          <cell r="Z42" t="str">
            <v>/</v>
          </cell>
          <cell r="AA42" t="str">
            <v>W</v>
          </cell>
          <cell r="AB42">
            <v>1260</v>
          </cell>
          <cell r="AD42" t="str">
            <v xml:space="preserve">FDSF20 </v>
          </cell>
          <cell r="AE42">
            <v>5</v>
          </cell>
          <cell r="AF42">
            <v>1.65</v>
          </cell>
          <cell r="AG42">
            <v>1.5999999999999999</v>
          </cell>
          <cell r="AH42">
            <v>1.7</v>
          </cell>
          <cell r="AI42">
            <v>2.75</v>
          </cell>
          <cell r="AJ42">
            <v>2.65</v>
          </cell>
          <cell r="AK42">
            <v>2.85</v>
          </cell>
          <cell r="AL42" t="str">
            <v>246Ｎ以上</v>
          </cell>
          <cell r="AM42">
            <v>0</v>
          </cell>
          <cell r="AO42" t="str">
            <v xml:space="preserve">DSR-5F </v>
          </cell>
          <cell r="AP42" t="str">
            <v xml:space="preserve">P30 </v>
          </cell>
          <cell r="AR42" t="str">
            <v xml:space="preserve">FDSF20 </v>
          </cell>
          <cell r="AS42">
            <v>5</v>
          </cell>
          <cell r="AT42">
            <v>1.65</v>
          </cell>
          <cell r="AU42">
            <v>1.5999999999999999</v>
          </cell>
          <cell r="AV42">
            <v>1.7</v>
          </cell>
          <cell r="AW42">
            <v>2.75</v>
          </cell>
          <cell r="AX42">
            <v>2.65</v>
          </cell>
          <cell r="AY42">
            <v>2.85</v>
          </cell>
          <cell r="AZ42" t="str">
            <v>246Ｎ以上</v>
          </cell>
          <cell r="BA42">
            <v>0</v>
          </cell>
          <cell r="BC42" t="str">
            <v xml:space="preserve">DSR-13FA </v>
          </cell>
          <cell r="BD42" t="str">
            <v xml:space="preserve">P56 </v>
          </cell>
          <cell r="BE42" t="str">
            <v>1260</v>
          </cell>
          <cell r="BG42" t="str">
            <v>214W</v>
          </cell>
          <cell r="BH42">
            <v>82152</v>
          </cell>
          <cell r="BO42" t="str">
            <v>468</v>
          </cell>
        </row>
        <row r="43">
          <cell r="A43">
            <v>166</v>
          </cell>
          <cell r="C43" t="str">
            <v>1A</v>
          </cell>
          <cell r="E43">
            <v>3</v>
          </cell>
          <cell r="G43" t="str">
            <v>S2</v>
          </cell>
          <cell r="R43">
            <v>2</v>
          </cell>
          <cell r="T43" t="str">
            <v>*</v>
          </cell>
          <cell r="W43" t="str">
            <v xml:space="preserve">AVSS </v>
          </cell>
          <cell r="X43" t="str">
            <v>2.0F</v>
          </cell>
          <cell r="Y43" t="str">
            <v>G</v>
          </cell>
          <cell r="Z43" t="str">
            <v>/</v>
          </cell>
          <cell r="AA43" t="str">
            <v>W</v>
          </cell>
          <cell r="AB43">
            <v>515</v>
          </cell>
          <cell r="AD43" t="str">
            <v xml:space="preserve">FDSF20 </v>
          </cell>
          <cell r="AE43">
            <v>5</v>
          </cell>
          <cell r="AF43">
            <v>1.65</v>
          </cell>
          <cell r="AG43">
            <v>1.5999999999999999</v>
          </cell>
          <cell r="AH43">
            <v>1.7</v>
          </cell>
          <cell r="AI43">
            <v>2.75</v>
          </cell>
          <cell r="AJ43">
            <v>2.65</v>
          </cell>
          <cell r="AK43">
            <v>2.85</v>
          </cell>
          <cell r="AL43" t="str">
            <v>246Ｎ以上</v>
          </cell>
          <cell r="AM43">
            <v>0</v>
          </cell>
          <cell r="AO43" t="str">
            <v xml:space="preserve">DSY-6F-B </v>
          </cell>
          <cell r="AP43" t="str">
            <v xml:space="preserve">P48 </v>
          </cell>
          <cell r="AR43" t="str">
            <v xml:space="preserve">FDSF20 </v>
          </cell>
          <cell r="AS43">
            <v>5</v>
          </cell>
          <cell r="AT43">
            <v>1.65</v>
          </cell>
          <cell r="AU43">
            <v>1.5999999999999999</v>
          </cell>
          <cell r="AV43">
            <v>1.7</v>
          </cell>
          <cell r="AW43">
            <v>2.75</v>
          </cell>
          <cell r="AX43">
            <v>2.65</v>
          </cell>
          <cell r="AY43">
            <v>2.85</v>
          </cell>
          <cell r="AZ43" t="str">
            <v>246Ｎ以上</v>
          </cell>
          <cell r="BA43">
            <v>0</v>
          </cell>
          <cell r="BC43" t="str">
            <v xml:space="preserve">DSR-5F </v>
          </cell>
          <cell r="BD43" t="str">
            <v xml:space="preserve">P74 </v>
          </cell>
          <cell r="BE43" t="str">
            <v xml:space="preserve"> 515</v>
          </cell>
          <cell r="BG43" t="str">
            <v>214W</v>
          </cell>
          <cell r="BH43">
            <v>82152</v>
          </cell>
          <cell r="BO43" t="str">
            <v>418</v>
          </cell>
        </row>
        <row r="44">
          <cell r="A44">
            <v>167</v>
          </cell>
          <cell r="C44" t="str">
            <v>1A</v>
          </cell>
          <cell r="E44">
            <v>1</v>
          </cell>
          <cell r="G44">
            <v>19</v>
          </cell>
          <cell r="R44">
            <v>2</v>
          </cell>
          <cell r="T44" t="str">
            <v>*</v>
          </cell>
          <cell r="W44" t="str">
            <v xml:space="preserve">AVSS </v>
          </cell>
          <cell r="X44" t="str">
            <v>2.0F</v>
          </cell>
          <cell r="Y44" t="str">
            <v>G</v>
          </cell>
          <cell r="Z44" t="str">
            <v>/</v>
          </cell>
          <cell r="AA44" t="str">
            <v>W</v>
          </cell>
          <cell r="AB44">
            <v>1305</v>
          </cell>
          <cell r="AD44" t="str">
            <v xml:space="preserve">FDSF20 </v>
          </cell>
          <cell r="AE44">
            <v>5</v>
          </cell>
          <cell r="AF44">
            <v>1.65</v>
          </cell>
          <cell r="AG44">
            <v>1.5999999999999999</v>
          </cell>
          <cell r="AH44">
            <v>1.7</v>
          </cell>
          <cell r="AI44">
            <v>2.75</v>
          </cell>
          <cell r="AJ44">
            <v>2.65</v>
          </cell>
          <cell r="AK44">
            <v>2.85</v>
          </cell>
          <cell r="AL44" t="str">
            <v>246Ｎ以上</v>
          </cell>
          <cell r="AM44">
            <v>0</v>
          </cell>
          <cell r="AO44" t="str">
            <v xml:space="preserve">DS-9F </v>
          </cell>
          <cell r="AP44" t="str">
            <v xml:space="preserve">P30 </v>
          </cell>
          <cell r="AR44" t="str">
            <v xml:space="preserve">FDSF20 </v>
          </cell>
          <cell r="AS44">
            <v>5</v>
          </cell>
          <cell r="AT44">
            <v>1.65</v>
          </cell>
          <cell r="AU44">
            <v>1.5999999999999999</v>
          </cell>
          <cell r="AV44">
            <v>1.7</v>
          </cell>
          <cell r="AW44">
            <v>2.75</v>
          </cell>
          <cell r="AX44">
            <v>2.65</v>
          </cell>
          <cell r="AY44">
            <v>2.85</v>
          </cell>
          <cell r="AZ44" t="str">
            <v>246Ｎ以上</v>
          </cell>
          <cell r="BA44">
            <v>0</v>
          </cell>
          <cell r="BC44" t="str">
            <v xml:space="preserve">RLE/DS12-18F </v>
          </cell>
          <cell r="BD44" t="str">
            <v xml:space="preserve">P56 </v>
          </cell>
          <cell r="BE44" t="str">
            <v>1305</v>
          </cell>
          <cell r="BG44" t="str">
            <v>214W</v>
          </cell>
          <cell r="BH44">
            <v>82151</v>
          </cell>
          <cell r="BK44" t="str">
            <v>468</v>
          </cell>
          <cell r="BL44" t="str">
            <v>480</v>
          </cell>
        </row>
        <row r="45">
          <cell r="A45">
            <v>168</v>
          </cell>
          <cell r="C45" t="str">
            <v>1A</v>
          </cell>
          <cell r="E45">
            <v>1</v>
          </cell>
          <cell r="G45">
            <v>20</v>
          </cell>
          <cell r="R45">
            <v>2</v>
          </cell>
          <cell r="T45" t="str">
            <v>*</v>
          </cell>
          <cell r="W45" t="str">
            <v xml:space="preserve">AVSS </v>
          </cell>
          <cell r="X45" t="str">
            <v>2.0F</v>
          </cell>
          <cell r="Y45" t="str">
            <v>L</v>
          </cell>
          <cell r="Z45" t="str">
            <v>/</v>
          </cell>
          <cell r="AA45" t="str">
            <v>Y</v>
          </cell>
          <cell r="AB45">
            <v>1305</v>
          </cell>
          <cell r="AD45" t="str">
            <v xml:space="preserve">FDSF20 </v>
          </cell>
          <cell r="AE45">
            <v>5</v>
          </cell>
          <cell r="AF45">
            <v>1.65</v>
          </cell>
          <cell r="AG45">
            <v>1.5999999999999999</v>
          </cell>
          <cell r="AH45">
            <v>1.7</v>
          </cell>
          <cell r="AI45">
            <v>2.75</v>
          </cell>
          <cell r="AJ45">
            <v>2.65</v>
          </cell>
          <cell r="AK45">
            <v>2.85</v>
          </cell>
          <cell r="AL45" t="str">
            <v>246Ｎ以上</v>
          </cell>
          <cell r="AM45">
            <v>0</v>
          </cell>
          <cell r="AO45" t="str">
            <v xml:space="preserve">DS-9F </v>
          </cell>
          <cell r="AP45" t="str">
            <v xml:space="preserve">#PA </v>
          </cell>
          <cell r="AR45" t="str">
            <v xml:space="preserve">FDSF20 </v>
          </cell>
          <cell r="AS45">
            <v>5</v>
          </cell>
          <cell r="AT45">
            <v>1.65</v>
          </cell>
          <cell r="AU45">
            <v>1.5999999999999999</v>
          </cell>
          <cell r="AV45">
            <v>1.7</v>
          </cell>
          <cell r="AW45">
            <v>2.75</v>
          </cell>
          <cell r="AX45">
            <v>2.65</v>
          </cell>
          <cell r="AY45">
            <v>2.85</v>
          </cell>
          <cell r="AZ45" t="str">
            <v>246Ｎ以上</v>
          </cell>
          <cell r="BA45">
            <v>0</v>
          </cell>
          <cell r="BC45" t="str">
            <v xml:space="preserve">RLE/DS12-18F </v>
          </cell>
          <cell r="BD45" t="str">
            <v xml:space="preserve">P9R </v>
          </cell>
          <cell r="BE45" t="str">
            <v>1305</v>
          </cell>
          <cell r="BG45" t="str">
            <v>214W</v>
          </cell>
          <cell r="BH45">
            <v>82151</v>
          </cell>
          <cell r="BI45" t="str">
            <v>437</v>
          </cell>
          <cell r="BK45" t="str">
            <v>437</v>
          </cell>
          <cell r="BL45" t="str">
            <v>488</v>
          </cell>
        </row>
        <row r="46">
          <cell r="A46">
            <v>169</v>
          </cell>
          <cell r="C46" t="str">
            <v>1A</v>
          </cell>
          <cell r="E46">
            <v>1</v>
          </cell>
          <cell r="G46">
            <v>18</v>
          </cell>
          <cell r="R46">
            <v>2</v>
          </cell>
          <cell r="T46" t="str">
            <v>*</v>
          </cell>
          <cell r="W46" t="str">
            <v xml:space="preserve">AVSS </v>
          </cell>
          <cell r="X46" t="str">
            <v>2.0F</v>
          </cell>
          <cell r="Y46" t="str">
            <v>L</v>
          </cell>
          <cell r="Z46" t="str">
            <v>/</v>
          </cell>
          <cell r="AA46" t="str">
            <v>-</v>
          </cell>
          <cell r="AB46">
            <v>1305</v>
          </cell>
          <cell r="AD46" t="str">
            <v xml:space="preserve">FDSF20 </v>
          </cell>
          <cell r="AE46">
            <v>5</v>
          </cell>
          <cell r="AF46">
            <v>1.65</v>
          </cell>
          <cell r="AG46">
            <v>1.5999999999999999</v>
          </cell>
          <cell r="AH46">
            <v>1.7</v>
          </cell>
          <cell r="AI46">
            <v>2.75</v>
          </cell>
          <cell r="AJ46">
            <v>2.65</v>
          </cell>
          <cell r="AK46">
            <v>2.85</v>
          </cell>
          <cell r="AL46" t="str">
            <v>246Ｎ以上</v>
          </cell>
          <cell r="AM46">
            <v>0</v>
          </cell>
          <cell r="AO46" t="str">
            <v xml:space="preserve">DS-9F </v>
          </cell>
          <cell r="AP46" t="str">
            <v xml:space="preserve">#8A </v>
          </cell>
          <cell r="AR46" t="str">
            <v xml:space="preserve">FDSF20 </v>
          </cell>
          <cell r="AS46">
            <v>5</v>
          </cell>
          <cell r="AT46">
            <v>1.65</v>
          </cell>
          <cell r="AU46">
            <v>1.5999999999999999</v>
          </cell>
          <cell r="AV46">
            <v>1.7</v>
          </cell>
          <cell r="AW46">
            <v>2.75</v>
          </cell>
          <cell r="AX46">
            <v>2.65</v>
          </cell>
          <cell r="AY46">
            <v>2.85</v>
          </cell>
          <cell r="AZ46" t="str">
            <v>246Ｎ以上</v>
          </cell>
          <cell r="BA46">
            <v>0</v>
          </cell>
          <cell r="BC46" t="str">
            <v xml:space="preserve">RLE/DS12-18F </v>
          </cell>
          <cell r="BD46" t="str">
            <v xml:space="preserve">P66 </v>
          </cell>
          <cell r="BE46" t="str">
            <v>1305</v>
          </cell>
          <cell r="BG46" t="str">
            <v>214W</v>
          </cell>
          <cell r="BH46">
            <v>82151</v>
          </cell>
          <cell r="BI46" t="str">
            <v>436</v>
          </cell>
          <cell r="BK46" t="str">
            <v>436</v>
          </cell>
          <cell r="BL46" t="str">
            <v>487</v>
          </cell>
        </row>
        <row r="47">
          <cell r="A47">
            <v>170</v>
          </cell>
          <cell r="C47" t="str">
            <v>1A</v>
          </cell>
          <cell r="E47">
            <v>1</v>
          </cell>
          <cell r="G47">
            <v>17</v>
          </cell>
          <cell r="R47">
            <v>2</v>
          </cell>
          <cell r="T47" t="str">
            <v>*</v>
          </cell>
          <cell r="W47" t="str">
            <v xml:space="preserve">AVSS </v>
          </cell>
          <cell r="X47" t="str">
            <v>2.0F</v>
          </cell>
          <cell r="Y47" t="str">
            <v>R</v>
          </cell>
          <cell r="Z47" t="str">
            <v>/</v>
          </cell>
          <cell r="AA47" t="str">
            <v>L</v>
          </cell>
          <cell r="AB47">
            <v>1305</v>
          </cell>
          <cell r="AD47" t="str">
            <v xml:space="preserve">FDSF20 </v>
          </cell>
          <cell r="AE47">
            <v>5</v>
          </cell>
          <cell r="AF47">
            <v>1.65</v>
          </cell>
          <cell r="AG47">
            <v>1.5999999999999999</v>
          </cell>
          <cell r="AH47">
            <v>1.7</v>
          </cell>
          <cell r="AI47">
            <v>2.75</v>
          </cell>
          <cell r="AJ47">
            <v>2.65</v>
          </cell>
          <cell r="AK47">
            <v>2.85</v>
          </cell>
          <cell r="AL47" t="str">
            <v>246Ｎ以上</v>
          </cell>
          <cell r="AM47">
            <v>0</v>
          </cell>
          <cell r="AO47" t="str">
            <v xml:space="preserve">DS-9F </v>
          </cell>
          <cell r="AP47" t="str">
            <v xml:space="preserve">P31 </v>
          </cell>
          <cell r="AR47" t="str">
            <v xml:space="preserve">FDSF20 </v>
          </cell>
          <cell r="AS47">
            <v>5</v>
          </cell>
          <cell r="AT47">
            <v>1.65</v>
          </cell>
          <cell r="AU47">
            <v>1.5999999999999999</v>
          </cell>
          <cell r="AV47">
            <v>1.7</v>
          </cell>
          <cell r="AW47">
            <v>2.75</v>
          </cell>
          <cell r="AX47">
            <v>2.65</v>
          </cell>
          <cell r="AY47">
            <v>2.85</v>
          </cell>
          <cell r="AZ47" t="str">
            <v>246Ｎ以上</v>
          </cell>
          <cell r="BA47">
            <v>0</v>
          </cell>
          <cell r="BC47" t="str">
            <v xml:space="preserve">RLE/DS12-18F </v>
          </cell>
          <cell r="BD47" t="str">
            <v xml:space="preserve">P57 </v>
          </cell>
          <cell r="BE47" t="str">
            <v>1305</v>
          </cell>
          <cell r="BG47" t="str">
            <v>214W</v>
          </cell>
          <cell r="BH47">
            <v>82151</v>
          </cell>
          <cell r="BK47" t="str">
            <v>422</v>
          </cell>
          <cell r="BL47" t="str">
            <v>422</v>
          </cell>
        </row>
        <row r="48">
          <cell r="A48">
            <v>171</v>
          </cell>
          <cell r="C48" t="str">
            <v>1A</v>
          </cell>
          <cell r="E48">
            <v>3</v>
          </cell>
          <cell r="G48">
            <v>1</v>
          </cell>
          <cell r="R48">
            <v>2</v>
          </cell>
          <cell r="T48" t="str">
            <v>*</v>
          </cell>
          <cell r="W48" t="str">
            <v xml:space="preserve">AVSS </v>
          </cell>
          <cell r="X48" t="str">
            <v>2.0F</v>
          </cell>
          <cell r="Y48" t="str">
            <v>R</v>
          </cell>
          <cell r="Z48" t="str">
            <v>/</v>
          </cell>
          <cell r="AA48" t="str">
            <v>L</v>
          </cell>
          <cell r="AB48">
            <v>1260</v>
          </cell>
          <cell r="AD48" t="str">
            <v xml:space="preserve">FDSF20 </v>
          </cell>
          <cell r="AE48">
            <v>5</v>
          </cell>
          <cell r="AF48">
            <v>1.65</v>
          </cell>
          <cell r="AG48">
            <v>1.5999999999999999</v>
          </cell>
          <cell r="AH48">
            <v>1.7</v>
          </cell>
          <cell r="AI48">
            <v>2.75</v>
          </cell>
          <cell r="AJ48">
            <v>2.65</v>
          </cell>
          <cell r="AK48">
            <v>2.85</v>
          </cell>
          <cell r="AL48" t="str">
            <v>246Ｎ以上</v>
          </cell>
          <cell r="AM48">
            <v>0</v>
          </cell>
          <cell r="AO48" t="str">
            <v xml:space="preserve">DSR-5F </v>
          </cell>
          <cell r="AP48" t="str">
            <v xml:space="preserve">P31 </v>
          </cell>
          <cell r="AR48" t="str">
            <v xml:space="preserve">FDSF20 </v>
          </cell>
          <cell r="AS48">
            <v>5</v>
          </cell>
          <cell r="AT48">
            <v>1.65</v>
          </cell>
          <cell r="AU48">
            <v>1.5999999999999999</v>
          </cell>
          <cell r="AV48">
            <v>1.7</v>
          </cell>
          <cell r="AW48">
            <v>2.75</v>
          </cell>
          <cell r="AX48">
            <v>2.65</v>
          </cell>
          <cell r="AY48">
            <v>2.85</v>
          </cell>
          <cell r="AZ48" t="str">
            <v>246Ｎ以上</v>
          </cell>
          <cell r="BA48">
            <v>0</v>
          </cell>
          <cell r="BC48" t="str">
            <v xml:space="preserve">DSR-13FA </v>
          </cell>
          <cell r="BD48" t="str">
            <v xml:space="preserve">P57 </v>
          </cell>
          <cell r="BE48" t="str">
            <v>1260</v>
          </cell>
          <cell r="BG48" t="str">
            <v>214W</v>
          </cell>
          <cell r="BH48">
            <v>82152</v>
          </cell>
          <cell r="BO48" t="str">
            <v>419</v>
          </cell>
        </row>
        <row r="49">
          <cell r="A49">
            <v>172</v>
          </cell>
          <cell r="C49" t="str">
            <v>1A</v>
          </cell>
          <cell r="E49">
            <v>3</v>
          </cell>
          <cell r="G49" t="str">
            <v>S1</v>
          </cell>
          <cell r="R49">
            <v>2</v>
          </cell>
          <cell r="T49" t="str">
            <v>*</v>
          </cell>
          <cell r="W49" t="str">
            <v xml:space="preserve">AVSS </v>
          </cell>
          <cell r="X49" t="str">
            <v>2.0F</v>
          </cell>
          <cell r="Y49" t="str">
            <v>R</v>
          </cell>
          <cell r="Z49" t="str">
            <v>/</v>
          </cell>
          <cell r="AA49" t="str">
            <v>L</v>
          </cell>
          <cell r="AB49">
            <v>515</v>
          </cell>
          <cell r="AD49" t="str">
            <v xml:space="preserve">FDSF20 </v>
          </cell>
          <cell r="AE49">
            <v>5</v>
          </cell>
          <cell r="AF49">
            <v>1.65</v>
          </cell>
          <cell r="AG49">
            <v>1.5999999999999999</v>
          </cell>
          <cell r="AH49">
            <v>1.7</v>
          </cell>
          <cell r="AI49">
            <v>2.75</v>
          </cell>
          <cell r="AJ49">
            <v>2.65</v>
          </cell>
          <cell r="AK49">
            <v>2.85</v>
          </cell>
          <cell r="AL49" t="str">
            <v>246Ｎ以上</v>
          </cell>
          <cell r="AM49">
            <v>0</v>
          </cell>
          <cell r="AO49" t="str">
            <v xml:space="preserve">DSY-6F-B </v>
          </cell>
          <cell r="AP49" t="str">
            <v xml:space="preserve">P49 </v>
          </cell>
          <cell r="AR49" t="str">
            <v xml:space="preserve">FDSF20 </v>
          </cell>
          <cell r="AS49">
            <v>5</v>
          </cell>
          <cell r="AT49">
            <v>1.65</v>
          </cell>
          <cell r="AU49">
            <v>1.5999999999999999</v>
          </cell>
          <cell r="AV49">
            <v>1.7</v>
          </cell>
          <cell r="AW49">
            <v>2.75</v>
          </cell>
          <cell r="AX49">
            <v>2.65</v>
          </cell>
          <cell r="AY49">
            <v>2.85</v>
          </cell>
          <cell r="AZ49" t="str">
            <v>246Ｎ以上</v>
          </cell>
          <cell r="BA49">
            <v>0</v>
          </cell>
          <cell r="BC49" t="str">
            <v xml:space="preserve">DSR-5F </v>
          </cell>
          <cell r="BD49" t="str">
            <v xml:space="preserve">P75 </v>
          </cell>
          <cell r="BE49" t="str">
            <v xml:space="preserve"> 515</v>
          </cell>
          <cell r="BG49" t="str">
            <v>214W</v>
          </cell>
          <cell r="BH49">
            <v>82152</v>
          </cell>
          <cell r="BO49" t="str">
            <v>417</v>
          </cell>
        </row>
        <row r="50">
          <cell r="A50">
            <v>173</v>
          </cell>
          <cell r="C50" t="str">
            <v>1A</v>
          </cell>
          <cell r="E50">
            <v>4</v>
          </cell>
          <cell r="G50">
            <v>5</v>
          </cell>
          <cell r="R50">
            <v>2</v>
          </cell>
          <cell r="T50" t="str">
            <v>*</v>
          </cell>
          <cell r="W50" t="str">
            <v xml:space="preserve">AVSS </v>
          </cell>
          <cell r="X50" t="str">
            <v>2.0F</v>
          </cell>
          <cell r="Y50" t="str">
            <v>R</v>
          </cell>
          <cell r="Z50" t="str">
            <v>/</v>
          </cell>
          <cell r="AA50" t="str">
            <v>Y</v>
          </cell>
          <cell r="AB50">
            <v>1300</v>
          </cell>
          <cell r="AD50" t="str">
            <v xml:space="preserve">FDSF20 </v>
          </cell>
          <cell r="AE50">
            <v>5</v>
          </cell>
          <cell r="AF50">
            <v>1.65</v>
          </cell>
          <cell r="AG50">
            <v>1.5999999999999999</v>
          </cell>
          <cell r="AH50">
            <v>1.7</v>
          </cell>
          <cell r="AI50">
            <v>2.75</v>
          </cell>
          <cell r="AJ50">
            <v>2.65</v>
          </cell>
          <cell r="AK50">
            <v>2.85</v>
          </cell>
          <cell r="AL50" t="str">
            <v>246Ｎ以上</v>
          </cell>
          <cell r="AM50">
            <v>0</v>
          </cell>
          <cell r="AO50" t="str">
            <v xml:space="preserve">FDS-4F </v>
          </cell>
          <cell r="AP50" t="str">
            <v xml:space="preserve">P38 </v>
          </cell>
          <cell r="AR50" t="str">
            <v xml:space="preserve">FDSF20 </v>
          </cell>
          <cell r="AS50">
            <v>5</v>
          </cell>
          <cell r="AT50">
            <v>1.65</v>
          </cell>
          <cell r="AU50">
            <v>1.5999999999999999</v>
          </cell>
          <cell r="AV50">
            <v>1.7</v>
          </cell>
          <cell r="AW50">
            <v>2.75</v>
          </cell>
          <cell r="AX50">
            <v>2.65</v>
          </cell>
          <cell r="AY50">
            <v>2.85</v>
          </cell>
          <cell r="AZ50" t="str">
            <v>246Ｎ以上</v>
          </cell>
          <cell r="BA50">
            <v>0</v>
          </cell>
          <cell r="BC50" t="str">
            <v xml:space="preserve">RLE/DS12-18F </v>
          </cell>
          <cell r="BD50" t="str">
            <v xml:space="preserve">P63 </v>
          </cell>
          <cell r="BE50" t="str">
            <v>1300</v>
          </cell>
          <cell r="BG50" t="str">
            <v>214W</v>
          </cell>
          <cell r="BH50">
            <v>82151</v>
          </cell>
          <cell r="BL50" t="str">
            <v>484</v>
          </cell>
        </row>
        <row r="51">
          <cell r="A51">
            <v>174</v>
          </cell>
          <cell r="C51" t="str">
            <v>1A</v>
          </cell>
          <cell r="E51">
            <v>4</v>
          </cell>
          <cell r="G51">
            <v>1</v>
          </cell>
          <cell r="R51">
            <v>2</v>
          </cell>
          <cell r="T51" t="str">
            <v>*</v>
          </cell>
          <cell r="W51" t="str">
            <v xml:space="preserve">AVSS </v>
          </cell>
          <cell r="X51" t="str">
            <v>2.0F</v>
          </cell>
          <cell r="Y51" t="str">
            <v>R</v>
          </cell>
          <cell r="Z51" t="str">
            <v>/</v>
          </cell>
          <cell r="AA51" t="str">
            <v>B</v>
          </cell>
          <cell r="AB51">
            <v>1300</v>
          </cell>
          <cell r="AD51" t="str">
            <v xml:space="preserve">FDSF20 </v>
          </cell>
          <cell r="AE51">
            <v>5</v>
          </cell>
          <cell r="AF51">
            <v>1.65</v>
          </cell>
          <cell r="AG51">
            <v>1.5999999999999999</v>
          </cell>
          <cell r="AH51">
            <v>1.7</v>
          </cell>
          <cell r="AI51">
            <v>2.75</v>
          </cell>
          <cell r="AJ51">
            <v>2.65</v>
          </cell>
          <cell r="AK51">
            <v>2.85</v>
          </cell>
          <cell r="AL51" t="str">
            <v>246Ｎ以上</v>
          </cell>
          <cell r="AM51">
            <v>0</v>
          </cell>
          <cell r="AO51" t="str">
            <v xml:space="preserve">FDS-4F </v>
          </cell>
          <cell r="AP51" t="str">
            <v xml:space="preserve">P40 </v>
          </cell>
          <cell r="AR51" t="str">
            <v xml:space="preserve">FDSF20 </v>
          </cell>
          <cell r="AS51">
            <v>5</v>
          </cell>
          <cell r="AT51">
            <v>1.65</v>
          </cell>
          <cell r="AU51">
            <v>1.5999999999999999</v>
          </cell>
          <cell r="AV51">
            <v>1.7</v>
          </cell>
          <cell r="AW51">
            <v>2.75</v>
          </cell>
          <cell r="AX51">
            <v>2.65</v>
          </cell>
          <cell r="AY51">
            <v>2.85</v>
          </cell>
          <cell r="AZ51" t="str">
            <v>246Ｎ以上</v>
          </cell>
          <cell r="BA51">
            <v>0</v>
          </cell>
          <cell r="BC51" t="str">
            <v xml:space="preserve">RLE/DS12-18F </v>
          </cell>
          <cell r="BD51" t="str">
            <v xml:space="preserve">P65 </v>
          </cell>
          <cell r="BE51" t="str">
            <v>1300</v>
          </cell>
          <cell r="BG51" t="str">
            <v>214W</v>
          </cell>
          <cell r="BH51">
            <v>82151</v>
          </cell>
          <cell r="BL51" t="str">
            <v>486</v>
          </cell>
        </row>
        <row r="52">
          <cell r="A52">
            <v>175</v>
          </cell>
          <cell r="C52" t="str">
            <v>1A</v>
          </cell>
          <cell r="E52">
            <v>4</v>
          </cell>
          <cell r="G52" t="str">
            <v>S3</v>
          </cell>
          <cell r="R52">
            <v>2</v>
          </cell>
          <cell r="T52" t="str">
            <v>*</v>
          </cell>
          <cell r="W52" t="str">
            <v xml:space="preserve">AVSS </v>
          </cell>
          <cell r="X52" t="str">
            <v>2.0F</v>
          </cell>
          <cell r="Y52" t="str">
            <v>R</v>
          </cell>
          <cell r="Z52" t="str">
            <v>/</v>
          </cell>
          <cell r="AA52" t="str">
            <v>-</v>
          </cell>
          <cell r="AB52">
            <v>560</v>
          </cell>
          <cell r="AD52" t="str">
            <v xml:space="preserve">FDSF20 </v>
          </cell>
          <cell r="AE52">
            <v>5</v>
          </cell>
          <cell r="AF52">
            <v>1.65</v>
          </cell>
          <cell r="AG52">
            <v>1.5999999999999999</v>
          </cell>
          <cell r="AH52">
            <v>1.7</v>
          </cell>
          <cell r="AI52">
            <v>2.75</v>
          </cell>
          <cell r="AJ52">
            <v>2.65</v>
          </cell>
          <cell r="AK52">
            <v>2.85</v>
          </cell>
          <cell r="AL52" t="str">
            <v>246Ｎ以上</v>
          </cell>
          <cell r="AM52">
            <v>0</v>
          </cell>
          <cell r="AO52" t="str">
            <v xml:space="preserve">DSY-6F-B </v>
          </cell>
          <cell r="AP52" t="str">
            <v xml:space="preserve">P51 </v>
          </cell>
          <cell r="AR52" t="str">
            <v xml:space="preserve">FDSF20 </v>
          </cell>
          <cell r="AS52">
            <v>5</v>
          </cell>
          <cell r="AT52">
            <v>1.65</v>
          </cell>
          <cell r="AU52">
            <v>1.5999999999999999</v>
          </cell>
          <cell r="AV52">
            <v>1.7</v>
          </cell>
          <cell r="AW52">
            <v>2.75</v>
          </cell>
          <cell r="AX52">
            <v>2.65</v>
          </cell>
          <cell r="AY52">
            <v>2.85</v>
          </cell>
          <cell r="AZ52" t="str">
            <v>246Ｎ以上</v>
          </cell>
          <cell r="BA52">
            <v>0</v>
          </cell>
          <cell r="BC52" t="str">
            <v xml:space="preserve">RLE/DS12-18F </v>
          </cell>
          <cell r="BD52" t="str">
            <v xml:space="preserve">P61 </v>
          </cell>
          <cell r="BE52" t="str">
            <v xml:space="preserve"> 560</v>
          </cell>
          <cell r="BG52" t="str">
            <v>214W</v>
          </cell>
          <cell r="BH52">
            <v>82151</v>
          </cell>
          <cell r="BI52" t="str">
            <v>435</v>
          </cell>
          <cell r="BK52" t="str">
            <v>435</v>
          </cell>
          <cell r="BL52" t="str">
            <v>482</v>
          </cell>
        </row>
        <row r="53">
          <cell r="A53">
            <v>176</v>
          </cell>
          <cell r="C53" t="str">
            <v>1A</v>
          </cell>
          <cell r="E53">
            <v>4</v>
          </cell>
          <cell r="G53" t="str">
            <v>S2</v>
          </cell>
          <cell r="R53">
            <v>2</v>
          </cell>
          <cell r="T53" t="str">
            <v>*</v>
          </cell>
          <cell r="W53" t="str">
            <v xml:space="preserve">AVSS </v>
          </cell>
          <cell r="X53" t="str">
            <v>2.0F</v>
          </cell>
          <cell r="Y53" t="str">
            <v>G</v>
          </cell>
          <cell r="Z53" t="str">
            <v>/</v>
          </cell>
          <cell r="AA53" t="str">
            <v>-</v>
          </cell>
          <cell r="AB53">
            <v>560</v>
          </cell>
          <cell r="AD53" t="str">
            <v xml:space="preserve">FDSF20 </v>
          </cell>
          <cell r="AE53">
            <v>5</v>
          </cell>
          <cell r="AF53">
            <v>1.65</v>
          </cell>
          <cell r="AG53">
            <v>1.5999999999999999</v>
          </cell>
          <cell r="AH53">
            <v>1.7</v>
          </cell>
          <cell r="AI53">
            <v>2.75</v>
          </cell>
          <cell r="AJ53">
            <v>2.65</v>
          </cell>
          <cell r="AK53">
            <v>2.85</v>
          </cell>
          <cell r="AL53" t="str">
            <v>246Ｎ以上</v>
          </cell>
          <cell r="AM53">
            <v>0</v>
          </cell>
          <cell r="AO53" t="str">
            <v xml:space="preserve">DSY-6F-B </v>
          </cell>
          <cell r="AP53" t="str">
            <v xml:space="preserve">P50 </v>
          </cell>
          <cell r="AR53" t="str">
            <v xml:space="preserve">FDSF20 </v>
          </cell>
          <cell r="AS53">
            <v>5</v>
          </cell>
          <cell r="AT53">
            <v>1.65</v>
          </cell>
          <cell r="AU53">
            <v>1.5999999999999999</v>
          </cell>
          <cell r="AV53">
            <v>1.7</v>
          </cell>
          <cell r="AW53">
            <v>2.75</v>
          </cell>
          <cell r="AX53">
            <v>2.65</v>
          </cell>
          <cell r="AY53">
            <v>2.85</v>
          </cell>
          <cell r="AZ53" t="str">
            <v>246Ｎ以上</v>
          </cell>
          <cell r="BA53">
            <v>0</v>
          </cell>
          <cell r="BC53" t="str">
            <v xml:space="preserve">RLE/DS12-18F </v>
          </cell>
          <cell r="BD53" t="str">
            <v xml:space="preserve">P59 </v>
          </cell>
          <cell r="BE53" t="str">
            <v xml:space="preserve"> 560</v>
          </cell>
          <cell r="BG53" t="str">
            <v>214W</v>
          </cell>
          <cell r="BH53">
            <v>82151</v>
          </cell>
          <cell r="BI53" t="str">
            <v>434</v>
          </cell>
          <cell r="BK53" t="str">
            <v>434</v>
          </cell>
          <cell r="BL53" t="str">
            <v>481</v>
          </cell>
        </row>
        <row r="54">
          <cell r="A54">
            <v>177</v>
          </cell>
          <cell r="C54" t="str">
            <v>1A</v>
          </cell>
          <cell r="E54">
            <v>4</v>
          </cell>
          <cell r="G54">
            <v>2</v>
          </cell>
          <cell r="R54">
            <v>2</v>
          </cell>
          <cell r="T54" t="str">
            <v>*</v>
          </cell>
          <cell r="W54" t="str">
            <v xml:space="preserve">AVSS </v>
          </cell>
          <cell r="X54" t="str">
            <v>2.0F</v>
          </cell>
          <cell r="Y54" t="str">
            <v>G</v>
          </cell>
          <cell r="Z54" t="str">
            <v>/</v>
          </cell>
          <cell r="AA54" t="str">
            <v>B</v>
          </cell>
          <cell r="AB54">
            <v>1300</v>
          </cell>
          <cell r="AD54" t="str">
            <v xml:space="preserve">FDSF20 </v>
          </cell>
          <cell r="AE54">
            <v>5</v>
          </cell>
          <cell r="AF54">
            <v>1.65</v>
          </cell>
          <cell r="AG54">
            <v>1.5999999999999999</v>
          </cell>
          <cell r="AH54">
            <v>1.7</v>
          </cell>
          <cell r="AI54">
            <v>2.75</v>
          </cell>
          <cell r="AJ54">
            <v>2.65</v>
          </cell>
          <cell r="AK54">
            <v>2.85</v>
          </cell>
          <cell r="AL54" t="str">
            <v>246Ｎ以上</v>
          </cell>
          <cell r="AM54">
            <v>0</v>
          </cell>
          <cell r="AO54" t="str">
            <v xml:space="preserve">FDS-4F </v>
          </cell>
          <cell r="AP54" t="str">
            <v xml:space="preserve">P39 </v>
          </cell>
          <cell r="AR54" t="str">
            <v xml:space="preserve">FDSF20 </v>
          </cell>
          <cell r="AS54">
            <v>5</v>
          </cell>
          <cell r="AT54">
            <v>1.65</v>
          </cell>
          <cell r="AU54">
            <v>1.5999999999999999</v>
          </cell>
          <cell r="AV54">
            <v>1.7</v>
          </cell>
          <cell r="AW54">
            <v>2.75</v>
          </cell>
          <cell r="AX54">
            <v>2.65</v>
          </cell>
          <cell r="AY54">
            <v>2.85</v>
          </cell>
          <cell r="AZ54" t="str">
            <v>246Ｎ以上</v>
          </cell>
          <cell r="BA54">
            <v>0</v>
          </cell>
          <cell r="BC54" t="str">
            <v xml:space="preserve">RLE/DS12-18F </v>
          </cell>
          <cell r="BD54" t="str">
            <v xml:space="preserve">P64 </v>
          </cell>
          <cell r="BE54" t="str">
            <v>1300</v>
          </cell>
          <cell r="BG54" t="str">
            <v>214W</v>
          </cell>
          <cell r="BH54">
            <v>82151</v>
          </cell>
          <cell r="BL54" t="str">
            <v>485</v>
          </cell>
        </row>
        <row r="55">
          <cell r="A55">
            <v>178</v>
          </cell>
          <cell r="B55" t="str">
            <v>50% 1A-2-20</v>
          </cell>
          <cell r="C55" t="str">
            <v>2F</v>
          </cell>
          <cell r="E55">
            <v>1</v>
          </cell>
          <cell r="G55">
            <v>5</v>
          </cell>
          <cell r="R55">
            <v>2</v>
          </cell>
          <cell r="T55" t="str">
            <v>*</v>
          </cell>
          <cell r="W55" t="str">
            <v xml:space="preserve">AVSS </v>
          </cell>
          <cell r="X55" t="str">
            <v>2.0F</v>
          </cell>
          <cell r="Y55" t="str">
            <v>G</v>
          </cell>
          <cell r="Z55" t="str">
            <v>/</v>
          </cell>
          <cell r="AA55" t="str">
            <v>B</v>
          </cell>
          <cell r="AB55">
            <v>1400</v>
          </cell>
          <cell r="AD55" t="str">
            <v xml:space="preserve">FDSF20 </v>
          </cell>
          <cell r="AE55">
            <v>5</v>
          </cell>
          <cell r="AF55">
            <v>1.65</v>
          </cell>
          <cell r="AG55">
            <v>1.5999999999999999</v>
          </cell>
          <cell r="AH55">
            <v>1.7</v>
          </cell>
          <cell r="AI55">
            <v>2.75</v>
          </cell>
          <cell r="AJ55">
            <v>2.65</v>
          </cell>
          <cell r="AK55">
            <v>2.85</v>
          </cell>
          <cell r="AL55" t="str">
            <v>246Ｎ以上</v>
          </cell>
          <cell r="AM55">
            <v>0</v>
          </cell>
          <cell r="AO55" t="str">
            <v xml:space="preserve">DS-6FA </v>
          </cell>
          <cell r="AP55" t="str">
            <v xml:space="preserve">P64 </v>
          </cell>
          <cell r="AR55" t="str">
            <v xml:space="preserve">STDCF-20 </v>
          </cell>
          <cell r="AS55">
            <v>5</v>
          </cell>
          <cell r="AT55">
            <v>1.6</v>
          </cell>
          <cell r="AU55">
            <v>1.55</v>
          </cell>
          <cell r="AV55">
            <v>1.6500000000000001</v>
          </cell>
          <cell r="AW55">
            <v>2.85</v>
          </cell>
          <cell r="AX55">
            <v>2.75</v>
          </cell>
          <cell r="AY55">
            <v>2.95</v>
          </cell>
          <cell r="AZ55" t="str">
            <v>246Ｎ以上</v>
          </cell>
          <cell r="BA55">
            <v>0</v>
          </cell>
          <cell r="BB55" t="str">
            <v>*</v>
          </cell>
          <cell r="BC55" t="str">
            <v xml:space="preserve">STDC-E-D5F </v>
          </cell>
          <cell r="BD55" t="str">
            <v xml:space="preserve">P39 </v>
          </cell>
          <cell r="BE55" t="str">
            <v>1400</v>
          </cell>
          <cell r="BG55" t="str">
            <v>214W</v>
          </cell>
          <cell r="BH55">
            <v>82153</v>
          </cell>
          <cell r="BQ55" t="str">
            <v>404</v>
          </cell>
        </row>
        <row r="56">
          <cell r="A56">
            <v>179</v>
          </cell>
          <cell r="B56" t="str">
            <v>50% 1A-2-19</v>
          </cell>
          <cell r="C56" t="str">
            <v>2F</v>
          </cell>
          <cell r="E56">
            <v>1</v>
          </cell>
          <cell r="G56">
            <v>4</v>
          </cell>
          <cell r="R56">
            <v>2</v>
          </cell>
          <cell r="T56" t="str">
            <v>*</v>
          </cell>
          <cell r="W56" t="str">
            <v xml:space="preserve">AVSS </v>
          </cell>
          <cell r="X56" t="str">
            <v>2.0F</v>
          </cell>
          <cell r="Y56" t="str">
            <v>L</v>
          </cell>
          <cell r="Z56" t="str">
            <v>/</v>
          </cell>
          <cell r="AA56" t="str">
            <v>-</v>
          </cell>
          <cell r="AB56">
            <v>1400</v>
          </cell>
          <cell r="AD56" t="str">
            <v xml:space="preserve">FDSF20 </v>
          </cell>
          <cell r="AE56">
            <v>5</v>
          </cell>
          <cell r="AF56">
            <v>1.65</v>
          </cell>
          <cell r="AG56">
            <v>1.5999999999999999</v>
          </cell>
          <cell r="AH56">
            <v>1.7</v>
          </cell>
          <cell r="AI56">
            <v>2.75</v>
          </cell>
          <cell r="AJ56">
            <v>2.65</v>
          </cell>
          <cell r="AK56">
            <v>2.85</v>
          </cell>
          <cell r="AL56" t="str">
            <v>246Ｎ以上</v>
          </cell>
          <cell r="AM56">
            <v>0</v>
          </cell>
          <cell r="AO56" t="str">
            <v xml:space="preserve">DS-6FA </v>
          </cell>
          <cell r="AP56" t="str">
            <v xml:space="preserve">#8B </v>
          </cell>
          <cell r="AR56" t="str">
            <v xml:space="preserve">STDCF-20 </v>
          </cell>
          <cell r="AS56">
            <v>5</v>
          </cell>
          <cell r="AT56">
            <v>1.6</v>
          </cell>
          <cell r="AU56">
            <v>1.55</v>
          </cell>
          <cell r="AV56">
            <v>1.6500000000000001</v>
          </cell>
          <cell r="AW56">
            <v>2.85</v>
          </cell>
          <cell r="AX56">
            <v>2.75</v>
          </cell>
          <cell r="AY56">
            <v>2.95</v>
          </cell>
          <cell r="AZ56" t="str">
            <v>246Ｎ以上</v>
          </cell>
          <cell r="BA56">
            <v>0</v>
          </cell>
          <cell r="BB56" t="str">
            <v>*</v>
          </cell>
          <cell r="BC56" t="str">
            <v xml:space="preserve">STDC-E-D5F </v>
          </cell>
          <cell r="BD56" t="str">
            <v xml:space="preserve">P79 </v>
          </cell>
          <cell r="BE56" t="str">
            <v>1400</v>
          </cell>
          <cell r="BG56" t="str">
            <v>214W</v>
          </cell>
          <cell r="BH56">
            <v>82153</v>
          </cell>
          <cell r="BQ56" t="str">
            <v>401</v>
          </cell>
        </row>
        <row r="57">
          <cell r="A57">
            <v>180</v>
          </cell>
          <cell r="B57" t="str">
            <v>50% 1A-2-18</v>
          </cell>
          <cell r="C57" t="str">
            <v>2F</v>
          </cell>
          <cell r="E57">
            <v>1</v>
          </cell>
          <cell r="G57">
            <v>3</v>
          </cell>
          <cell r="R57">
            <v>2</v>
          </cell>
          <cell r="T57" t="str">
            <v>*</v>
          </cell>
          <cell r="W57" t="str">
            <v xml:space="preserve">AVSS </v>
          </cell>
          <cell r="X57" t="str">
            <v>2.0F</v>
          </cell>
          <cell r="Y57" t="str">
            <v>R</v>
          </cell>
          <cell r="Z57" t="str">
            <v>/</v>
          </cell>
          <cell r="AA57" t="str">
            <v>B</v>
          </cell>
          <cell r="AB57">
            <v>1400</v>
          </cell>
          <cell r="AD57" t="str">
            <v xml:space="preserve">FDSF20 </v>
          </cell>
          <cell r="AE57">
            <v>5</v>
          </cell>
          <cell r="AF57">
            <v>1.65</v>
          </cell>
          <cell r="AG57">
            <v>1.5999999999999999</v>
          </cell>
          <cell r="AH57">
            <v>1.7</v>
          </cell>
          <cell r="AI57">
            <v>2.75</v>
          </cell>
          <cell r="AJ57">
            <v>2.65</v>
          </cell>
          <cell r="AK57">
            <v>2.85</v>
          </cell>
          <cell r="AL57" t="str">
            <v>246Ｎ以上</v>
          </cell>
          <cell r="AM57">
            <v>0</v>
          </cell>
          <cell r="AO57" t="str">
            <v xml:space="preserve">DS-6FA </v>
          </cell>
          <cell r="AP57" t="str">
            <v xml:space="preserve">P65 </v>
          </cell>
          <cell r="AR57" t="str">
            <v xml:space="preserve">STDCF-20 </v>
          </cell>
          <cell r="AS57">
            <v>5</v>
          </cell>
          <cell r="AT57">
            <v>1.6</v>
          </cell>
          <cell r="AU57">
            <v>1.55</v>
          </cell>
          <cell r="AV57">
            <v>1.6500000000000001</v>
          </cell>
          <cell r="AW57">
            <v>2.85</v>
          </cell>
          <cell r="AX57">
            <v>2.75</v>
          </cell>
          <cell r="AY57">
            <v>2.95</v>
          </cell>
          <cell r="AZ57" t="str">
            <v>246Ｎ以上</v>
          </cell>
          <cell r="BA57">
            <v>0</v>
          </cell>
          <cell r="BB57" t="str">
            <v>*</v>
          </cell>
          <cell r="BC57" t="str">
            <v xml:space="preserve">STDC-E-D5F </v>
          </cell>
          <cell r="BD57" t="str">
            <v xml:space="preserve">P40 </v>
          </cell>
          <cell r="BE57" t="str">
            <v>1400</v>
          </cell>
          <cell r="BG57" t="str">
            <v>214W</v>
          </cell>
          <cell r="BH57">
            <v>82153</v>
          </cell>
          <cell r="BQ57" t="str">
            <v>405</v>
          </cell>
        </row>
        <row r="58">
          <cell r="A58">
            <v>181</v>
          </cell>
          <cell r="B58" t="str">
            <v>50% 1A-2-S4</v>
          </cell>
          <cell r="C58" t="str">
            <v>2F</v>
          </cell>
          <cell r="E58">
            <v>1</v>
          </cell>
          <cell r="G58" t="str">
            <v>S2</v>
          </cell>
          <cell r="R58">
            <v>2</v>
          </cell>
          <cell r="T58" t="str">
            <v>*</v>
          </cell>
          <cell r="W58" t="str">
            <v xml:space="preserve">AVSS </v>
          </cell>
          <cell r="X58" t="str">
            <v>2.0F</v>
          </cell>
          <cell r="Y58" t="str">
            <v>G</v>
          </cell>
          <cell r="Z58" t="str">
            <v>/</v>
          </cell>
          <cell r="AA58" t="str">
            <v>-</v>
          </cell>
          <cell r="AB58">
            <v>415</v>
          </cell>
          <cell r="AD58" t="str">
            <v xml:space="preserve">FDSF20 </v>
          </cell>
          <cell r="AE58">
            <v>5</v>
          </cell>
          <cell r="AF58">
            <v>1.65</v>
          </cell>
          <cell r="AG58">
            <v>1.5999999999999999</v>
          </cell>
          <cell r="AH58">
            <v>1.7</v>
          </cell>
          <cell r="AI58">
            <v>2.75</v>
          </cell>
          <cell r="AJ58">
            <v>2.65</v>
          </cell>
          <cell r="AK58">
            <v>2.85</v>
          </cell>
          <cell r="AL58" t="str">
            <v>246Ｎ以上</v>
          </cell>
          <cell r="AM58">
            <v>0</v>
          </cell>
          <cell r="AO58" t="str">
            <v xml:space="preserve">DSY-6F-B </v>
          </cell>
          <cell r="AP58" t="str">
            <v xml:space="preserve">P54 </v>
          </cell>
          <cell r="AR58" t="str">
            <v xml:space="preserve">STDCF-20 </v>
          </cell>
          <cell r="AS58">
            <v>5</v>
          </cell>
          <cell r="AT58">
            <v>1.6</v>
          </cell>
          <cell r="AU58">
            <v>1.55</v>
          </cell>
          <cell r="AV58">
            <v>1.6500000000000001</v>
          </cell>
          <cell r="AW58">
            <v>2.85</v>
          </cell>
          <cell r="AX58">
            <v>2.75</v>
          </cell>
          <cell r="AY58">
            <v>2.95</v>
          </cell>
          <cell r="AZ58" t="str">
            <v>246Ｎ以上</v>
          </cell>
          <cell r="BA58">
            <v>0</v>
          </cell>
          <cell r="BB58" t="str">
            <v>*</v>
          </cell>
          <cell r="BC58" t="str">
            <v xml:space="preserve">STDC-E-D5F </v>
          </cell>
          <cell r="BD58" t="str">
            <v xml:space="preserve">P80 </v>
          </cell>
          <cell r="BE58" t="str">
            <v xml:space="preserve"> 415</v>
          </cell>
          <cell r="BG58" t="str">
            <v>214W</v>
          </cell>
          <cell r="BH58">
            <v>82153</v>
          </cell>
          <cell r="BQ58" t="str">
            <v>402</v>
          </cell>
        </row>
        <row r="59">
          <cell r="A59">
            <v>182</v>
          </cell>
          <cell r="B59" t="str">
            <v>50% 1A-2-S3</v>
          </cell>
          <cell r="C59" t="str">
            <v>2F</v>
          </cell>
          <cell r="E59">
            <v>1</v>
          </cell>
          <cell r="G59" t="str">
            <v>S1</v>
          </cell>
          <cell r="R59">
            <v>2</v>
          </cell>
          <cell r="T59" t="str">
            <v>*</v>
          </cell>
          <cell r="W59" t="str">
            <v xml:space="preserve">AVSS </v>
          </cell>
          <cell r="X59" t="str">
            <v>2.0F</v>
          </cell>
          <cell r="Y59" t="str">
            <v>R</v>
          </cell>
          <cell r="Z59" t="str">
            <v>/</v>
          </cell>
          <cell r="AA59" t="str">
            <v>-</v>
          </cell>
          <cell r="AB59">
            <v>415</v>
          </cell>
          <cell r="AD59" t="str">
            <v xml:space="preserve">FDSF20 </v>
          </cell>
          <cell r="AE59">
            <v>5</v>
          </cell>
          <cell r="AF59">
            <v>1.65</v>
          </cell>
          <cell r="AG59">
            <v>1.5999999999999999</v>
          </cell>
          <cell r="AH59">
            <v>1.7</v>
          </cell>
          <cell r="AI59">
            <v>2.75</v>
          </cell>
          <cell r="AJ59">
            <v>2.65</v>
          </cell>
          <cell r="AK59">
            <v>2.85</v>
          </cell>
          <cell r="AL59" t="str">
            <v>246Ｎ以上</v>
          </cell>
          <cell r="AM59">
            <v>0</v>
          </cell>
          <cell r="AO59" t="str">
            <v xml:space="preserve">DSY-6F-B </v>
          </cell>
          <cell r="AP59" t="str">
            <v xml:space="preserve">P55 </v>
          </cell>
          <cell r="AR59" t="str">
            <v xml:space="preserve">STDCF-20 </v>
          </cell>
          <cell r="AS59">
            <v>5</v>
          </cell>
          <cell r="AT59">
            <v>1.6</v>
          </cell>
          <cell r="AU59">
            <v>1.55</v>
          </cell>
          <cell r="AV59">
            <v>1.6500000000000001</v>
          </cell>
          <cell r="AW59">
            <v>2.85</v>
          </cell>
          <cell r="AX59">
            <v>2.75</v>
          </cell>
          <cell r="AY59">
            <v>2.95</v>
          </cell>
          <cell r="AZ59" t="str">
            <v>246Ｎ以上</v>
          </cell>
          <cell r="BA59">
            <v>0</v>
          </cell>
          <cell r="BB59" t="str">
            <v>*</v>
          </cell>
          <cell r="BC59" t="str">
            <v xml:space="preserve">STDC-E-D5F </v>
          </cell>
          <cell r="BD59" t="str">
            <v xml:space="preserve">P81 </v>
          </cell>
          <cell r="BE59" t="str">
            <v xml:space="preserve"> 415</v>
          </cell>
          <cell r="BG59" t="str">
            <v>214W</v>
          </cell>
          <cell r="BH59">
            <v>82153</v>
          </cell>
          <cell r="BQ59" t="str">
            <v>403</v>
          </cell>
        </row>
        <row r="60">
          <cell r="A60">
            <v>400</v>
          </cell>
          <cell r="C60" t="str">
            <v>214W</v>
          </cell>
          <cell r="E60">
            <v>186</v>
          </cell>
          <cell r="R60">
            <v>4</v>
          </cell>
          <cell r="T60" t="str">
            <v>*</v>
          </cell>
          <cell r="W60" t="str">
            <v xml:space="preserve">AVSS </v>
          </cell>
          <cell r="X60" t="str">
            <v>2.0F</v>
          </cell>
          <cell r="Y60" t="str">
            <v>B</v>
          </cell>
          <cell r="Z60" t="str">
            <v>/</v>
          </cell>
          <cell r="AA60" t="str">
            <v>-</v>
          </cell>
          <cell r="AB60">
            <v>315</v>
          </cell>
          <cell r="AD60" t="str">
            <v>F030</v>
          </cell>
          <cell r="AE60">
            <v>4.5</v>
          </cell>
          <cell r="AF60">
            <v>1.5</v>
          </cell>
          <cell r="AG60">
            <v>1.45</v>
          </cell>
          <cell r="AH60">
            <v>1.55</v>
          </cell>
          <cell r="AI60">
            <v>2.95</v>
          </cell>
          <cell r="AJ60">
            <v>2.85</v>
          </cell>
          <cell r="AK60">
            <v>3.0500000000000003</v>
          </cell>
          <cell r="AL60" t="str">
            <v>246Ｎ以上</v>
          </cell>
          <cell r="AM60">
            <v>0</v>
          </cell>
          <cell r="AN60" t="str">
            <v>*</v>
          </cell>
          <cell r="AO60" t="str">
            <v>MC-DEF-1F-B</v>
          </cell>
          <cell r="AP60" t="str">
            <v xml:space="preserve">K23 </v>
          </cell>
          <cell r="AR60" t="str">
            <v>FDSM20</v>
          </cell>
          <cell r="AS60">
            <v>5</v>
          </cell>
          <cell r="AT60">
            <v>1.85</v>
          </cell>
          <cell r="AU60">
            <v>1.8</v>
          </cell>
          <cell r="AV60">
            <v>1.9000000000000001</v>
          </cell>
          <cell r="AW60">
            <v>3</v>
          </cell>
          <cell r="AX60">
            <v>2.9</v>
          </cell>
          <cell r="AY60">
            <v>3.1</v>
          </cell>
          <cell r="AZ60" t="str">
            <v>246Ｎ以上</v>
          </cell>
          <cell r="BA60">
            <v>0</v>
          </cell>
          <cell r="BC60" t="str">
            <v>DSY-1MACP</v>
          </cell>
          <cell r="BD60" t="str">
            <v xml:space="preserve">K1G </v>
          </cell>
          <cell r="BE60">
            <v>320</v>
          </cell>
          <cell r="BF60">
            <v>-5</v>
          </cell>
          <cell r="BG60" t="str">
            <v>214W</v>
          </cell>
          <cell r="BH60">
            <v>82186</v>
          </cell>
          <cell r="BR60">
            <v>101</v>
          </cell>
        </row>
        <row r="61">
          <cell r="A61">
            <v>401</v>
          </cell>
          <cell r="C61" t="str">
            <v>214W</v>
          </cell>
          <cell r="E61">
            <v>187</v>
          </cell>
          <cell r="H61" t="str">
            <v>214W</v>
          </cell>
          <cell r="J61">
            <v>187</v>
          </cell>
          <cell r="R61">
            <v>4</v>
          </cell>
          <cell r="U61" t="str">
            <v>*</v>
          </cell>
          <cell r="W61" t="str">
            <v xml:space="preserve">AVSS </v>
          </cell>
          <cell r="X61" t="str">
            <v>2.0F</v>
          </cell>
          <cell r="Y61" t="str">
            <v>B</v>
          </cell>
          <cell r="Z61" t="str">
            <v>/</v>
          </cell>
          <cell r="AA61" t="str">
            <v>-</v>
          </cell>
          <cell r="AB61">
            <v>365</v>
          </cell>
          <cell r="AD61" t="str">
            <v>F030</v>
          </cell>
          <cell r="AE61">
            <v>4.5</v>
          </cell>
          <cell r="AF61">
            <v>1.5</v>
          </cell>
          <cell r="AG61">
            <v>1.45</v>
          </cell>
          <cell r="AH61">
            <v>1.55</v>
          </cell>
          <cell r="AI61">
            <v>2.95</v>
          </cell>
          <cell r="AJ61">
            <v>2.85</v>
          </cell>
          <cell r="AK61">
            <v>3.0500000000000003</v>
          </cell>
          <cell r="AL61" t="str">
            <v>246Ｎ以上</v>
          </cell>
          <cell r="AM61">
            <v>0</v>
          </cell>
          <cell r="AN61" t="str">
            <v>*</v>
          </cell>
          <cell r="AO61" t="str">
            <v>MC-DEF-1F-B</v>
          </cell>
          <cell r="AP61" t="str">
            <v>Z53</v>
          </cell>
          <cell r="AQ61" t="str">
            <v>*</v>
          </cell>
          <cell r="AR61" t="str">
            <v>LA206</v>
          </cell>
          <cell r="AS61">
            <v>6.5</v>
          </cell>
          <cell r="AT61">
            <v>2.5</v>
          </cell>
          <cell r="AU61">
            <v>2.4500000000000002</v>
          </cell>
          <cell r="AV61">
            <v>2.5499999999999998</v>
          </cell>
          <cell r="AW61">
            <v>3.8</v>
          </cell>
          <cell r="AX61">
            <v>3.6999999999999997</v>
          </cell>
          <cell r="AY61">
            <v>3.9</v>
          </cell>
          <cell r="AZ61" t="str">
            <v>246Ｎ以上</v>
          </cell>
          <cell r="BA61">
            <v>0</v>
          </cell>
          <cell r="BD61" t="str">
            <v>Z11</v>
          </cell>
          <cell r="BE61">
            <v>370</v>
          </cell>
          <cell r="BF61">
            <v>-5</v>
          </cell>
          <cell r="BG61" t="str">
            <v>214W</v>
          </cell>
          <cell r="BH61">
            <v>82187</v>
          </cell>
          <cell r="BS61">
            <v>101</v>
          </cell>
        </row>
        <row r="62">
          <cell r="A62">
            <v>402</v>
          </cell>
          <cell r="C62" t="str">
            <v>564N</v>
          </cell>
          <cell r="E62">
            <v>187</v>
          </cell>
          <cell r="R62">
            <v>4</v>
          </cell>
          <cell r="T62" t="str">
            <v>*</v>
          </cell>
          <cell r="W62" t="str">
            <v xml:space="preserve">AVSS </v>
          </cell>
          <cell r="X62" t="str">
            <v>2.0F</v>
          </cell>
          <cell r="Y62" t="str">
            <v>B</v>
          </cell>
          <cell r="Z62" t="str">
            <v>/</v>
          </cell>
          <cell r="AA62" t="str">
            <v>-</v>
          </cell>
          <cell r="AB62">
            <v>690</v>
          </cell>
          <cell r="AD62" t="str">
            <v>F030</v>
          </cell>
          <cell r="AE62">
            <v>4.5</v>
          </cell>
          <cell r="AF62">
            <v>1.5</v>
          </cell>
          <cell r="AG62">
            <v>1.45</v>
          </cell>
          <cell r="AH62">
            <v>1.55</v>
          </cell>
          <cell r="AI62">
            <v>2.95</v>
          </cell>
          <cell r="AJ62">
            <v>2.85</v>
          </cell>
          <cell r="AK62">
            <v>3.0500000000000003</v>
          </cell>
          <cell r="AL62" t="str">
            <v>246Ｎ以上</v>
          </cell>
          <cell r="AM62">
            <v>0</v>
          </cell>
          <cell r="AN62" t="str">
            <v>*</v>
          </cell>
          <cell r="AO62" t="str">
            <v>MC-DEF-1F-B</v>
          </cell>
          <cell r="AP62" t="str">
            <v>Z53</v>
          </cell>
          <cell r="AR62" t="str">
            <v>LA206</v>
          </cell>
          <cell r="AS62">
            <v>6.5</v>
          </cell>
          <cell r="AT62">
            <v>2.5</v>
          </cell>
          <cell r="AU62">
            <v>2.4500000000000002</v>
          </cell>
          <cell r="AV62">
            <v>2.5499999999999998</v>
          </cell>
          <cell r="AW62">
            <v>3.8</v>
          </cell>
          <cell r="AX62">
            <v>3.6999999999999997</v>
          </cell>
          <cell r="AY62">
            <v>3.9</v>
          </cell>
          <cell r="AZ62" t="str">
            <v>246Ｎ以上</v>
          </cell>
          <cell r="BA62">
            <v>0</v>
          </cell>
          <cell r="BD62" t="str">
            <v>Z11</v>
          </cell>
          <cell r="BE62">
            <v>695</v>
          </cell>
          <cell r="BF62">
            <v>-5</v>
          </cell>
          <cell r="BG62" t="str">
            <v>564N</v>
          </cell>
          <cell r="BH62">
            <v>82187</v>
          </cell>
          <cell r="BU62">
            <v>101</v>
          </cell>
        </row>
        <row r="63">
          <cell r="A63">
            <v>403</v>
          </cell>
          <cell r="C63" t="str">
            <v>564N</v>
          </cell>
          <cell r="E63">
            <v>186</v>
          </cell>
          <cell r="R63">
            <v>4</v>
          </cell>
          <cell r="T63" t="str">
            <v>*</v>
          </cell>
          <cell r="W63" t="str">
            <v xml:space="preserve">AVSS </v>
          </cell>
          <cell r="X63" t="str">
            <v>2.0F</v>
          </cell>
          <cell r="Y63" t="str">
            <v>B</v>
          </cell>
          <cell r="Z63" t="str">
            <v>/</v>
          </cell>
          <cell r="AA63" t="str">
            <v>-</v>
          </cell>
          <cell r="AB63">
            <v>615</v>
          </cell>
          <cell r="AD63" t="str">
            <v>F030</v>
          </cell>
          <cell r="AE63">
            <v>4.5</v>
          </cell>
          <cell r="AF63">
            <v>1.5</v>
          </cell>
          <cell r="AG63">
            <v>1.45</v>
          </cell>
          <cell r="AH63">
            <v>1.55</v>
          </cell>
          <cell r="AI63">
            <v>2.95</v>
          </cell>
          <cell r="AJ63">
            <v>2.85</v>
          </cell>
          <cell r="AK63">
            <v>3.0500000000000003</v>
          </cell>
          <cell r="AL63" t="str">
            <v>246Ｎ以上</v>
          </cell>
          <cell r="AM63">
            <v>0</v>
          </cell>
          <cell r="AN63" t="str">
            <v>*</v>
          </cell>
          <cell r="AO63" t="str">
            <v>MC-DEF-1F-B</v>
          </cell>
          <cell r="AP63" t="str">
            <v xml:space="preserve">K23 </v>
          </cell>
          <cell r="AR63" t="str">
            <v xml:space="preserve">FDSF20 </v>
          </cell>
          <cell r="AS63">
            <v>5</v>
          </cell>
          <cell r="AT63">
            <v>1.65</v>
          </cell>
          <cell r="AU63">
            <v>1.5999999999999999</v>
          </cell>
          <cell r="AV63">
            <v>1.7</v>
          </cell>
          <cell r="AW63">
            <v>2.75</v>
          </cell>
          <cell r="AX63">
            <v>2.65</v>
          </cell>
          <cell r="AY63">
            <v>2.85</v>
          </cell>
          <cell r="AZ63" t="str">
            <v>246Ｎ以上</v>
          </cell>
          <cell r="BA63">
            <v>0</v>
          </cell>
          <cell r="BD63" t="str">
            <v xml:space="preserve">K1G </v>
          </cell>
          <cell r="BE63">
            <v>615</v>
          </cell>
          <cell r="BG63" t="str">
            <v>564N</v>
          </cell>
          <cell r="BH63">
            <v>82186</v>
          </cell>
          <cell r="BT63">
            <v>101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M APR 03~"/>
      <sheetName val="BAL PPM -E4"/>
      <sheetName val="BAL PPM PU FOAM"/>
    </sheetNames>
    <sheetDataSet>
      <sheetData sheetId="0">
        <row r="2">
          <cell r="A2" t="str">
            <v>Trend charts of Supplier PPM</v>
          </cell>
        </row>
        <row r="3">
          <cell r="A3" t="str">
            <v>Supplier-Varroc Engg.Pvt.Ltd.(E4-Aurangabad)</v>
          </cell>
        </row>
        <row r="4">
          <cell r="A4" t="str">
            <v>Period</v>
          </cell>
          <cell r="C4" t="str">
            <v>PPM</v>
          </cell>
          <cell r="E4" t="str">
            <v>PPM</v>
          </cell>
          <cell r="G4" t="str">
            <v>Sigma Level</v>
          </cell>
          <cell r="I4" t="str">
            <v>Sigma Level</v>
          </cell>
        </row>
        <row r="5">
          <cell r="C5" t="str">
            <v xml:space="preserve"> M/s.BAL </v>
          </cell>
          <cell r="E5" t="str">
            <v xml:space="preserve">M/s.VEPL </v>
          </cell>
          <cell r="G5" t="str">
            <v xml:space="preserve"> M/s.BAL </v>
          </cell>
          <cell r="I5" t="str">
            <v xml:space="preserve">M/s.VEPL </v>
          </cell>
        </row>
        <row r="6">
          <cell r="C6" t="str">
            <v>E-4 Div. PPM (100254)</v>
          </cell>
          <cell r="D6" t="str">
            <v>PU Div. PPM (104322)</v>
          </cell>
          <cell r="E6" t="str">
            <v>E-4 Div.  (100254)</v>
          </cell>
          <cell r="F6" t="str">
            <v>PU Div. (104322)</v>
          </cell>
          <cell r="G6" t="str">
            <v>E-4 Div.  (100254)</v>
          </cell>
          <cell r="H6" t="str">
            <v>PU Div. (104322)</v>
          </cell>
          <cell r="I6" t="str">
            <v>E-4 Div.  (100254)</v>
          </cell>
          <cell r="J6" t="str">
            <v>PU Div. (104322)</v>
          </cell>
        </row>
        <row r="7">
          <cell r="A7" t="str">
            <v>APR-03</v>
          </cell>
          <cell r="C7">
            <v>289</v>
          </cell>
          <cell r="D7">
            <v>271</v>
          </cell>
          <cell r="E7">
            <v>57</v>
          </cell>
          <cell r="F7">
            <v>271</v>
          </cell>
          <cell r="H7">
            <v>5</v>
          </cell>
          <cell r="I7" t="str">
            <v>--</v>
          </cell>
          <cell r="J7" t="str">
            <v>--</v>
          </cell>
        </row>
        <row r="8">
          <cell r="A8" t="str">
            <v>MAY-03</v>
          </cell>
          <cell r="C8">
            <v>1574</v>
          </cell>
          <cell r="D8">
            <v>2208</v>
          </cell>
          <cell r="E8">
            <v>736</v>
          </cell>
          <cell r="F8">
            <v>2208</v>
          </cell>
          <cell r="G8">
            <v>4</v>
          </cell>
          <cell r="H8">
            <v>4</v>
          </cell>
          <cell r="I8">
            <v>4.68</v>
          </cell>
          <cell r="J8">
            <v>4</v>
          </cell>
        </row>
        <row r="9">
          <cell r="A9" t="str">
            <v>JUNE'03</v>
          </cell>
          <cell r="C9">
            <v>1214</v>
          </cell>
          <cell r="D9">
            <v>304</v>
          </cell>
          <cell r="E9">
            <v>516</v>
          </cell>
          <cell r="F9">
            <v>183</v>
          </cell>
          <cell r="G9">
            <v>4</v>
          </cell>
          <cell r="H9">
            <v>5</v>
          </cell>
          <cell r="I9">
            <v>4.78</v>
          </cell>
          <cell r="J9">
            <v>5.0599999999999996</v>
          </cell>
        </row>
        <row r="10">
          <cell r="A10" t="str">
            <v>JULY'03</v>
          </cell>
          <cell r="C10">
            <v>70</v>
          </cell>
          <cell r="D10">
            <v>274</v>
          </cell>
          <cell r="E10">
            <v>70</v>
          </cell>
          <cell r="F10">
            <v>59</v>
          </cell>
          <cell r="G10">
            <v>5</v>
          </cell>
          <cell r="H10">
            <v>5</v>
          </cell>
          <cell r="I10">
            <v>5</v>
          </cell>
          <cell r="J10">
            <v>5.35</v>
          </cell>
        </row>
        <row r="11">
          <cell r="A11" t="str">
            <v>AUG'03</v>
          </cell>
          <cell r="C11">
            <v>1227</v>
          </cell>
          <cell r="D11">
            <v>148</v>
          </cell>
          <cell r="E11">
            <v>682</v>
          </cell>
          <cell r="F11">
            <v>148</v>
          </cell>
          <cell r="G11">
            <v>4</v>
          </cell>
          <cell r="H11">
            <v>5</v>
          </cell>
          <cell r="I11">
            <v>4.7</v>
          </cell>
          <cell r="J11">
            <v>5</v>
          </cell>
        </row>
        <row r="12">
          <cell r="A12" t="str">
            <v>SEP'03</v>
          </cell>
          <cell r="C12">
            <v>469</v>
          </cell>
          <cell r="D12">
            <v>228</v>
          </cell>
          <cell r="E12">
            <v>469</v>
          </cell>
          <cell r="F12">
            <v>228</v>
          </cell>
          <cell r="G12">
            <v>4</v>
          </cell>
          <cell r="H12">
            <v>5</v>
          </cell>
          <cell r="I12">
            <v>4</v>
          </cell>
          <cell r="J12">
            <v>5</v>
          </cell>
        </row>
        <row r="13">
          <cell r="A13" t="str">
            <v>OCT'03</v>
          </cell>
          <cell r="C13">
            <v>219</v>
          </cell>
          <cell r="D13">
            <v>0</v>
          </cell>
          <cell r="E13">
            <v>219</v>
          </cell>
          <cell r="F13">
            <v>0</v>
          </cell>
          <cell r="G13">
            <v>5</v>
          </cell>
          <cell r="H13">
            <v>6</v>
          </cell>
          <cell r="I13">
            <v>5</v>
          </cell>
          <cell r="J13">
            <v>6</v>
          </cell>
        </row>
        <row r="14">
          <cell r="A14" t="str">
            <v>NOV'03</v>
          </cell>
          <cell r="C14">
            <v>1055</v>
          </cell>
          <cell r="D14">
            <v>61</v>
          </cell>
          <cell r="E14">
            <v>834</v>
          </cell>
          <cell r="F14">
            <v>0</v>
          </cell>
          <cell r="G14">
            <v>4</v>
          </cell>
          <cell r="H14">
            <v>5</v>
          </cell>
          <cell r="I14">
            <v>4</v>
          </cell>
          <cell r="J14">
            <v>6</v>
          </cell>
        </row>
        <row r="16">
          <cell r="A16" t="str">
            <v>Note:-</v>
          </cell>
          <cell r="B16" t="str">
            <v>M/s.VEPL PPM revised by excluding rejection due to M/s BAL contribution</v>
          </cell>
        </row>
        <row r="17">
          <cell r="B17" t="str">
            <v>and development rejection (Justification for exclusion is indicated for</v>
          </cell>
        </row>
        <row r="18">
          <cell r="B18" t="str">
            <v xml:space="preserve"> each item in Sky Blue Colour and lavender colour respectively)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"/>
      <sheetName val="品番明細"/>
      <sheetName val="参考"/>
      <sheetName val="比較"/>
      <sheetName val="受注残"/>
      <sheetName val="３発デ－タ"/>
      <sheetName val="ピポット"/>
      <sheetName val="マスタ－"/>
      <sheetName val="３発デ_タ"/>
      <sheetName val="①評価項目_メーカー"/>
      <sheetName val="コード表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GEIMPROV"/>
      <sheetName val="OEE "/>
      <sheetName val="AVAILABILITY"/>
      <sheetName val="NOMATERIAL"/>
      <sheetName val="LINEORG"/>
      <sheetName val="BREAKDOWN"/>
      <sheetName val="PERFORMANCE"/>
      <sheetName val="ANDONLOSS"/>
      <sheetName val="QUALITY"/>
      <sheetName val="ZERODEFECT"/>
      <sheetName val="VISUALDEF"/>
      <sheetName val="FINALDEF"/>
      <sheetName val="RFT"/>
      <sheetName val="ASSLYERROR"/>
      <sheetName val="FIELD"/>
      <sheetName val="QMATRIX"/>
      <sheetName val="PDI SCOOTER 2S"/>
      <sheetName val="HOWQUA"/>
      <sheetName val="SPEED"/>
      <sheetName val="ENGINEPERSHIFT"/>
      <sheetName val="OUTPUT"/>
      <sheetName val="HOWPROD"/>
      <sheetName val="COST "/>
      <sheetName val="COST- HOW "/>
      <sheetName val="RNT"/>
      <sheetName val="DELIVERY "/>
      <sheetName val="SAFETY"/>
      <sheetName val="HOSAF"/>
      <sheetName val="STAGIMPR"/>
      <sheetName val="MORALE"/>
      <sheetName val="Bearing noise"/>
      <sheetName val="평가자13"/>
      <sheetName val="ghorpade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id Descriptions"/>
      <sheetName val="Project Details"/>
      <sheetName val="Group Details"/>
      <sheetName val="Range"/>
      <sheetName val="TOC"/>
      <sheetName val="GroupRank"/>
      <sheetName val="SuperGroupRank"/>
      <sheetName val="CoverPage"/>
      <sheetName val="dashboard"/>
      <sheetName val="score trends"/>
      <sheetName val="priority analysis"/>
      <sheetName val="standards trend"/>
      <sheetName val="service timing"/>
      <sheetName val="Fix it First Time"/>
      <sheetName val="Mgmt Rpt Data - 1"/>
      <sheetName val="Mgmt Data - 2"/>
      <sheetName val="priority analysis(mgmt sum)"/>
      <sheetName val="score card (mgmt sum)"/>
      <sheetName val="Slide Mgmt"/>
      <sheetName val="Sample Indo"/>
      <sheetName val="Sample MY"/>
      <sheetName val="Sample India"/>
      <sheetName val="Sample PH"/>
      <sheetName val="Sample TH"/>
      <sheetName val="Factor &amp; Attr"/>
      <sheetName val="Product Problems"/>
      <sheetName val="Parts"/>
      <sheetName val="2005 D-CSI Honda Korea TEMPLATE"/>
      <sheetName val="県別ﾏﾙﾁ"/>
      <sheetName val="ﾃﾞｰﾀﾍﾞｰｽ"/>
      <sheetName val="standards trend (4)"/>
      <sheetName val="Sales Initiation (5)"/>
      <sheetName val="Timing-1 (6)"/>
      <sheetName val="dashboard (1)"/>
      <sheetName val="HPRO(5)-A"/>
    </sheetNames>
    <sheetDataSet>
      <sheetData sheetId="0" refreshError="1"/>
      <sheetData sheetId="1" refreshError="1"/>
      <sheetData sheetId="2" refreshError="1"/>
      <sheetData sheetId="3" refreshError="1">
        <row r="306">
          <cell r="A306" t="str">
            <v>Korea</v>
          </cell>
          <cell r="B306" t="str">
            <v>UniqueName</v>
          </cell>
          <cell r="C306" t="str">
            <v>Comparison segment</v>
          </cell>
          <cell r="D306" t="str">
            <v>Ranked Type</v>
          </cell>
          <cell r="G306" t="str">
            <v>Report Type</v>
          </cell>
          <cell r="H306" t="str">
            <v>Code</v>
          </cell>
          <cell r="I306" t="str">
            <v>Filename</v>
          </cell>
        </row>
        <row r="307">
          <cell r="A307">
            <v>1</v>
          </cell>
          <cell r="B307" t="str">
            <v>Study Total</v>
          </cell>
          <cell r="C307" t="str">
            <v>Study Total</v>
          </cell>
          <cell r="E307" t="str">
            <v>Best Dealer</v>
          </cell>
          <cell r="F307" t="str">
            <v>Study Total.honda</v>
          </cell>
          <cell r="G307" t="str">
            <v>Study Total</v>
          </cell>
          <cell r="H307" t="str">
            <v>01</v>
          </cell>
          <cell r="I307" t="str">
            <v>Study Total.honda.05H2.csi.01.082</v>
          </cell>
        </row>
        <row r="308">
          <cell r="A308">
            <v>2</v>
          </cell>
          <cell r="B308" t="str">
            <v>Honda</v>
          </cell>
          <cell r="C308" t="str">
            <v>Study Total</v>
          </cell>
          <cell r="E308" t="str">
            <v>Best Dealer</v>
          </cell>
          <cell r="F308" t="str">
            <v>Honda.honda</v>
          </cell>
          <cell r="G308" t="str">
            <v>Model</v>
          </cell>
          <cell r="H308" t="str">
            <v>04</v>
          </cell>
          <cell r="I308" t="str">
            <v>Honda.honda.05H2.csi.04.082</v>
          </cell>
        </row>
        <row r="309">
          <cell r="A309">
            <v>3</v>
          </cell>
          <cell r="B309" t="str">
            <v>Benz</v>
          </cell>
          <cell r="C309" t="str">
            <v>Honda</v>
          </cell>
          <cell r="E309" t="str">
            <v>Best Dealer</v>
          </cell>
          <cell r="F309" t="str">
            <v>Benz.honda</v>
          </cell>
          <cell r="G309" t="str">
            <v>Model</v>
          </cell>
          <cell r="H309" t="str">
            <v>04</v>
          </cell>
          <cell r="I309" t="str">
            <v>Benz.honda.05H2.csi.04.082</v>
          </cell>
        </row>
        <row r="310">
          <cell r="A310">
            <v>4</v>
          </cell>
          <cell r="B310" t="str">
            <v>Lexus</v>
          </cell>
          <cell r="C310" t="str">
            <v>Honda</v>
          </cell>
          <cell r="E310" t="str">
            <v>Best Dealer</v>
          </cell>
          <cell r="F310" t="str">
            <v>Lexus.honda</v>
          </cell>
          <cell r="G310" t="str">
            <v>Model</v>
          </cell>
          <cell r="H310" t="str">
            <v>04</v>
          </cell>
          <cell r="I310" t="str">
            <v>Lexus.honda.05H2.csi.04.082</v>
          </cell>
        </row>
        <row r="311">
          <cell r="A311">
            <v>5</v>
          </cell>
          <cell r="B311" t="str">
            <v>BMW</v>
          </cell>
          <cell r="C311" t="str">
            <v>Honda</v>
          </cell>
          <cell r="E311" t="str">
            <v>Best Dealer</v>
          </cell>
          <cell r="F311" t="str">
            <v>BMW.honda</v>
          </cell>
          <cell r="G311" t="str">
            <v>Model</v>
          </cell>
          <cell r="H311" t="str">
            <v>04</v>
          </cell>
          <cell r="I311" t="str">
            <v>BMW.honda.05H2.csi.04.082</v>
          </cell>
        </row>
        <row r="312">
          <cell r="A312">
            <v>6</v>
          </cell>
          <cell r="B312" t="str">
            <v>Audi</v>
          </cell>
          <cell r="C312" t="str">
            <v>Honda</v>
          </cell>
          <cell r="E312" t="str">
            <v>Best Dealer</v>
          </cell>
          <cell r="F312" t="str">
            <v>Audi.honda</v>
          </cell>
          <cell r="G312" t="str">
            <v>Model</v>
          </cell>
          <cell r="H312" t="str">
            <v>04</v>
          </cell>
          <cell r="I312" t="str">
            <v>Audi.honda.05H2.csi.04.082</v>
          </cell>
        </row>
        <row r="313">
          <cell r="A313">
            <v>7</v>
          </cell>
          <cell r="B313" t="str">
            <v>Hyundai</v>
          </cell>
          <cell r="C313" t="str">
            <v>Honda</v>
          </cell>
          <cell r="E313" t="str">
            <v>Best Dealer</v>
          </cell>
          <cell r="F313" t="str">
            <v>Hyundai.honda</v>
          </cell>
          <cell r="G313" t="str">
            <v>Model</v>
          </cell>
          <cell r="H313" t="str">
            <v>04</v>
          </cell>
          <cell r="I313" t="str">
            <v>Hyundai.honda.05H2.csi.04.082</v>
          </cell>
        </row>
        <row r="314">
          <cell r="A314">
            <v>8</v>
          </cell>
          <cell r="B314" t="str">
            <v>RenaultSamsung</v>
          </cell>
          <cell r="C314" t="str">
            <v>Honda</v>
          </cell>
          <cell r="E314" t="str">
            <v>Best Dealer</v>
          </cell>
          <cell r="F314" t="str">
            <v>RenaultSamsung.honda</v>
          </cell>
          <cell r="G314" t="str">
            <v>Model</v>
          </cell>
          <cell r="H314" t="str">
            <v>04</v>
          </cell>
          <cell r="I314" t="str">
            <v>RenaultSamsung.honda.05H2.csi.04.082</v>
          </cell>
        </row>
        <row r="315">
          <cell r="A315">
            <v>9</v>
          </cell>
          <cell r="B315" t="str">
            <v>Accord</v>
          </cell>
          <cell r="C315" t="str">
            <v>Honda</v>
          </cell>
          <cell r="D315" t="str">
            <v>Vehicle Type</v>
          </cell>
          <cell r="E315" t="str">
            <v>Best Dealer</v>
          </cell>
          <cell r="F315" t="str">
            <v>Accord.honda</v>
          </cell>
          <cell r="G315" t="str">
            <v>Model</v>
          </cell>
          <cell r="H315" t="str">
            <v>04</v>
          </cell>
          <cell r="I315" t="str">
            <v>Accord.honda.05H2.csi.04.082</v>
          </cell>
        </row>
        <row r="316">
          <cell r="A316">
            <v>10</v>
          </cell>
          <cell r="B316" t="str">
            <v>CR-V</v>
          </cell>
          <cell r="C316" t="str">
            <v>Honda</v>
          </cell>
          <cell r="D316" t="str">
            <v>Vehicle Type</v>
          </cell>
          <cell r="E316" t="str">
            <v>Best Dealer</v>
          </cell>
          <cell r="F316" t="str">
            <v>CR-V.honda</v>
          </cell>
          <cell r="G316" t="str">
            <v>Model</v>
          </cell>
          <cell r="H316" t="str">
            <v>04</v>
          </cell>
          <cell r="I316" t="str">
            <v>CR-V.honda.05H2.csi.04.082</v>
          </cell>
        </row>
        <row r="317">
          <cell r="A317">
            <v>11</v>
          </cell>
          <cell r="B317" t="str">
            <v>Seoul/Kyonggi/Sudokwon</v>
          </cell>
          <cell r="C317" t="str">
            <v>Study Total</v>
          </cell>
          <cell r="D317" t="str">
            <v>State</v>
          </cell>
          <cell r="E317" t="str">
            <v>Best Dealer</v>
          </cell>
          <cell r="F317" t="str">
            <v>Seoul_Kyonggi_Sudokwon.honda</v>
          </cell>
          <cell r="G317" t="str">
            <v>Region</v>
          </cell>
          <cell r="H317" t="str">
            <v>03</v>
          </cell>
          <cell r="I317" t="str">
            <v>Seoul_Kyonggi_Sudokwon.honda.05H2.csi.03.082</v>
          </cell>
        </row>
        <row r="318">
          <cell r="A318">
            <v>12</v>
          </cell>
          <cell r="B318" t="str">
            <v>Pusan</v>
          </cell>
          <cell r="C318" t="str">
            <v>Study Total</v>
          </cell>
          <cell r="D318" t="str">
            <v>State</v>
          </cell>
          <cell r="E318" t="str">
            <v>Best Dealer</v>
          </cell>
          <cell r="F318" t="str">
            <v>Pusan.honda</v>
          </cell>
          <cell r="G318" t="str">
            <v>Region</v>
          </cell>
          <cell r="H318" t="str">
            <v>03</v>
          </cell>
          <cell r="I318" t="str">
            <v>Pusan.honda.05H2.csi.03.082</v>
          </cell>
        </row>
        <row r="319">
          <cell r="A319">
            <v>13</v>
          </cell>
          <cell r="B319" t="str">
            <v>Daegu</v>
          </cell>
          <cell r="C319" t="str">
            <v>Study Total</v>
          </cell>
          <cell r="D319" t="str">
            <v>State</v>
          </cell>
          <cell r="E319" t="str">
            <v>Best Dealer</v>
          </cell>
          <cell r="F319" t="str">
            <v>Daegu.honda</v>
          </cell>
          <cell r="G319" t="str">
            <v>Region</v>
          </cell>
          <cell r="H319" t="str">
            <v>03</v>
          </cell>
          <cell r="I319" t="str">
            <v>Daegu.honda.05H2.csi.03.082</v>
          </cell>
        </row>
        <row r="320">
          <cell r="A320">
            <v>14</v>
          </cell>
          <cell r="B320" t="str">
            <v>Gwangju</v>
          </cell>
          <cell r="C320" t="str">
            <v>Study Total</v>
          </cell>
          <cell r="D320" t="str">
            <v>State</v>
          </cell>
          <cell r="E320" t="str">
            <v>Best Dealer</v>
          </cell>
          <cell r="F320" t="str">
            <v>Gwangju.honda</v>
          </cell>
          <cell r="G320" t="str">
            <v>Region</v>
          </cell>
          <cell r="H320" t="str">
            <v>03</v>
          </cell>
          <cell r="I320" t="str">
            <v>Gwangju.honda.05H2.csi.03.082</v>
          </cell>
        </row>
        <row r="321">
          <cell r="A321">
            <v>15</v>
          </cell>
          <cell r="B321" t="str">
            <v>Taejon</v>
          </cell>
          <cell r="C321" t="str">
            <v>Study Total</v>
          </cell>
          <cell r="D321" t="str">
            <v>State</v>
          </cell>
          <cell r="E321" t="str">
            <v>Best Dealer</v>
          </cell>
          <cell r="F321" t="str">
            <v>Taejon.honda</v>
          </cell>
          <cell r="G321" t="str">
            <v>Region</v>
          </cell>
          <cell r="H321" t="str">
            <v>03</v>
          </cell>
          <cell r="I321" t="str">
            <v>Taejon.honda.05H2.csi.03.082</v>
          </cell>
        </row>
        <row r="322">
          <cell r="A322">
            <v>16</v>
          </cell>
          <cell r="B322" t="str">
            <v>Doosan Honda</v>
          </cell>
          <cell r="C322" t="str">
            <v>Honda</v>
          </cell>
          <cell r="D322" t="str">
            <v>Dealers in Seoul/Kyonggi/Sudokwon</v>
          </cell>
          <cell r="E322" t="str">
            <v>Best Dealer</v>
          </cell>
          <cell r="F322" t="str">
            <v>Doosan Honda.honda</v>
          </cell>
          <cell r="G322" t="str">
            <v>Dealer</v>
          </cell>
          <cell r="H322" t="str">
            <v>05</v>
          </cell>
          <cell r="I322" t="str">
            <v>Doosan Honda.honda.05H2.csi.05.082</v>
          </cell>
        </row>
        <row r="323">
          <cell r="A323">
            <v>17</v>
          </cell>
          <cell r="B323" t="str">
            <v>Iijin Honda</v>
          </cell>
          <cell r="C323" t="str">
            <v>Honda</v>
          </cell>
          <cell r="D323" t="str">
            <v>Dealers in Seoul/Kyonggi/Sudokwon</v>
          </cell>
          <cell r="E323" t="str">
            <v>Best Dealer</v>
          </cell>
          <cell r="F323" t="str">
            <v>Iijin Honda.honda</v>
          </cell>
          <cell r="G323" t="str">
            <v>Dealer</v>
          </cell>
          <cell r="H323" t="str">
            <v>05</v>
          </cell>
          <cell r="I323" t="str">
            <v>Iijin Honda.honda.05H2.csi.05.082</v>
          </cell>
        </row>
        <row r="324">
          <cell r="A324">
            <v>18</v>
          </cell>
          <cell r="B324" t="str">
            <v>KCC Honda</v>
          </cell>
          <cell r="C324" t="str">
            <v>Honda</v>
          </cell>
          <cell r="D324" t="str">
            <v>Dealers in Seoul/Kyonggi/Sudokwon</v>
          </cell>
          <cell r="E324" t="str">
            <v>Best Dealer</v>
          </cell>
          <cell r="F324" t="str">
            <v>KCC Honda.honda</v>
          </cell>
          <cell r="G324" t="str">
            <v>Dealer</v>
          </cell>
          <cell r="H324" t="str">
            <v>05</v>
          </cell>
          <cell r="I324" t="str">
            <v>KCC Honda.honda.05H2.csi.05.082</v>
          </cell>
        </row>
        <row r="325">
          <cell r="A325">
            <v>19</v>
          </cell>
          <cell r="B325" t="str">
            <v>D3 Honda</v>
          </cell>
          <cell r="C325" t="str">
            <v>Honda</v>
          </cell>
          <cell r="D325" t="str">
            <v>Dealers in Pusan</v>
          </cell>
          <cell r="E325" t="str">
            <v>Best Dealer</v>
          </cell>
          <cell r="F325" t="str">
            <v>D3 Honda.honda</v>
          </cell>
          <cell r="G325" t="str">
            <v>Dealer</v>
          </cell>
          <cell r="H325" t="str">
            <v>05</v>
          </cell>
          <cell r="I325" t="str">
            <v>D3 Honda.honda.05H2.csi.05.082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FactorStructure"/>
      <sheetName val="Sheet1"/>
      <sheetName val="priority analysis"/>
      <sheetName val="sampling"/>
      <sheetName val="県別ﾏﾙﾁ"/>
      <sheetName val="Stores RMPMfg"/>
      <sheetName val="Range"/>
      <sheetName val="ﾘｽﾄ"/>
      <sheetName val="損益分岐点"/>
      <sheetName val="MK(W L,D)ｺｽﾄ"/>
    </sheetNames>
    <sheetDataSet>
      <sheetData sheetId="0" refreshError="1">
        <row r="1">
          <cell r="B1" t="str">
            <v>q13.3</v>
          </cell>
          <cell r="C1" t="str">
            <v>DLR's ability to see you within a reasonable amount of time</v>
          </cell>
        </row>
        <row r="2">
          <cell r="B2" t="str">
            <v>q13.4</v>
          </cell>
          <cell r="C2" t="str">
            <v>Amount of time you spent waiting to speak to someone</v>
          </cell>
        </row>
        <row r="3">
          <cell r="B3" t="str">
            <v>q14</v>
          </cell>
          <cell r="C3" t="str">
            <v>Please rate the whole process of getting your vehicle into service</v>
          </cell>
        </row>
        <row r="4">
          <cell r="B4" t="str">
            <v>q16.1</v>
          </cell>
          <cell r="C4" t="str">
            <v>Explanation of service to be performed</v>
          </cell>
        </row>
        <row r="5">
          <cell r="B5" t="str">
            <v>q16.2</v>
          </cell>
          <cell r="C5" t="str">
            <v>Treated with courtesy and respect</v>
          </cell>
        </row>
        <row r="6">
          <cell r="B6" t="str">
            <v>q16.3</v>
          </cell>
          <cell r="C6" t="str">
            <v>Honesty</v>
          </cell>
        </row>
        <row r="7">
          <cell r="B7" t="str">
            <v>q16.4</v>
          </cell>
          <cell r="C7" t="str">
            <v>Knowledge / expertise</v>
          </cell>
        </row>
        <row r="8">
          <cell r="B8" t="str">
            <v>q16.5</v>
          </cell>
          <cell r="C8" t="str">
            <v>Fulfillment of commitments</v>
          </cell>
        </row>
        <row r="9">
          <cell r="B9" t="str">
            <v>q16.6</v>
          </cell>
          <cell r="C9" t="str">
            <v>Listened to requests</v>
          </cell>
        </row>
        <row r="10">
          <cell r="B10" t="str">
            <v>q16.7</v>
          </cell>
          <cell r="C10" t="str">
            <v>Asked questions to clarify needs</v>
          </cell>
        </row>
        <row r="11">
          <cell r="B11" t="str">
            <v>q16.8</v>
          </cell>
          <cell r="C11" t="str">
            <v>Understood problem with vehicle</v>
          </cell>
        </row>
        <row r="12">
          <cell r="B12" t="str">
            <v>q17</v>
          </cell>
          <cell r="C12" t="str">
            <v>Service advisor overall</v>
          </cell>
        </row>
        <row r="13">
          <cell r="B13" t="str">
            <v>q18.1</v>
          </cell>
          <cell r="C13" t="str">
            <v>How well the DLR enabled you to spend your time</v>
          </cell>
        </row>
        <row r="14">
          <cell r="B14" t="str">
            <v>q18.2</v>
          </cell>
          <cell r="C14" t="str">
            <v>Cleanliness in customer waiting area</v>
          </cell>
        </row>
        <row r="15">
          <cell r="B15" t="str">
            <v>q18.3</v>
          </cell>
          <cell r="C15" t="str">
            <v>Comfort in customer waiting area</v>
          </cell>
        </row>
        <row r="16">
          <cell r="B16" t="str">
            <v>q18.4</v>
          </cell>
          <cell r="C16" t="str">
            <v>Amenities in customer waiting area</v>
          </cell>
        </row>
        <row r="17">
          <cell r="B17" t="str">
            <v>q19</v>
          </cell>
          <cell r="C17" t="str">
            <v>Your experience while your vehicle was being serviced</v>
          </cell>
        </row>
        <row r="18">
          <cell r="B18" t="str">
            <v>q22</v>
          </cell>
          <cell r="C18" t="str">
            <v>The amount of time it took to get your vehicle</v>
          </cell>
        </row>
        <row r="19">
          <cell r="B19" t="str">
            <v>q24.1</v>
          </cell>
          <cell r="C19" t="str">
            <v>Promptness in delivering vehicle</v>
          </cell>
        </row>
        <row r="20">
          <cell r="B20" t="str">
            <v>q24.2</v>
          </cell>
          <cell r="C20" t="str">
            <v>Explanation of work performed</v>
          </cell>
        </row>
        <row r="21">
          <cell r="B21" t="str">
            <v>q24.3</v>
          </cell>
          <cell r="C21" t="str">
            <v>Explanation of charges</v>
          </cell>
        </row>
        <row r="22">
          <cell r="B22" t="str">
            <v>q24.4</v>
          </cell>
          <cell r="C22" t="str">
            <v>Process of paying for service</v>
          </cell>
        </row>
        <row r="23">
          <cell r="B23" t="str">
            <v>q24.5</v>
          </cell>
          <cell r="C23" t="str">
            <v>Cleanliness and appearance of vehicle</v>
          </cell>
        </row>
        <row r="24">
          <cell r="B24" t="str">
            <v>q25</v>
          </cell>
          <cell r="C24" t="str">
            <v>Your experience of picking up your vehicle from service</v>
          </cell>
        </row>
        <row r="25">
          <cell r="B25" t="str">
            <v>q29.1</v>
          </cell>
          <cell r="C25" t="str">
            <v>Ability to diagnose problems</v>
          </cell>
        </row>
        <row r="26">
          <cell r="B26" t="str">
            <v>q29.2</v>
          </cell>
          <cell r="C26" t="str">
            <v>Quality of work performed</v>
          </cell>
        </row>
        <row r="27">
          <cell r="B27" t="str">
            <v>q29.3</v>
          </cell>
          <cell r="C27" t="str">
            <v>Thoroughness in fulfilling requests</v>
          </cell>
        </row>
        <row r="28">
          <cell r="B28" t="str">
            <v>q29.4</v>
          </cell>
          <cell r="C28" t="str">
            <v>Availability of parts for service</v>
          </cell>
        </row>
        <row r="29">
          <cell r="B29" t="str">
            <v>q30</v>
          </cell>
          <cell r="C29" t="str">
            <v>How would you rate the ability to fix the problem on the first visit</v>
          </cell>
        </row>
        <row r="30">
          <cell r="B30" t="str">
            <v>q32.1</v>
          </cell>
          <cell r="C30" t="str">
            <v>Fairness of charges</v>
          </cell>
        </row>
        <row r="31">
          <cell r="B31" t="str">
            <v>q32.2</v>
          </cell>
          <cell r="C31" t="str">
            <v>Value of service received</v>
          </cell>
        </row>
        <row r="32">
          <cell r="B32" t="str">
            <v>q32.3</v>
          </cell>
          <cell r="C32" t="str">
            <v>Consideration for your time</v>
          </cell>
        </row>
        <row r="33">
          <cell r="B33" t="str">
            <v>q32.4</v>
          </cell>
          <cell r="C33" t="str">
            <v>Dealership values your business</v>
          </cell>
        </row>
        <row r="34">
          <cell r="B34" t="str">
            <v>q32.5</v>
          </cell>
          <cell r="C34" t="str">
            <v>Dealer stands behind service</v>
          </cell>
        </row>
        <row r="35">
          <cell r="B35" t="str">
            <v>q32.6</v>
          </cell>
          <cell r="C35" t="str">
            <v>Convenience of location</v>
          </cell>
        </row>
        <row r="36">
          <cell r="B36" t="str">
            <v>q32.7</v>
          </cell>
          <cell r="C36" t="str">
            <v>Convenience of operating hours</v>
          </cell>
        </row>
        <row r="37">
          <cell r="B37" t="str">
            <v>q32.8</v>
          </cell>
          <cell r="C37" t="str">
            <v>Cleanliness and appearance of facility</v>
          </cell>
        </row>
        <row r="38">
          <cell r="B38" t="str">
            <v>q33</v>
          </cell>
          <cell r="C38" t="str">
            <v>How "user-friendly" this DLR is for service</v>
          </cell>
        </row>
        <row r="39">
          <cell r="B39" t="str">
            <v>q36.1</v>
          </cell>
          <cell r="C39" t="str">
            <v xml:space="preserve">Trouble free operation </v>
          </cell>
        </row>
        <row r="40">
          <cell r="B40" t="str">
            <v>q36.2</v>
          </cell>
          <cell r="C40" t="str">
            <v>Freedom from squeaks and rattle</v>
          </cell>
        </row>
        <row r="41">
          <cell r="B41" t="str">
            <v>q36.3</v>
          </cell>
          <cell r="C41" t="str">
            <v>Ease of maintenance and repair</v>
          </cell>
        </row>
        <row r="42">
          <cell r="B42" t="str">
            <v>q37</v>
          </cell>
          <cell r="C42" t="str">
            <v>How would you rate the quality , reliability and durability of your vehicle</v>
          </cell>
        </row>
        <row r="43">
          <cell r="B43" t="str">
            <v>q38.1</v>
          </cell>
          <cell r="C43" t="str">
            <v>Please rate the DLR's performance of srevice and repairs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部品設定"/>
      <sheetName val="部品明細"/>
    </sheetNames>
    <sheetDataSet>
      <sheetData sheetId="0">
        <row r="10">
          <cell r="B10" t="str">
            <v>82151-52560</v>
          </cell>
          <cell r="C10" t="str">
            <v>A</v>
          </cell>
          <cell r="D10" t="str">
            <v>瑞穂１</v>
          </cell>
          <cell r="E10">
            <v>30</v>
          </cell>
          <cell r="F10">
            <v>30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30</v>
          </cell>
          <cell r="L10">
            <v>30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B11" t="str">
            <v>82151-52570</v>
          </cell>
          <cell r="C11">
            <v>-1</v>
          </cell>
          <cell r="D11" t="str">
            <v>瑞穂１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B12" t="str">
            <v>82151-52580</v>
          </cell>
          <cell r="C12" t="str">
            <v>A</v>
          </cell>
          <cell r="D12" t="str">
            <v>瑞穂１</v>
          </cell>
          <cell r="E12">
            <v>0</v>
          </cell>
          <cell r="F12">
            <v>0</v>
          </cell>
          <cell r="G12">
            <v>85</v>
          </cell>
          <cell r="H12">
            <v>85</v>
          </cell>
          <cell r="I12">
            <v>0</v>
          </cell>
          <cell r="J12">
            <v>0</v>
          </cell>
          <cell r="K12">
            <v>85</v>
          </cell>
          <cell r="L12">
            <v>85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B13" t="str">
            <v>82151-52590</v>
          </cell>
          <cell r="C13" t="str">
            <v>A</v>
          </cell>
          <cell r="D13" t="str">
            <v>瑞穂１</v>
          </cell>
          <cell r="E13">
            <v>50</v>
          </cell>
          <cell r="F13">
            <v>50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50</v>
          </cell>
          <cell r="L13">
            <v>50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B14" t="str">
            <v>82152-52420</v>
          </cell>
          <cell r="C14" t="str">
            <v>A-1</v>
          </cell>
          <cell r="D14" t="str">
            <v>瑞穂１</v>
          </cell>
          <cell r="E14">
            <v>20</v>
          </cell>
          <cell r="F14">
            <v>20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20</v>
          </cell>
          <cell r="L14">
            <v>20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B15" t="str">
            <v>82152-52430</v>
          </cell>
          <cell r="C15" t="str">
            <v>A</v>
          </cell>
          <cell r="D15" t="str">
            <v>瑞穂１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B16" t="str">
            <v>82152-52440</v>
          </cell>
          <cell r="C16" t="str">
            <v>A-1</v>
          </cell>
          <cell r="D16" t="str">
            <v>瑞穂１</v>
          </cell>
          <cell r="E16">
            <v>60</v>
          </cell>
          <cell r="F16">
            <v>60</v>
          </cell>
          <cell r="G16">
            <v>85</v>
          </cell>
          <cell r="H16">
            <v>85</v>
          </cell>
          <cell r="I16">
            <v>0</v>
          </cell>
          <cell r="J16">
            <v>0</v>
          </cell>
          <cell r="K16">
            <v>145</v>
          </cell>
          <cell r="L16">
            <v>145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B17" t="str">
            <v>82153-52070</v>
          </cell>
          <cell r="C17" t="str">
            <v>A</v>
          </cell>
          <cell r="D17" t="str">
            <v>瑞穂２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60</v>
          </cell>
          <cell r="N17">
            <v>0</v>
          </cell>
          <cell r="O17">
            <v>300</v>
          </cell>
          <cell r="P17">
            <v>0</v>
          </cell>
          <cell r="Q17">
            <v>0</v>
          </cell>
          <cell r="R17">
            <v>0</v>
          </cell>
          <cell r="S17">
            <v>360</v>
          </cell>
          <cell r="T17">
            <v>0</v>
          </cell>
        </row>
        <row r="18">
          <cell r="B18" t="str">
            <v>82153-52080</v>
          </cell>
          <cell r="C18" t="str">
            <v>B</v>
          </cell>
          <cell r="D18" t="str">
            <v>瑞穂２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240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240</v>
          </cell>
          <cell r="T18">
            <v>0</v>
          </cell>
        </row>
        <row r="19">
          <cell r="B19" t="str">
            <v>82186-52020</v>
          </cell>
          <cell r="C19" t="str">
            <v>C</v>
          </cell>
          <cell r="D19" t="str">
            <v>瑞穂１</v>
          </cell>
          <cell r="E19">
            <v>0</v>
          </cell>
          <cell r="F19">
            <v>300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B20" t="str">
            <v>82186-52050</v>
          </cell>
          <cell r="C20" t="str">
            <v>A</v>
          </cell>
          <cell r="D20" t="str">
            <v>瑞穂２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400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400</v>
          </cell>
          <cell r="T20">
            <v>0</v>
          </cell>
        </row>
        <row r="21">
          <cell r="B21" t="str">
            <v>82187-52010</v>
          </cell>
          <cell r="C21" t="str">
            <v>F</v>
          </cell>
          <cell r="D21" t="str">
            <v>瑞穂１</v>
          </cell>
          <cell r="E21">
            <v>300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300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B22" t="str">
            <v>82187-52050</v>
          </cell>
          <cell r="C22" t="str">
            <v>A</v>
          </cell>
          <cell r="D22" t="str">
            <v>瑞穂２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400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400</v>
          </cell>
          <cell r="T22">
            <v>0</v>
          </cell>
        </row>
        <row r="23"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</sheetData>
      <sheetData sheetId="1">
        <row r="8">
          <cell r="F8" t="str">
            <v>14459</v>
          </cell>
          <cell r="G8" t="str">
            <v>DS-9F</v>
          </cell>
          <cell r="H8" t="str">
            <v xml:space="preserve">      </v>
          </cell>
          <cell r="I8" t="str">
            <v xml:space="preserve">  </v>
          </cell>
          <cell r="J8" t="str">
            <v>1</v>
          </cell>
          <cell r="K8">
            <v>30</v>
          </cell>
          <cell r="L8">
            <v>30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30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I8">
            <v>60</v>
          </cell>
          <cell r="AJ8">
            <v>0</v>
          </cell>
          <cell r="AK8" t="str">
            <v/>
          </cell>
          <cell r="AL8" t="str">
            <v/>
          </cell>
        </row>
        <row r="9">
          <cell r="F9" t="str">
            <v>10181</v>
          </cell>
          <cell r="G9" t="str">
            <v>DSY-6F-B</v>
          </cell>
          <cell r="H9" t="str">
            <v xml:space="preserve">      </v>
          </cell>
          <cell r="I9" t="str">
            <v xml:space="preserve">  </v>
          </cell>
          <cell r="J9" t="str">
            <v>1</v>
          </cell>
          <cell r="K9">
            <v>30</v>
          </cell>
          <cell r="L9">
            <v>30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30</v>
          </cell>
          <cell r="R9">
            <v>30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I9">
            <v>60</v>
          </cell>
          <cell r="AJ9">
            <v>0</v>
          </cell>
          <cell r="AK9" t="str">
            <v/>
          </cell>
          <cell r="AL9" t="str">
            <v/>
          </cell>
        </row>
        <row r="10">
          <cell r="F10" t="str">
            <v>20146</v>
          </cell>
          <cell r="G10" t="str">
            <v>RLE-TP-5MCP</v>
          </cell>
          <cell r="H10" t="str">
            <v xml:space="preserve">      </v>
          </cell>
          <cell r="I10" t="str">
            <v xml:space="preserve">  </v>
          </cell>
          <cell r="J10" t="str">
            <v>1</v>
          </cell>
          <cell r="K10">
            <v>30</v>
          </cell>
          <cell r="L10">
            <v>30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30</v>
          </cell>
          <cell r="R10">
            <v>30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I10">
            <v>60</v>
          </cell>
          <cell r="AJ10">
            <v>0</v>
          </cell>
          <cell r="AK10" t="str">
            <v/>
          </cell>
          <cell r="AL10" t="str">
            <v/>
          </cell>
        </row>
        <row r="11">
          <cell r="F11" t="str">
            <v>20147</v>
          </cell>
          <cell r="G11" t="str">
            <v>RLE/DS12-18F</v>
          </cell>
          <cell r="H11" t="str">
            <v xml:space="preserve">      </v>
          </cell>
          <cell r="I11" t="str">
            <v xml:space="preserve">  </v>
          </cell>
          <cell r="J11" t="str">
            <v>1</v>
          </cell>
          <cell r="K11">
            <v>30</v>
          </cell>
          <cell r="L11">
            <v>30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30</v>
          </cell>
          <cell r="R11">
            <v>30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I11">
            <v>60</v>
          </cell>
          <cell r="AJ11">
            <v>0</v>
          </cell>
          <cell r="AK11" t="str">
            <v/>
          </cell>
          <cell r="AL11" t="str">
            <v/>
          </cell>
        </row>
        <row r="12">
          <cell r="F12" t="str">
            <v>17160</v>
          </cell>
          <cell r="G12" t="str">
            <v>YLE-TP-14F</v>
          </cell>
          <cell r="H12" t="str">
            <v xml:space="preserve">      </v>
          </cell>
          <cell r="I12" t="str">
            <v xml:space="preserve">  </v>
          </cell>
          <cell r="J12" t="str">
            <v>1</v>
          </cell>
          <cell r="K12">
            <v>30</v>
          </cell>
          <cell r="L12">
            <v>30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30</v>
          </cell>
          <cell r="R12">
            <v>30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I12">
            <v>60</v>
          </cell>
          <cell r="AJ12">
            <v>0</v>
          </cell>
          <cell r="AK12" t="str">
            <v/>
          </cell>
          <cell r="AL12" t="str">
            <v/>
          </cell>
        </row>
        <row r="13">
          <cell r="F13" t="str">
            <v>20809</v>
          </cell>
          <cell r="G13" t="str">
            <v>YLE/DS4-10F</v>
          </cell>
          <cell r="H13" t="str">
            <v xml:space="preserve">      </v>
          </cell>
          <cell r="I13" t="str">
            <v xml:space="preserve">  </v>
          </cell>
          <cell r="J13" t="str">
            <v>1</v>
          </cell>
          <cell r="K13">
            <v>30</v>
          </cell>
          <cell r="L13">
            <v>30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30</v>
          </cell>
          <cell r="R13">
            <v>30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I13">
            <v>60</v>
          </cell>
          <cell r="AJ13">
            <v>0</v>
          </cell>
          <cell r="AK13" t="str">
            <v/>
          </cell>
          <cell r="AL13" t="str">
            <v/>
          </cell>
        </row>
        <row r="14">
          <cell r="F14" t="str">
            <v>15979</v>
          </cell>
          <cell r="G14" t="str">
            <v>CL-16830-B</v>
          </cell>
          <cell r="H14" t="str">
            <v xml:space="preserve">      </v>
          </cell>
          <cell r="I14" t="str">
            <v xml:space="preserve">  </v>
          </cell>
          <cell r="J14" t="str">
            <v>1</v>
          </cell>
          <cell r="K14">
            <v>30</v>
          </cell>
          <cell r="L14">
            <v>30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30</v>
          </cell>
          <cell r="R14">
            <v>30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I14">
            <v>60</v>
          </cell>
          <cell r="AJ14">
            <v>0</v>
          </cell>
          <cell r="AK14" t="str">
            <v/>
          </cell>
          <cell r="AL14" t="str">
            <v/>
          </cell>
        </row>
        <row r="15">
          <cell r="F15" t="str">
            <v>14476</v>
          </cell>
          <cell r="G15" t="str">
            <v>CL-1E020-W</v>
          </cell>
          <cell r="H15" t="str">
            <v xml:space="preserve">      </v>
          </cell>
          <cell r="I15" t="str">
            <v xml:space="preserve">  </v>
          </cell>
          <cell r="J15" t="str">
            <v>2</v>
          </cell>
          <cell r="K15">
            <v>60</v>
          </cell>
          <cell r="L15">
            <v>60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60</v>
          </cell>
          <cell r="R15">
            <v>60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I15">
            <v>120</v>
          </cell>
          <cell r="AJ15">
            <v>0</v>
          </cell>
          <cell r="AK15" t="str">
            <v/>
          </cell>
          <cell r="AL15" t="str">
            <v/>
          </cell>
        </row>
        <row r="16">
          <cell r="F16" t="str">
            <v>17834</v>
          </cell>
          <cell r="G16" t="str">
            <v>CL-2A460-W</v>
          </cell>
          <cell r="H16" t="str">
            <v xml:space="preserve">      </v>
          </cell>
          <cell r="I16" t="str">
            <v xml:space="preserve">  </v>
          </cell>
          <cell r="J16" t="str">
            <v>1</v>
          </cell>
          <cell r="K16">
            <v>30</v>
          </cell>
          <cell r="L16">
            <v>30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30</v>
          </cell>
          <cell r="R16">
            <v>30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I16">
            <v>60</v>
          </cell>
          <cell r="AJ16">
            <v>0</v>
          </cell>
          <cell r="AK16" t="str">
            <v/>
          </cell>
          <cell r="AL16" t="str">
            <v/>
          </cell>
        </row>
        <row r="17">
          <cell r="F17" t="str">
            <v>17848</v>
          </cell>
          <cell r="G17" t="str">
            <v>CL-3F290-B</v>
          </cell>
          <cell r="H17" t="str">
            <v xml:space="preserve">      </v>
          </cell>
          <cell r="I17" t="str">
            <v xml:space="preserve">  </v>
          </cell>
          <cell r="J17" t="str">
            <v>1</v>
          </cell>
          <cell r="K17">
            <v>30</v>
          </cell>
          <cell r="L17">
            <v>30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30</v>
          </cell>
          <cell r="R17">
            <v>30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I17">
            <v>60</v>
          </cell>
          <cell r="AJ17">
            <v>0</v>
          </cell>
          <cell r="AK17" t="str">
            <v/>
          </cell>
          <cell r="AL17" t="str">
            <v/>
          </cell>
        </row>
        <row r="18">
          <cell r="F18" t="str">
            <v>20166</v>
          </cell>
          <cell r="G18" t="str">
            <v>CL-52090-W</v>
          </cell>
          <cell r="H18" t="str">
            <v xml:space="preserve">      </v>
          </cell>
          <cell r="I18" t="str">
            <v xml:space="preserve">  </v>
          </cell>
          <cell r="J18" t="str">
            <v>2</v>
          </cell>
          <cell r="K18">
            <v>60</v>
          </cell>
          <cell r="L18">
            <v>60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60</v>
          </cell>
          <cell r="R18">
            <v>60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I18">
            <v>120</v>
          </cell>
          <cell r="AJ18">
            <v>0</v>
          </cell>
          <cell r="AK18" t="str">
            <v/>
          </cell>
          <cell r="AL18" t="str">
            <v/>
          </cell>
        </row>
        <row r="19">
          <cell r="F19" t="str">
            <v>18521</v>
          </cell>
          <cell r="G19" t="str">
            <v>GD3941</v>
          </cell>
          <cell r="H19" t="str">
            <v xml:space="preserve">      </v>
          </cell>
          <cell r="I19" t="str">
            <v xml:space="preserve">  </v>
          </cell>
          <cell r="J19" t="str">
            <v>1</v>
          </cell>
          <cell r="K19">
            <v>30</v>
          </cell>
          <cell r="L19">
            <v>30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30</v>
          </cell>
          <cell r="R19">
            <v>30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I19">
            <v>60</v>
          </cell>
          <cell r="AJ19">
            <v>0</v>
          </cell>
          <cell r="AK19" t="str">
            <v/>
          </cell>
          <cell r="AL19" t="str">
            <v/>
          </cell>
        </row>
        <row r="20">
          <cell r="F20" t="str">
            <v>07410</v>
          </cell>
          <cell r="G20" t="str">
            <v>VO12X0.5(B)</v>
          </cell>
          <cell r="H20" t="str">
            <v xml:space="preserve">270 </v>
          </cell>
          <cell r="I20" t="str">
            <v>ワリ</v>
          </cell>
          <cell r="J20" t="str">
            <v>1</v>
          </cell>
          <cell r="K20">
            <v>30</v>
          </cell>
          <cell r="L20">
            <v>30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30</v>
          </cell>
          <cell r="R20">
            <v>30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I20">
            <v>60</v>
          </cell>
          <cell r="AJ20">
            <v>0</v>
          </cell>
          <cell r="AK20">
            <v>16.2</v>
          </cell>
          <cell r="AL20">
            <v>0</v>
          </cell>
        </row>
        <row r="21">
          <cell r="F21" t="str">
            <v>07161</v>
          </cell>
          <cell r="G21" t="str">
            <v>VO6X0.5(B)</v>
          </cell>
          <cell r="H21" t="str">
            <v xml:space="preserve">70 </v>
          </cell>
          <cell r="I21" t="str">
            <v>ワリ</v>
          </cell>
          <cell r="J21" t="str">
            <v>1</v>
          </cell>
          <cell r="K21">
            <v>30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30</v>
          </cell>
          <cell r="R21">
            <v>30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I21">
            <v>60</v>
          </cell>
          <cell r="AJ21">
            <v>0</v>
          </cell>
          <cell r="AK21">
            <v>4.2</v>
          </cell>
          <cell r="AL21">
            <v>0</v>
          </cell>
        </row>
        <row r="22">
          <cell r="F22" t="str">
            <v>07291</v>
          </cell>
          <cell r="G22" t="str">
            <v>VO8X0.5(B)</v>
          </cell>
          <cell r="H22" t="str">
            <v xml:space="preserve">70 </v>
          </cell>
          <cell r="I22" t="str">
            <v>ワリ</v>
          </cell>
          <cell r="J22" t="str">
            <v>1</v>
          </cell>
          <cell r="K22">
            <v>30</v>
          </cell>
          <cell r="L22">
            <v>30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30</v>
          </cell>
          <cell r="R22">
            <v>30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I22">
            <v>60</v>
          </cell>
          <cell r="AJ22">
            <v>0</v>
          </cell>
          <cell r="AK22">
            <v>4.2</v>
          </cell>
          <cell r="AL22">
            <v>0</v>
          </cell>
        </row>
        <row r="23">
          <cell r="F23" t="str">
            <v>07291</v>
          </cell>
          <cell r="G23" t="str">
            <v>VO8X0.5(B)</v>
          </cell>
          <cell r="H23" t="str">
            <v xml:space="preserve">300 </v>
          </cell>
          <cell r="I23" t="str">
            <v>ワリ</v>
          </cell>
          <cell r="J23" t="str">
            <v>1</v>
          </cell>
          <cell r="K23">
            <v>30</v>
          </cell>
          <cell r="L23">
            <v>30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30</v>
          </cell>
          <cell r="R23">
            <v>30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I23">
            <v>60</v>
          </cell>
          <cell r="AJ23">
            <v>0</v>
          </cell>
          <cell r="AK23">
            <v>18</v>
          </cell>
          <cell r="AL23">
            <v>0</v>
          </cell>
        </row>
        <row r="24">
          <cell r="F24" t="str">
            <v>08878</v>
          </cell>
          <cell r="G24" t="str">
            <v>VS70</v>
          </cell>
          <cell r="H24" t="str">
            <v xml:space="preserve">115 </v>
          </cell>
          <cell r="I24" t="str">
            <v xml:space="preserve">  </v>
          </cell>
          <cell r="J24" t="str">
            <v>1</v>
          </cell>
          <cell r="K24">
            <v>30</v>
          </cell>
          <cell r="L24">
            <v>30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30</v>
          </cell>
          <cell r="R24">
            <v>30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I24">
            <v>60</v>
          </cell>
          <cell r="AJ24">
            <v>0</v>
          </cell>
          <cell r="AK24">
            <v>6.9</v>
          </cell>
          <cell r="AL24">
            <v>0</v>
          </cell>
        </row>
        <row r="25">
          <cell r="F25" t="str">
            <v>20146</v>
          </cell>
          <cell r="G25" t="str">
            <v>RLE-TP-5MCP</v>
          </cell>
          <cell r="H25" t="str">
            <v xml:space="preserve">      </v>
          </cell>
          <cell r="I25" t="str">
            <v xml:space="preserve">  </v>
          </cell>
          <cell r="J25" t="str">
            <v>1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I25">
            <v>0</v>
          </cell>
          <cell r="AJ25">
            <v>0</v>
          </cell>
          <cell r="AK25" t="str">
            <v/>
          </cell>
          <cell r="AL25" t="str">
            <v/>
          </cell>
        </row>
        <row r="26">
          <cell r="F26" t="str">
            <v>17160</v>
          </cell>
          <cell r="G26" t="str">
            <v>YLE-TP-14F</v>
          </cell>
          <cell r="H26" t="str">
            <v xml:space="preserve">      </v>
          </cell>
          <cell r="I26" t="str">
            <v xml:space="preserve">  </v>
          </cell>
          <cell r="J26" t="str">
            <v>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I26">
            <v>0</v>
          </cell>
          <cell r="AJ26">
            <v>0</v>
          </cell>
          <cell r="AK26" t="str">
            <v/>
          </cell>
          <cell r="AL26" t="str">
            <v/>
          </cell>
        </row>
        <row r="27">
          <cell r="F27" t="str">
            <v>15979</v>
          </cell>
          <cell r="G27" t="str">
            <v>CL-16830-B</v>
          </cell>
          <cell r="H27" t="str">
            <v xml:space="preserve">      </v>
          </cell>
          <cell r="I27" t="str">
            <v xml:space="preserve">  </v>
          </cell>
          <cell r="J27" t="str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I27">
            <v>0</v>
          </cell>
          <cell r="AJ27">
            <v>0</v>
          </cell>
          <cell r="AK27" t="str">
            <v/>
          </cell>
          <cell r="AL27" t="str">
            <v/>
          </cell>
        </row>
        <row r="28">
          <cell r="F28" t="str">
            <v>17834</v>
          </cell>
          <cell r="G28" t="str">
            <v>CL-2A460-W</v>
          </cell>
          <cell r="H28" t="str">
            <v xml:space="preserve">      </v>
          </cell>
          <cell r="I28" t="str">
            <v xml:space="preserve">  </v>
          </cell>
          <cell r="J28" t="str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I28">
            <v>0</v>
          </cell>
          <cell r="AJ28">
            <v>0</v>
          </cell>
          <cell r="AK28" t="str">
            <v/>
          </cell>
          <cell r="AL28" t="str">
            <v/>
          </cell>
        </row>
        <row r="29">
          <cell r="F29" t="str">
            <v>17848</v>
          </cell>
          <cell r="G29" t="str">
            <v>CL-3F290-B</v>
          </cell>
          <cell r="H29" t="str">
            <v xml:space="preserve">      </v>
          </cell>
          <cell r="I29" t="str">
            <v xml:space="preserve">  </v>
          </cell>
          <cell r="J29" t="str">
            <v>1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I29">
            <v>0</v>
          </cell>
          <cell r="AJ29">
            <v>0</v>
          </cell>
          <cell r="AK29" t="str">
            <v/>
          </cell>
          <cell r="AL29" t="str">
            <v/>
          </cell>
        </row>
        <row r="30">
          <cell r="F30" t="str">
            <v>18521</v>
          </cell>
          <cell r="G30" t="str">
            <v>GD3941</v>
          </cell>
          <cell r="H30" t="str">
            <v xml:space="preserve">      </v>
          </cell>
          <cell r="I30" t="str">
            <v xml:space="preserve">  </v>
          </cell>
          <cell r="J30" t="str">
            <v>1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I30">
            <v>0</v>
          </cell>
          <cell r="AJ30">
            <v>0</v>
          </cell>
          <cell r="AK30" t="str">
            <v/>
          </cell>
          <cell r="AL30" t="str">
            <v/>
          </cell>
        </row>
        <row r="31">
          <cell r="F31" t="str">
            <v>07161</v>
          </cell>
          <cell r="G31" t="str">
            <v>VO6X0.5(B)</v>
          </cell>
          <cell r="H31" t="str">
            <v xml:space="preserve">70 </v>
          </cell>
          <cell r="I31" t="str">
            <v>ワリ</v>
          </cell>
          <cell r="J31" t="str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</row>
        <row r="32">
          <cell r="F32" t="str">
            <v>07161</v>
          </cell>
          <cell r="G32" t="str">
            <v>VO6X0.5(B)</v>
          </cell>
          <cell r="H32" t="str">
            <v xml:space="preserve">270 </v>
          </cell>
          <cell r="I32" t="str">
            <v>ワリ</v>
          </cell>
          <cell r="J32" t="str">
            <v>1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</row>
        <row r="33">
          <cell r="F33" t="str">
            <v>08878</v>
          </cell>
          <cell r="G33" t="str">
            <v>VS70</v>
          </cell>
          <cell r="H33" t="str">
            <v xml:space="preserve">115 </v>
          </cell>
          <cell r="I33" t="str">
            <v xml:space="preserve">  </v>
          </cell>
          <cell r="J33" t="str">
            <v>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</row>
        <row r="34">
          <cell r="F34" t="str">
            <v>14459</v>
          </cell>
          <cell r="G34" t="str">
            <v>DS-9F</v>
          </cell>
          <cell r="H34" t="str">
            <v xml:space="preserve">      </v>
          </cell>
          <cell r="I34" t="str">
            <v xml:space="preserve">  </v>
          </cell>
          <cell r="J34" t="str">
            <v>1</v>
          </cell>
          <cell r="K34">
            <v>0</v>
          </cell>
          <cell r="L34">
            <v>0</v>
          </cell>
          <cell r="M34">
            <v>85</v>
          </cell>
          <cell r="N34">
            <v>85</v>
          </cell>
          <cell r="O34">
            <v>0</v>
          </cell>
          <cell r="P34">
            <v>0</v>
          </cell>
          <cell r="Q34">
            <v>85</v>
          </cell>
          <cell r="R34">
            <v>85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I34">
            <v>170</v>
          </cell>
          <cell r="AJ34">
            <v>0</v>
          </cell>
          <cell r="AK34" t="str">
            <v/>
          </cell>
          <cell r="AL34" t="str">
            <v/>
          </cell>
        </row>
        <row r="35">
          <cell r="F35" t="str">
            <v>10181</v>
          </cell>
          <cell r="G35" t="str">
            <v>DSY-6F-B</v>
          </cell>
          <cell r="H35" t="str">
            <v xml:space="preserve">      </v>
          </cell>
          <cell r="I35" t="str">
            <v xml:space="preserve">  </v>
          </cell>
          <cell r="J35" t="str">
            <v>1</v>
          </cell>
          <cell r="K35">
            <v>0</v>
          </cell>
          <cell r="L35">
            <v>0</v>
          </cell>
          <cell r="M35">
            <v>85</v>
          </cell>
          <cell r="N35">
            <v>85</v>
          </cell>
          <cell r="O35">
            <v>0</v>
          </cell>
          <cell r="P35">
            <v>0</v>
          </cell>
          <cell r="Q35">
            <v>85</v>
          </cell>
          <cell r="R35">
            <v>85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I35">
            <v>170</v>
          </cell>
          <cell r="AJ35">
            <v>0</v>
          </cell>
          <cell r="AK35" t="str">
            <v/>
          </cell>
          <cell r="AL35" t="str">
            <v/>
          </cell>
        </row>
        <row r="36">
          <cell r="F36" t="str">
            <v>20146</v>
          </cell>
          <cell r="G36" t="str">
            <v>RLE-TP-5MCP</v>
          </cell>
          <cell r="H36" t="str">
            <v xml:space="preserve">      </v>
          </cell>
          <cell r="I36" t="str">
            <v xml:space="preserve">  </v>
          </cell>
          <cell r="J36" t="str">
            <v>1</v>
          </cell>
          <cell r="K36">
            <v>0</v>
          </cell>
          <cell r="L36">
            <v>0</v>
          </cell>
          <cell r="M36">
            <v>85</v>
          </cell>
          <cell r="N36">
            <v>85</v>
          </cell>
          <cell r="O36">
            <v>0</v>
          </cell>
          <cell r="P36">
            <v>0</v>
          </cell>
          <cell r="Q36">
            <v>85</v>
          </cell>
          <cell r="R36">
            <v>85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I36">
            <v>170</v>
          </cell>
          <cell r="AJ36">
            <v>0</v>
          </cell>
          <cell r="AK36" t="str">
            <v/>
          </cell>
          <cell r="AL36" t="str">
            <v/>
          </cell>
        </row>
        <row r="37">
          <cell r="F37" t="str">
            <v>20147</v>
          </cell>
          <cell r="G37" t="str">
            <v>RLE/DS12-18F</v>
          </cell>
          <cell r="H37" t="str">
            <v xml:space="preserve">      </v>
          </cell>
          <cell r="I37" t="str">
            <v xml:space="preserve">  </v>
          </cell>
          <cell r="J37" t="str">
            <v>1</v>
          </cell>
          <cell r="K37">
            <v>0</v>
          </cell>
          <cell r="L37">
            <v>0</v>
          </cell>
          <cell r="M37">
            <v>85</v>
          </cell>
          <cell r="N37">
            <v>85</v>
          </cell>
          <cell r="O37">
            <v>0</v>
          </cell>
          <cell r="P37">
            <v>0</v>
          </cell>
          <cell r="Q37">
            <v>85</v>
          </cell>
          <cell r="R37">
            <v>85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I37">
            <v>170</v>
          </cell>
          <cell r="AJ37">
            <v>0</v>
          </cell>
          <cell r="AK37" t="str">
            <v/>
          </cell>
          <cell r="AL37" t="str">
            <v/>
          </cell>
        </row>
        <row r="38">
          <cell r="F38" t="str">
            <v>17160</v>
          </cell>
          <cell r="G38" t="str">
            <v>YLE-TP-14F</v>
          </cell>
          <cell r="H38" t="str">
            <v xml:space="preserve">      </v>
          </cell>
          <cell r="I38" t="str">
            <v xml:space="preserve">  </v>
          </cell>
          <cell r="J38" t="str">
            <v>1</v>
          </cell>
          <cell r="K38">
            <v>0</v>
          </cell>
          <cell r="L38">
            <v>0</v>
          </cell>
          <cell r="M38">
            <v>85</v>
          </cell>
          <cell r="N38">
            <v>85</v>
          </cell>
          <cell r="O38">
            <v>0</v>
          </cell>
          <cell r="P38">
            <v>0</v>
          </cell>
          <cell r="Q38">
            <v>85</v>
          </cell>
          <cell r="R38">
            <v>85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I38">
            <v>170</v>
          </cell>
          <cell r="AJ38">
            <v>0</v>
          </cell>
          <cell r="AK38" t="str">
            <v/>
          </cell>
          <cell r="AL38" t="str">
            <v/>
          </cell>
        </row>
        <row r="39">
          <cell r="F39" t="str">
            <v>20809</v>
          </cell>
          <cell r="G39" t="str">
            <v>YLE/DS4-10F</v>
          </cell>
          <cell r="H39" t="str">
            <v xml:space="preserve">      </v>
          </cell>
          <cell r="I39" t="str">
            <v xml:space="preserve">  </v>
          </cell>
          <cell r="J39" t="str">
            <v>1</v>
          </cell>
          <cell r="K39">
            <v>0</v>
          </cell>
          <cell r="L39">
            <v>0</v>
          </cell>
          <cell r="M39">
            <v>85</v>
          </cell>
          <cell r="N39">
            <v>85</v>
          </cell>
          <cell r="O39">
            <v>0</v>
          </cell>
          <cell r="P39">
            <v>0</v>
          </cell>
          <cell r="Q39">
            <v>85</v>
          </cell>
          <cell r="R39">
            <v>85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I39">
            <v>170</v>
          </cell>
          <cell r="AJ39">
            <v>0</v>
          </cell>
          <cell r="AK39" t="str">
            <v/>
          </cell>
          <cell r="AL39" t="str">
            <v/>
          </cell>
        </row>
        <row r="40">
          <cell r="F40" t="str">
            <v>15979</v>
          </cell>
          <cell r="G40" t="str">
            <v>CL-16830-B</v>
          </cell>
          <cell r="H40" t="str">
            <v xml:space="preserve">      </v>
          </cell>
          <cell r="I40" t="str">
            <v xml:space="preserve">  </v>
          </cell>
          <cell r="J40" t="str">
            <v>1</v>
          </cell>
          <cell r="K40">
            <v>0</v>
          </cell>
          <cell r="L40">
            <v>0</v>
          </cell>
          <cell r="M40">
            <v>85</v>
          </cell>
          <cell r="N40">
            <v>85</v>
          </cell>
          <cell r="O40">
            <v>0</v>
          </cell>
          <cell r="P40">
            <v>0</v>
          </cell>
          <cell r="Q40">
            <v>85</v>
          </cell>
          <cell r="R40">
            <v>85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I40">
            <v>170</v>
          </cell>
          <cell r="AJ40">
            <v>0</v>
          </cell>
          <cell r="AK40" t="str">
            <v/>
          </cell>
          <cell r="AL40" t="str">
            <v/>
          </cell>
        </row>
        <row r="41">
          <cell r="F41" t="str">
            <v>14476</v>
          </cell>
          <cell r="G41" t="str">
            <v>CL-1E020-W</v>
          </cell>
          <cell r="H41" t="str">
            <v xml:space="preserve">      </v>
          </cell>
          <cell r="I41" t="str">
            <v xml:space="preserve">  </v>
          </cell>
          <cell r="J41" t="str">
            <v>2</v>
          </cell>
          <cell r="K41">
            <v>0</v>
          </cell>
          <cell r="L41">
            <v>0</v>
          </cell>
          <cell r="M41">
            <v>170</v>
          </cell>
          <cell r="N41">
            <v>170</v>
          </cell>
          <cell r="O41">
            <v>0</v>
          </cell>
          <cell r="P41">
            <v>0</v>
          </cell>
          <cell r="Q41">
            <v>170</v>
          </cell>
          <cell r="R41">
            <v>170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I41">
            <v>340</v>
          </cell>
          <cell r="AJ41">
            <v>0</v>
          </cell>
          <cell r="AK41" t="str">
            <v/>
          </cell>
          <cell r="AL41" t="str">
            <v/>
          </cell>
        </row>
        <row r="42">
          <cell r="F42" t="str">
            <v>17834</v>
          </cell>
          <cell r="G42" t="str">
            <v>CL-2A460-W</v>
          </cell>
          <cell r="H42" t="str">
            <v xml:space="preserve">      </v>
          </cell>
          <cell r="I42" t="str">
            <v xml:space="preserve">  </v>
          </cell>
          <cell r="J42" t="str">
            <v>1</v>
          </cell>
          <cell r="K42">
            <v>0</v>
          </cell>
          <cell r="L42">
            <v>0</v>
          </cell>
          <cell r="M42">
            <v>85</v>
          </cell>
          <cell r="N42">
            <v>85</v>
          </cell>
          <cell r="O42">
            <v>0</v>
          </cell>
          <cell r="P42">
            <v>0</v>
          </cell>
          <cell r="Q42">
            <v>85</v>
          </cell>
          <cell r="R42">
            <v>85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I42">
            <v>170</v>
          </cell>
          <cell r="AJ42">
            <v>0</v>
          </cell>
          <cell r="AK42" t="str">
            <v/>
          </cell>
          <cell r="AL42" t="str">
            <v/>
          </cell>
        </row>
        <row r="43">
          <cell r="F43" t="str">
            <v>17848</v>
          </cell>
          <cell r="G43" t="str">
            <v>CL-3F290-B</v>
          </cell>
          <cell r="H43" t="str">
            <v xml:space="preserve">      </v>
          </cell>
          <cell r="I43" t="str">
            <v xml:space="preserve">  </v>
          </cell>
          <cell r="J43" t="str">
            <v>1</v>
          </cell>
          <cell r="K43">
            <v>0</v>
          </cell>
          <cell r="L43">
            <v>0</v>
          </cell>
          <cell r="M43">
            <v>85</v>
          </cell>
          <cell r="N43">
            <v>85</v>
          </cell>
          <cell r="O43">
            <v>0</v>
          </cell>
          <cell r="P43">
            <v>0</v>
          </cell>
          <cell r="Q43">
            <v>85</v>
          </cell>
          <cell r="R43">
            <v>85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I43">
            <v>170</v>
          </cell>
          <cell r="AJ43">
            <v>0</v>
          </cell>
          <cell r="AK43" t="str">
            <v/>
          </cell>
          <cell r="AL43" t="str">
            <v/>
          </cell>
        </row>
        <row r="44">
          <cell r="F44" t="str">
            <v>20166</v>
          </cell>
          <cell r="G44" t="str">
            <v>CL-52090-W</v>
          </cell>
          <cell r="H44" t="str">
            <v xml:space="preserve">      </v>
          </cell>
          <cell r="I44" t="str">
            <v xml:space="preserve">  </v>
          </cell>
          <cell r="J44" t="str">
            <v>2</v>
          </cell>
          <cell r="K44">
            <v>0</v>
          </cell>
          <cell r="L44">
            <v>0</v>
          </cell>
          <cell r="M44">
            <v>170</v>
          </cell>
          <cell r="N44">
            <v>170</v>
          </cell>
          <cell r="O44">
            <v>0</v>
          </cell>
          <cell r="P44">
            <v>0</v>
          </cell>
          <cell r="Q44">
            <v>170</v>
          </cell>
          <cell r="R44">
            <v>170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I44">
            <v>340</v>
          </cell>
          <cell r="AJ44">
            <v>0</v>
          </cell>
          <cell r="AK44" t="str">
            <v/>
          </cell>
          <cell r="AL44" t="str">
            <v/>
          </cell>
        </row>
        <row r="45">
          <cell r="F45" t="str">
            <v>18521</v>
          </cell>
          <cell r="G45" t="str">
            <v>GD3941</v>
          </cell>
          <cell r="H45" t="str">
            <v xml:space="preserve">      </v>
          </cell>
          <cell r="I45" t="str">
            <v xml:space="preserve">  </v>
          </cell>
          <cell r="J45" t="str">
            <v>1</v>
          </cell>
          <cell r="K45">
            <v>0</v>
          </cell>
          <cell r="L45">
            <v>0</v>
          </cell>
          <cell r="M45">
            <v>85</v>
          </cell>
          <cell r="N45">
            <v>85</v>
          </cell>
          <cell r="O45">
            <v>0</v>
          </cell>
          <cell r="P45">
            <v>0</v>
          </cell>
          <cell r="Q45">
            <v>85</v>
          </cell>
          <cell r="R45">
            <v>85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I45">
            <v>170</v>
          </cell>
          <cell r="AJ45">
            <v>0</v>
          </cell>
          <cell r="AK45" t="str">
            <v/>
          </cell>
          <cell r="AL45" t="str">
            <v/>
          </cell>
        </row>
        <row r="46">
          <cell r="F46" t="str">
            <v>07452</v>
          </cell>
          <cell r="G46" t="str">
            <v>VO14X0.5(B)</v>
          </cell>
          <cell r="H46" t="str">
            <v xml:space="preserve">270 </v>
          </cell>
          <cell r="I46" t="str">
            <v>ワリ</v>
          </cell>
          <cell r="J46" t="str">
            <v>1</v>
          </cell>
          <cell r="K46">
            <v>0</v>
          </cell>
          <cell r="L46">
            <v>0</v>
          </cell>
          <cell r="M46">
            <v>85</v>
          </cell>
          <cell r="N46">
            <v>85</v>
          </cell>
          <cell r="O46">
            <v>0</v>
          </cell>
          <cell r="P46">
            <v>0</v>
          </cell>
          <cell r="Q46">
            <v>85</v>
          </cell>
          <cell r="R46">
            <v>85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I46">
            <v>170</v>
          </cell>
          <cell r="AJ46">
            <v>0</v>
          </cell>
          <cell r="AK46">
            <v>45.9</v>
          </cell>
          <cell r="AL46">
            <v>0</v>
          </cell>
        </row>
        <row r="47">
          <cell r="F47" t="str">
            <v>07161</v>
          </cell>
          <cell r="G47" t="str">
            <v>VO6X0.5(B)</v>
          </cell>
          <cell r="H47" t="str">
            <v xml:space="preserve">70 </v>
          </cell>
          <cell r="I47" t="str">
            <v>ワリ</v>
          </cell>
          <cell r="J47" t="str">
            <v>1</v>
          </cell>
          <cell r="K47">
            <v>0</v>
          </cell>
          <cell r="L47">
            <v>0</v>
          </cell>
          <cell r="M47">
            <v>85</v>
          </cell>
          <cell r="N47">
            <v>85</v>
          </cell>
          <cell r="O47">
            <v>0</v>
          </cell>
          <cell r="P47">
            <v>0</v>
          </cell>
          <cell r="Q47">
            <v>85</v>
          </cell>
          <cell r="R47">
            <v>85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I47">
            <v>170</v>
          </cell>
          <cell r="AJ47">
            <v>0</v>
          </cell>
          <cell r="AK47">
            <v>11.9</v>
          </cell>
          <cell r="AL47">
            <v>0</v>
          </cell>
        </row>
        <row r="48">
          <cell r="F48" t="str">
            <v>07291</v>
          </cell>
          <cell r="G48" t="str">
            <v>VO8X0.5(B)</v>
          </cell>
          <cell r="H48" t="str">
            <v xml:space="preserve">70 </v>
          </cell>
          <cell r="I48" t="str">
            <v>ワリ</v>
          </cell>
          <cell r="J48" t="str">
            <v>1</v>
          </cell>
          <cell r="K48">
            <v>0</v>
          </cell>
          <cell r="L48">
            <v>0</v>
          </cell>
          <cell r="M48">
            <v>85</v>
          </cell>
          <cell r="N48">
            <v>85</v>
          </cell>
          <cell r="O48">
            <v>0</v>
          </cell>
          <cell r="P48">
            <v>0</v>
          </cell>
          <cell r="Q48">
            <v>85</v>
          </cell>
          <cell r="R48">
            <v>85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I48">
            <v>170</v>
          </cell>
          <cell r="AJ48">
            <v>0</v>
          </cell>
          <cell r="AK48">
            <v>11.9</v>
          </cell>
          <cell r="AL48">
            <v>0</v>
          </cell>
        </row>
        <row r="49">
          <cell r="F49" t="str">
            <v>07291</v>
          </cell>
          <cell r="G49" t="str">
            <v>VO8X0.5(B)</v>
          </cell>
          <cell r="H49" t="str">
            <v xml:space="preserve">300 </v>
          </cell>
          <cell r="I49" t="str">
            <v>ワリ</v>
          </cell>
          <cell r="J49" t="str">
            <v>1</v>
          </cell>
          <cell r="K49">
            <v>0</v>
          </cell>
          <cell r="L49">
            <v>0</v>
          </cell>
          <cell r="M49">
            <v>85</v>
          </cell>
          <cell r="N49">
            <v>85</v>
          </cell>
          <cell r="O49">
            <v>0</v>
          </cell>
          <cell r="P49">
            <v>0</v>
          </cell>
          <cell r="Q49">
            <v>85</v>
          </cell>
          <cell r="R49">
            <v>85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I49">
            <v>170</v>
          </cell>
          <cell r="AJ49">
            <v>0</v>
          </cell>
          <cell r="AK49">
            <v>51</v>
          </cell>
          <cell r="AL49">
            <v>0</v>
          </cell>
        </row>
        <row r="50">
          <cell r="F50" t="str">
            <v>08878</v>
          </cell>
          <cell r="G50" t="str">
            <v>VS70</v>
          </cell>
          <cell r="H50" t="str">
            <v xml:space="preserve">115 </v>
          </cell>
          <cell r="I50" t="str">
            <v xml:space="preserve">  </v>
          </cell>
          <cell r="J50" t="str">
            <v>1</v>
          </cell>
          <cell r="K50">
            <v>0</v>
          </cell>
          <cell r="L50">
            <v>0</v>
          </cell>
          <cell r="M50">
            <v>85</v>
          </cell>
          <cell r="N50">
            <v>85</v>
          </cell>
          <cell r="O50">
            <v>0</v>
          </cell>
          <cell r="P50">
            <v>0</v>
          </cell>
          <cell r="Q50">
            <v>85</v>
          </cell>
          <cell r="R50">
            <v>85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I50">
            <v>170</v>
          </cell>
          <cell r="AJ50">
            <v>0</v>
          </cell>
          <cell r="AK50">
            <v>19.55</v>
          </cell>
          <cell r="AL50">
            <v>0</v>
          </cell>
        </row>
        <row r="51">
          <cell r="F51" t="str">
            <v>14459</v>
          </cell>
          <cell r="G51" t="str">
            <v>DS-9F</v>
          </cell>
          <cell r="H51" t="str">
            <v xml:space="preserve">      </v>
          </cell>
          <cell r="I51" t="str">
            <v xml:space="preserve">  </v>
          </cell>
          <cell r="J51" t="str">
            <v>1</v>
          </cell>
          <cell r="K51">
            <v>50</v>
          </cell>
          <cell r="L51">
            <v>50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50</v>
          </cell>
          <cell r="R51">
            <v>50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I51">
            <v>100</v>
          </cell>
          <cell r="AJ51">
            <v>0</v>
          </cell>
          <cell r="AK51" t="str">
            <v/>
          </cell>
          <cell r="AL51" t="str">
            <v/>
          </cell>
        </row>
        <row r="52">
          <cell r="F52" t="str">
            <v>10181</v>
          </cell>
          <cell r="G52" t="str">
            <v>DSY-6F-B</v>
          </cell>
          <cell r="H52" t="str">
            <v xml:space="preserve">      </v>
          </cell>
          <cell r="I52" t="str">
            <v xml:space="preserve">  </v>
          </cell>
          <cell r="J52" t="str">
            <v>1</v>
          </cell>
          <cell r="K52">
            <v>50</v>
          </cell>
          <cell r="L52">
            <v>50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50</v>
          </cell>
          <cell r="R52">
            <v>50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I52">
            <v>100</v>
          </cell>
          <cell r="AJ52">
            <v>0</v>
          </cell>
          <cell r="AK52" t="str">
            <v/>
          </cell>
          <cell r="AL52" t="str">
            <v/>
          </cell>
        </row>
        <row r="53">
          <cell r="F53" t="str">
            <v>17913</v>
          </cell>
          <cell r="G53" t="str">
            <v>FDS-4F</v>
          </cell>
          <cell r="H53" t="str">
            <v xml:space="preserve">      </v>
          </cell>
          <cell r="I53" t="str">
            <v xml:space="preserve">  </v>
          </cell>
          <cell r="J53" t="str">
            <v>1</v>
          </cell>
          <cell r="K53">
            <v>50</v>
          </cell>
          <cell r="L53">
            <v>50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50</v>
          </cell>
          <cell r="R53">
            <v>50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I53">
            <v>100</v>
          </cell>
          <cell r="AJ53">
            <v>0</v>
          </cell>
          <cell r="AK53" t="str">
            <v/>
          </cell>
          <cell r="AL53" t="str">
            <v/>
          </cell>
        </row>
        <row r="54">
          <cell r="F54" t="str">
            <v>20146</v>
          </cell>
          <cell r="G54" t="str">
            <v>RLE-TP-5MCP</v>
          </cell>
          <cell r="H54" t="str">
            <v xml:space="preserve">      </v>
          </cell>
          <cell r="I54" t="str">
            <v xml:space="preserve">  </v>
          </cell>
          <cell r="J54" t="str">
            <v>1</v>
          </cell>
          <cell r="K54">
            <v>50</v>
          </cell>
          <cell r="L54">
            <v>50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50</v>
          </cell>
          <cell r="R54">
            <v>50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I54">
            <v>100</v>
          </cell>
          <cell r="AJ54">
            <v>0</v>
          </cell>
          <cell r="AK54" t="str">
            <v/>
          </cell>
          <cell r="AL54" t="str">
            <v/>
          </cell>
        </row>
        <row r="55">
          <cell r="F55" t="str">
            <v>20147</v>
          </cell>
          <cell r="G55" t="str">
            <v>RLE/DS12-18F</v>
          </cell>
          <cell r="H55" t="str">
            <v xml:space="preserve">      </v>
          </cell>
          <cell r="I55" t="str">
            <v xml:space="preserve">  </v>
          </cell>
          <cell r="J55" t="str">
            <v>1</v>
          </cell>
          <cell r="K55">
            <v>50</v>
          </cell>
          <cell r="L55">
            <v>50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50</v>
          </cell>
          <cell r="R55">
            <v>50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I55">
            <v>100</v>
          </cell>
          <cell r="AJ55">
            <v>0</v>
          </cell>
          <cell r="AK55" t="str">
            <v/>
          </cell>
          <cell r="AL55" t="str">
            <v/>
          </cell>
        </row>
        <row r="56">
          <cell r="F56" t="str">
            <v>17160</v>
          </cell>
          <cell r="G56" t="str">
            <v>YLE-TP-14F</v>
          </cell>
          <cell r="H56" t="str">
            <v xml:space="preserve">      </v>
          </cell>
          <cell r="I56" t="str">
            <v xml:space="preserve">  </v>
          </cell>
          <cell r="J56" t="str">
            <v>1</v>
          </cell>
          <cell r="K56">
            <v>50</v>
          </cell>
          <cell r="L56">
            <v>50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50</v>
          </cell>
          <cell r="R56">
            <v>50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I56">
            <v>100</v>
          </cell>
          <cell r="AJ56">
            <v>0</v>
          </cell>
          <cell r="AK56" t="str">
            <v/>
          </cell>
          <cell r="AL56" t="str">
            <v/>
          </cell>
        </row>
        <row r="57">
          <cell r="F57" t="str">
            <v>20809</v>
          </cell>
          <cell r="G57" t="str">
            <v>YLE/DS4-10F</v>
          </cell>
          <cell r="H57" t="str">
            <v xml:space="preserve">      </v>
          </cell>
          <cell r="I57" t="str">
            <v xml:space="preserve">  </v>
          </cell>
          <cell r="J57" t="str">
            <v>1</v>
          </cell>
          <cell r="K57">
            <v>50</v>
          </cell>
          <cell r="L57">
            <v>50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50</v>
          </cell>
          <cell r="R57">
            <v>50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I57">
            <v>100</v>
          </cell>
          <cell r="AJ57">
            <v>0</v>
          </cell>
          <cell r="AK57" t="str">
            <v/>
          </cell>
          <cell r="AL57" t="str">
            <v/>
          </cell>
        </row>
        <row r="58">
          <cell r="F58" t="str">
            <v>15979</v>
          </cell>
          <cell r="G58" t="str">
            <v>CL-16830-B</v>
          </cell>
          <cell r="H58" t="str">
            <v xml:space="preserve">      </v>
          </cell>
          <cell r="I58" t="str">
            <v xml:space="preserve">  </v>
          </cell>
          <cell r="J58" t="str">
            <v>1</v>
          </cell>
          <cell r="K58">
            <v>50</v>
          </cell>
          <cell r="L58">
            <v>50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50</v>
          </cell>
          <cell r="R58">
            <v>50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I58">
            <v>100</v>
          </cell>
          <cell r="AJ58">
            <v>0</v>
          </cell>
          <cell r="AK58" t="str">
            <v/>
          </cell>
          <cell r="AL58" t="str">
            <v/>
          </cell>
        </row>
        <row r="59">
          <cell r="F59" t="str">
            <v>14476</v>
          </cell>
          <cell r="G59" t="str">
            <v>CL-1E020-W</v>
          </cell>
          <cell r="H59" t="str">
            <v xml:space="preserve">      </v>
          </cell>
          <cell r="I59" t="str">
            <v xml:space="preserve">  </v>
          </cell>
          <cell r="J59" t="str">
            <v>2</v>
          </cell>
          <cell r="K59">
            <v>100</v>
          </cell>
          <cell r="L59">
            <v>100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100</v>
          </cell>
          <cell r="R59">
            <v>100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I59">
            <v>200</v>
          </cell>
          <cell r="AJ59">
            <v>0</v>
          </cell>
          <cell r="AK59" t="str">
            <v/>
          </cell>
          <cell r="AL59" t="str">
            <v/>
          </cell>
        </row>
        <row r="60">
          <cell r="F60" t="str">
            <v>17834</v>
          </cell>
          <cell r="G60" t="str">
            <v>CL-2A460-W</v>
          </cell>
          <cell r="H60" t="str">
            <v xml:space="preserve">      </v>
          </cell>
          <cell r="I60" t="str">
            <v xml:space="preserve">  </v>
          </cell>
          <cell r="J60" t="str">
            <v>1</v>
          </cell>
          <cell r="K60">
            <v>50</v>
          </cell>
          <cell r="L60">
            <v>50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50</v>
          </cell>
          <cell r="R60">
            <v>50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I60">
            <v>100</v>
          </cell>
          <cell r="AJ60">
            <v>0</v>
          </cell>
          <cell r="AK60" t="str">
            <v/>
          </cell>
          <cell r="AL60" t="str">
            <v/>
          </cell>
        </row>
        <row r="61">
          <cell r="F61" t="str">
            <v>17848</v>
          </cell>
          <cell r="G61" t="str">
            <v>CL-3F290-B</v>
          </cell>
          <cell r="H61" t="str">
            <v xml:space="preserve">      </v>
          </cell>
          <cell r="I61" t="str">
            <v xml:space="preserve">  </v>
          </cell>
          <cell r="J61" t="str">
            <v>1</v>
          </cell>
          <cell r="K61">
            <v>50</v>
          </cell>
          <cell r="L61">
            <v>50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50</v>
          </cell>
          <cell r="R61">
            <v>50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I61">
            <v>100</v>
          </cell>
          <cell r="AJ61">
            <v>0</v>
          </cell>
          <cell r="AK61" t="str">
            <v/>
          </cell>
          <cell r="AL61" t="str">
            <v/>
          </cell>
        </row>
        <row r="62">
          <cell r="F62" t="str">
            <v>20166</v>
          </cell>
          <cell r="G62" t="str">
            <v>CL-52090-W</v>
          </cell>
          <cell r="H62" t="str">
            <v xml:space="preserve">      </v>
          </cell>
          <cell r="I62" t="str">
            <v xml:space="preserve">  </v>
          </cell>
          <cell r="J62" t="str">
            <v>2</v>
          </cell>
          <cell r="K62">
            <v>100</v>
          </cell>
          <cell r="L62">
            <v>100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100</v>
          </cell>
          <cell r="R62">
            <v>100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I62">
            <v>200</v>
          </cell>
          <cell r="AJ62">
            <v>0</v>
          </cell>
          <cell r="AK62" t="str">
            <v/>
          </cell>
          <cell r="AL62" t="str">
            <v/>
          </cell>
        </row>
        <row r="63">
          <cell r="F63" t="str">
            <v>18521</v>
          </cell>
          <cell r="G63" t="str">
            <v>GD3941</v>
          </cell>
          <cell r="H63" t="str">
            <v xml:space="preserve">      </v>
          </cell>
          <cell r="I63" t="str">
            <v xml:space="preserve">  </v>
          </cell>
          <cell r="J63" t="str">
            <v>1</v>
          </cell>
          <cell r="K63">
            <v>50</v>
          </cell>
          <cell r="L63">
            <v>50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50</v>
          </cell>
          <cell r="R63">
            <v>50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I63">
            <v>100</v>
          </cell>
          <cell r="AJ63">
            <v>0</v>
          </cell>
          <cell r="AK63" t="str">
            <v/>
          </cell>
          <cell r="AL63" t="str">
            <v/>
          </cell>
        </row>
        <row r="64">
          <cell r="F64" t="str">
            <v>07473</v>
          </cell>
          <cell r="G64" t="str">
            <v>VO16X0.6(B)</v>
          </cell>
          <cell r="H64" t="str">
            <v xml:space="preserve">270 </v>
          </cell>
          <cell r="I64" t="str">
            <v>ワリ</v>
          </cell>
          <cell r="J64" t="str">
            <v>1</v>
          </cell>
          <cell r="K64">
            <v>50</v>
          </cell>
          <cell r="L64">
            <v>50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50</v>
          </cell>
          <cell r="R64">
            <v>50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I64">
            <v>100</v>
          </cell>
          <cell r="AJ64">
            <v>0</v>
          </cell>
          <cell r="AK64">
            <v>27</v>
          </cell>
          <cell r="AL64">
            <v>0</v>
          </cell>
        </row>
        <row r="65">
          <cell r="F65" t="str">
            <v>07161</v>
          </cell>
          <cell r="G65" t="str">
            <v>VO6X0.5(B)</v>
          </cell>
          <cell r="H65" t="str">
            <v xml:space="preserve">70 </v>
          </cell>
          <cell r="I65" t="str">
            <v>ワリ</v>
          </cell>
          <cell r="J65" t="str">
            <v>1</v>
          </cell>
          <cell r="K65">
            <v>50</v>
          </cell>
          <cell r="L65">
            <v>50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50</v>
          </cell>
          <cell r="R65">
            <v>50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I65">
            <v>100</v>
          </cell>
          <cell r="AJ65">
            <v>0</v>
          </cell>
          <cell r="AK65">
            <v>7</v>
          </cell>
          <cell r="AL65">
            <v>0</v>
          </cell>
        </row>
        <row r="66">
          <cell r="F66" t="str">
            <v>07291</v>
          </cell>
          <cell r="G66" t="str">
            <v>VO8X0.5(B)</v>
          </cell>
          <cell r="H66" t="str">
            <v xml:space="preserve">70 </v>
          </cell>
          <cell r="I66" t="str">
            <v>ワリ</v>
          </cell>
          <cell r="J66" t="str">
            <v>1</v>
          </cell>
          <cell r="K66">
            <v>50</v>
          </cell>
          <cell r="L66">
            <v>50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50</v>
          </cell>
          <cell r="R66">
            <v>50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I66">
            <v>100</v>
          </cell>
          <cell r="AJ66">
            <v>0</v>
          </cell>
          <cell r="AK66">
            <v>7</v>
          </cell>
          <cell r="AL66">
            <v>0</v>
          </cell>
        </row>
        <row r="67">
          <cell r="F67" t="str">
            <v>07291</v>
          </cell>
          <cell r="G67" t="str">
            <v>VO8X0.5(B)</v>
          </cell>
          <cell r="H67" t="str">
            <v xml:space="preserve">300 </v>
          </cell>
          <cell r="I67" t="str">
            <v>ワリ</v>
          </cell>
          <cell r="J67" t="str">
            <v>1</v>
          </cell>
          <cell r="K67">
            <v>50</v>
          </cell>
          <cell r="L67">
            <v>50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50</v>
          </cell>
          <cell r="R67">
            <v>50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I67">
            <v>100</v>
          </cell>
          <cell r="AJ67">
            <v>0</v>
          </cell>
          <cell r="AK67">
            <v>30</v>
          </cell>
          <cell r="AL67">
            <v>0</v>
          </cell>
        </row>
        <row r="68">
          <cell r="F68" t="str">
            <v>08878</v>
          </cell>
          <cell r="G68" t="str">
            <v>VS70</v>
          </cell>
          <cell r="H68" t="str">
            <v xml:space="preserve">115 </v>
          </cell>
          <cell r="I68" t="str">
            <v xml:space="preserve">  </v>
          </cell>
          <cell r="J68" t="str">
            <v>1</v>
          </cell>
          <cell r="K68">
            <v>50</v>
          </cell>
          <cell r="L68">
            <v>50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50</v>
          </cell>
          <cell r="R68">
            <v>50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I68">
            <v>100</v>
          </cell>
          <cell r="AJ68">
            <v>0</v>
          </cell>
          <cell r="AK68">
            <v>11.5</v>
          </cell>
          <cell r="AL68">
            <v>0</v>
          </cell>
        </row>
        <row r="69">
          <cell r="F69" t="str">
            <v>14110</v>
          </cell>
          <cell r="G69" t="str">
            <v>DSR-13FA</v>
          </cell>
          <cell r="H69" t="str">
            <v xml:space="preserve">      </v>
          </cell>
          <cell r="I69" t="str">
            <v xml:space="preserve">  </v>
          </cell>
          <cell r="J69" t="str">
            <v>1</v>
          </cell>
          <cell r="K69">
            <v>20</v>
          </cell>
          <cell r="L69">
            <v>20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20</v>
          </cell>
          <cell r="R69">
            <v>20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I69">
            <v>40</v>
          </cell>
          <cell r="AJ69">
            <v>0</v>
          </cell>
          <cell r="AK69" t="str">
            <v/>
          </cell>
          <cell r="AL69" t="str">
            <v/>
          </cell>
        </row>
        <row r="70">
          <cell r="F70" t="str">
            <v>20146</v>
          </cell>
          <cell r="G70" t="str">
            <v>RLE-TP-5MCP</v>
          </cell>
          <cell r="H70" t="str">
            <v xml:space="preserve">      </v>
          </cell>
          <cell r="I70" t="str">
            <v xml:space="preserve">  </v>
          </cell>
          <cell r="J70" t="str">
            <v>1</v>
          </cell>
          <cell r="K70">
            <v>20</v>
          </cell>
          <cell r="L70">
            <v>20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20</v>
          </cell>
          <cell r="R70">
            <v>20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I70">
            <v>40</v>
          </cell>
          <cell r="AJ70">
            <v>0</v>
          </cell>
          <cell r="AK70" t="str">
            <v/>
          </cell>
          <cell r="AL70" t="str">
            <v/>
          </cell>
        </row>
        <row r="71">
          <cell r="F71" t="str">
            <v>20809</v>
          </cell>
          <cell r="G71" t="str">
            <v>YLE/DS4-10F</v>
          </cell>
          <cell r="H71" t="str">
            <v xml:space="preserve">      </v>
          </cell>
          <cell r="I71" t="str">
            <v xml:space="preserve">  </v>
          </cell>
          <cell r="J71" t="str">
            <v>1</v>
          </cell>
          <cell r="K71">
            <v>20</v>
          </cell>
          <cell r="L71">
            <v>20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20</v>
          </cell>
          <cell r="R71">
            <v>20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I71">
            <v>40</v>
          </cell>
          <cell r="AJ71">
            <v>0</v>
          </cell>
          <cell r="AK71" t="str">
            <v/>
          </cell>
          <cell r="AL71" t="str">
            <v/>
          </cell>
        </row>
        <row r="72">
          <cell r="F72" t="str">
            <v>15979</v>
          </cell>
          <cell r="G72" t="str">
            <v>CL-16830-B</v>
          </cell>
          <cell r="H72" t="str">
            <v xml:space="preserve">      </v>
          </cell>
          <cell r="I72" t="str">
            <v xml:space="preserve">  </v>
          </cell>
          <cell r="J72" t="str">
            <v>1</v>
          </cell>
          <cell r="K72">
            <v>20</v>
          </cell>
          <cell r="L72">
            <v>20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20</v>
          </cell>
          <cell r="R72">
            <v>20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I72">
            <v>40</v>
          </cell>
          <cell r="AJ72">
            <v>0</v>
          </cell>
          <cell r="AK72" t="str">
            <v/>
          </cell>
          <cell r="AL72" t="str">
            <v/>
          </cell>
        </row>
        <row r="73">
          <cell r="F73" t="str">
            <v>14476</v>
          </cell>
          <cell r="G73" t="str">
            <v>CL-1E020-W</v>
          </cell>
          <cell r="H73" t="str">
            <v xml:space="preserve">      </v>
          </cell>
          <cell r="I73" t="str">
            <v xml:space="preserve">  </v>
          </cell>
          <cell r="J73" t="str">
            <v>2</v>
          </cell>
          <cell r="K73">
            <v>40</v>
          </cell>
          <cell r="L73">
            <v>40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40</v>
          </cell>
          <cell r="R73">
            <v>40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I73">
            <v>80</v>
          </cell>
          <cell r="AJ73">
            <v>0</v>
          </cell>
          <cell r="AK73" t="str">
            <v/>
          </cell>
          <cell r="AL73" t="str">
            <v/>
          </cell>
        </row>
        <row r="74">
          <cell r="F74" t="str">
            <v>17834</v>
          </cell>
          <cell r="G74" t="str">
            <v>CL-2A460-W</v>
          </cell>
          <cell r="H74" t="str">
            <v xml:space="preserve">      </v>
          </cell>
          <cell r="I74" t="str">
            <v xml:space="preserve">  </v>
          </cell>
          <cell r="J74" t="str">
            <v>1</v>
          </cell>
          <cell r="K74">
            <v>20</v>
          </cell>
          <cell r="L74">
            <v>20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20</v>
          </cell>
          <cell r="R74">
            <v>20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I74">
            <v>40</v>
          </cell>
          <cell r="AJ74">
            <v>0</v>
          </cell>
          <cell r="AK74" t="str">
            <v/>
          </cell>
          <cell r="AL74" t="str">
            <v/>
          </cell>
        </row>
        <row r="75">
          <cell r="F75" t="str">
            <v>17848</v>
          </cell>
          <cell r="G75" t="str">
            <v>CL-3F290-B</v>
          </cell>
          <cell r="H75" t="str">
            <v xml:space="preserve">      </v>
          </cell>
          <cell r="I75" t="str">
            <v xml:space="preserve">  </v>
          </cell>
          <cell r="J75" t="str">
            <v>1</v>
          </cell>
          <cell r="K75">
            <v>20</v>
          </cell>
          <cell r="L75">
            <v>20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20</v>
          </cell>
          <cell r="R75">
            <v>20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I75">
            <v>40</v>
          </cell>
          <cell r="AJ75">
            <v>0</v>
          </cell>
          <cell r="AK75" t="str">
            <v/>
          </cell>
          <cell r="AL75" t="str">
            <v/>
          </cell>
        </row>
        <row r="76">
          <cell r="F76" t="str">
            <v>20166</v>
          </cell>
          <cell r="G76" t="str">
            <v>CL-52090-W</v>
          </cell>
          <cell r="H76" t="str">
            <v xml:space="preserve">      </v>
          </cell>
          <cell r="I76" t="str">
            <v xml:space="preserve">  </v>
          </cell>
          <cell r="J76" t="str">
            <v>2</v>
          </cell>
          <cell r="K76">
            <v>40</v>
          </cell>
          <cell r="L76">
            <v>40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40</v>
          </cell>
          <cell r="R76">
            <v>40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I76">
            <v>80</v>
          </cell>
          <cell r="AJ76">
            <v>0</v>
          </cell>
          <cell r="AK76" t="str">
            <v/>
          </cell>
          <cell r="AL76" t="str">
            <v/>
          </cell>
        </row>
        <row r="77">
          <cell r="F77" t="str">
            <v>18521</v>
          </cell>
          <cell r="G77" t="str">
            <v>GD3941</v>
          </cell>
          <cell r="H77" t="str">
            <v xml:space="preserve">      </v>
          </cell>
          <cell r="I77" t="str">
            <v xml:space="preserve">  </v>
          </cell>
          <cell r="J77" t="str">
            <v>1</v>
          </cell>
          <cell r="K77">
            <v>20</v>
          </cell>
          <cell r="L77">
            <v>20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20</v>
          </cell>
          <cell r="R77">
            <v>20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I77">
            <v>40</v>
          </cell>
          <cell r="AJ77">
            <v>0</v>
          </cell>
          <cell r="AK77" t="str">
            <v/>
          </cell>
          <cell r="AL77" t="str">
            <v/>
          </cell>
        </row>
        <row r="78">
          <cell r="F78" t="str">
            <v>07161</v>
          </cell>
          <cell r="G78" t="str">
            <v>VO6X0.5(B)</v>
          </cell>
          <cell r="H78" t="str">
            <v xml:space="preserve">70 </v>
          </cell>
          <cell r="I78" t="str">
            <v>ワリ</v>
          </cell>
          <cell r="J78" t="str">
            <v>1</v>
          </cell>
          <cell r="K78">
            <v>20</v>
          </cell>
          <cell r="L78">
            <v>20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20</v>
          </cell>
          <cell r="R78">
            <v>20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I78">
            <v>40</v>
          </cell>
          <cell r="AJ78">
            <v>0</v>
          </cell>
          <cell r="AK78">
            <v>2.8</v>
          </cell>
          <cell r="AL78">
            <v>0</v>
          </cell>
        </row>
        <row r="79">
          <cell r="F79" t="str">
            <v>07291</v>
          </cell>
          <cell r="G79" t="str">
            <v>VO8X0.5(B)</v>
          </cell>
          <cell r="H79" t="str">
            <v xml:space="preserve">70 </v>
          </cell>
          <cell r="I79" t="str">
            <v>ワリ</v>
          </cell>
          <cell r="J79" t="str">
            <v>1</v>
          </cell>
          <cell r="K79">
            <v>20</v>
          </cell>
          <cell r="L79">
            <v>20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20</v>
          </cell>
          <cell r="R79">
            <v>20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I79">
            <v>40</v>
          </cell>
          <cell r="AJ79">
            <v>0</v>
          </cell>
          <cell r="AK79">
            <v>2.8</v>
          </cell>
          <cell r="AL79">
            <v>0</v>
          </cell>
        </row>
        <row r="80">
          <cell r="F80" t="str">
            <v>07291</v>
          </cell>
          <cell r="G80" t="str">
            <v>VO8X0.5(B)</v>
          </cell>
          <cell r="H80" t="str">
            <v xml:space="preserve">270 </v>
          </cell>
          <cell r="I80" t="str">
            <v>ワリ</v>
          </cell>
          <cell r="J80" t="str">
            <v>1</v>
          </cell>
          <cell r="K80">
            <v>20</v>
          </cell>
          <cell r="L80">
            <v>20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20</v>
          </cell>
          <cell r="R80">
            <v>20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I80">
            <v>40</v>
          </cell>
          <cell r="AJ80">
            <v>0</v>
          </cell>
          <cell r="AK80">
            <v>10.8</v>
          </cell>
          <cell r="AL80">
            <v>0</v>
          </cell>
        </row>
        <row r="81">
          <cell r="F81" t="str">
            <v>07291</v>
          </cell>
          <cell r="G81" t="str">
            <v>VO8X0.5(B)</v>
          </cell>
          <cell r="H81" t="str">
            <v xml:space="preserve">300 </v>
          </cell>
          <cell r="I81" t="str">
            <v>ワリ</v>
          </cell>
          <cell r="J81" t="str">
            <v>1</v>
          </cell>
          <cell r="K81">
            <v>20</v>
          </cell>
          <cell r="L81">
            <v>20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20</v>
          </cell>
          <cell r="R81">
            <v>20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I81">
            <v>40</v>
          </cell>
          <cell r="AJ81">
            <v>0</v>
          </cell>
          <cell r="AK81">
            <v>12</v>
          </cell>
          <cell r="AL81">
            <v>0</v>
          </cell>
        </row>
        <row r="82">
          <cell r="F82" t="str">
            <v>08878</v>
          </cell>
          <cell r="G82" t="str">
            <v>VS70</v>
          </cell>
          <cell r="H82" t="str">
            <v xml:space="preserve">125 </v>
          </cell>
          <cell r="I82" t="str">
            <v xml:space="preserve">  </v>
          </cell>
          <cell r="J82" t="str">
            <v>1</v>
          </cell>
          <cell r="K82">
            <v>20</v>
          </cell>
          <cell r="L82">
            <v>20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20</v>
          </cell>
          <cell r="R82">
            <v>20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I82">
            <v>40</v>
          </cell>
          <cell r="AJ82">
            <v>0</v>
          </cell>
          <cell r="AK82">
            <v>5</v>
          </cell>
          <cell r="AL82">
            <v>0</v>
          </cell>
        </row>
        <row r="83">
          <cell r="F83" t="str">
            <v>14110</v>
          </cell>
          <cell r="G83" t="str">
            <v>DSR-13FA</v>
          </cell>
          <cell r="H83" t="str">
            <v xml:space="preserve">      </v>
          </cell>
          <cell r="I83" t="str">
            <v xml:space="preserve">  </v>
          </cell>
          <cell r="J83" t="str">
            <v>1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I83">
            <v>0</v>
          </cell>
          <cell r="AJ83">
            <v>0</v>
          </cell>
          <cell r="AK83" t="str">
            <v/>
          </cell>
          <cell r="AL83" t="str">
            <v/>
          </cell>
        </row>
        <row r="84">
          <cell r="F84" t="str">
            <v>20146</v>
          </cell>
          <cell r="G84" t="str">
            <v>RLE-TP-5MCP</v>
          </cell>
          <cell r="H84" t="str">
            <v xml:space="preserve">      </v>
          </cell>
          <cell r="I84" t="str">
            <v xml:space="preserve">  </v>
          </cell>
          <cell r="J84" t="str">
            <v>1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I84">
            <v>0</v>
          </cell>
          <cell r="AJ84">
            <v>0</v>
          </cell>
          <cell r="AK84" t="str">
            <v/>
          </cell>
          <cell r="AL84" t="str">
            <v/>
          </cell>
        </row>
        <row r="85">
          <cell r="F85" t="str">
            <v>15979</v>
          </cell>
          <cell r="G85" t="str">
            <v>CL-16830-B</v>
          </cell>
          <cell r="H85" t="str">
            <v xml:space="preserve">      </v>
          </cell>
          <cell r="I85" t="str">
            <v xml:space="preserve">  </v>
          </cell>
          <cell r="J85" t="str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I85">
            <v>0</v>
          </cell>
          <cell r="AJ85">
            <v>0</v>
          </cell>
          <cell r="AK85" t="str">
            <v/>
          </cell>
          <cell r="AL85" t="str">
            <v/>
          </cell>
        </row>
        <row r="86">
          <cell r="F86" t="str">
            <v>17834</v>
          </cell>
          <cell r="G86" t="str">
            <v>CL-2A460-W</v>
          </cell>
          <cell r="H86" t="str">
            <v xml:space="preserve">      </v>
          </cell>
          <cell r="I86" t="str">
            <v xml:space="preserve">  </v>
          </cell>
          <cell r="J86" t="str">
            <v>1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I86">
            <v>0</v>
          </cell>
          <cell r="AJ86">
            <v>0</v>
          </cell>
          <cell r="AK86" t="str">
            <v/>
          </cell>
          <cell r="AL86" t="str">
            <v/>
          </cell>
        </row>
        <row r="87">
          <cell r="F87" t="str">
            <v>17848</v>
          </cell>
          <cell r="G87" t="str">
            <v>CL-3F290-B</v>
          </cell>
          <cell r="H87" t="str">
            <v xml:space="preserve">      </v>
          </cell>
          <cell r="I87" t="str">
            <v xml:space="preserve">  </v>
          </cell>
          <cell r="J87" t="str">
            <v>1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I87">
            <v>0</v>
          </cell>
          <cell r="AJ87">
            <v>0</v>
          </cell>
          <cell r="AK87" t="str">
            <v/>
          </cell>
          <cell r="AL87" t="str">
            <v/>
          </cell>
        </row>
        <row r="88">
          <cell r="F88" t="str">
            <v>18521</v>
          </cell>
          <cell r="G88" t="str">
            <v>GD3941</v>
          </cell>
          <cell r="H88" t="str">
            <v xml:space="preserve">      </v>
          </cell>
          <cell r="I88" t="str">
            <v xml:space="preserve">  </v>
          </cell>
          <cell r="J88" t="str">
            <v>1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I88">
            <v>0</v>
          </cell>
          <cell r="AJ88">
            <v>0</v>
          </cell>
          <cell r="AK88" t="str">
            <v/>
          </cell>
          <cell r="AL88" t="str">
            <v/>
          </cell>
        </row>
        <row r="89">
          <cell r="F89" t="str">
            <v>07161</v>
          </cell>
          <cell r="G89" t="str">
            <v>VO6X0.5(B)</v>
          </cell>
          <cell r="H89" t="str">
            <v xml:space="preserve">70 </v>
          </cell>
          <cell r="I89" t="str">
            <v>ワリ</v>
          </cell>
          <cell r="J89" t="str">
            <v>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</row>
        <row r="90">
          <cell r="F90" t="str">
            <v>07161</v>
          </cell>
          <cell r="G90" t="str">
            <v>VO6X0.5(B)</v>
          </cell>
          <cell r="H90" t="str">
            <v xml:space="preserve">270 </v>
          </cell>
          <cell r="I90" t="str">
            <v>ワリ</v>
          </cell>
          <cell r="J90" t="str">
            <v>1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</row>
        <row r="91">
          <cell r="F91" t="str">
            <v>08878</v>
          </cell>
          <cell r="G91" t="str">
            <v>VS70</v>
          </cell>
          <cell r="H91" t="str">
            <v xml:space="preserve">125 </v>
          </cell>
          <cell r="I91" t="str">
            <v xml:space="preserve">  </v>
          </cell>
          <cell r="J91" t="str">
            <v>1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</row>
        <row r="92">
          <cell r="F92" t="str">
            <v>14110</v>
          </cell>
          <cell r="G92" t="str">
            <v>DSR-13FA</v>
          </cell>
          <cell r="H92" t="str">
            <v xml:space="preserve">      </v>
          </cell>
          <cell r="I92" t="str">
            <v xml:space="preserve">  </v>
          </cell>
          <cell r="J92" t="str">
            <v>1</v>
          </cell>
          <cell r="K92">
            <v>60</v>
          </cell>
          <cell r="L92">
            <v>60</v>
          </cell>
          <cell r="M92">
            <v>85</v>
          </cell>
          <cell r="N92">
            <v>85</v>
          </cell>
          <cell r="O92">
            <v>0</v>
          </cell>
          <cell r="P92">
            <v>0</v>
          </cell>
          <cell r="Q92">
            <v>145</v>
          </cell>
          <cell r="R92">
            <v>145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I92">
            <v>290</v>
          </cell>
          <cell r="AJ92">
            <v>0</v>
          </cell>
          <cell r="AK92" t="str">
            <v/>
          </cell>
          <cell r="AL92" t="str">
            <v/>
          </cell>
        </row>
        <row r="93">
          <cell r="F93" t="str">
            <v>10481</v>
          </cell>
          <cell r="G93" t="str">
            <v>DSR-5F</v>
          </cell>
          <cell r="H93" t="str">
            <v xml:space="preserve">      </v>
          </cell>
          <cell r="I93" t="str">
            <v xml:space="preserve">  </v>
          </cell>
          <cell r="J93" t="str">
            <v>1</v>
          </cell>
          <cell r="K93">
            <v>60</v>
          </cell>
          <cell r="L93">
            <v>60</v>
          </cell>
          <cell r="M93">
            <v>85</v>
          </cell>
          <cell r="N93">
            <v>85</v>
          </cell>
          <cell r="O93">
            <v>0</v>
          </cell>
          <cell r="P93">
            <v>0</v>
          </cell>
          <cell r="Q93">
            <v>145</v>
          </cell>
          <cell r="R93">
            <v>145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I93">
            <v>290</v>
          </cell>
          <cell r="AJ93">
            <v>0</v>
          </cell>
          <cell r="AK93" t="str">
            <v/>
          </cell>
          <cell r="AL93" t="str">
            <v/>
          </cell>
        </row>
        <row r="94">
          <cell r="F94" t="str">
            <v>10181</v>
          </cell>
          <cell r="G94" t="str">
            <v>DSY-6F-B</v>
          </cell>
          <cell r="H94" t="str">
            <v xml:space="preserve">      </v>
          </cell>
          <cell r="I94" t="str">
            <v xml:space="preserve">  </v>
          </cell>
          <cell r="J94" t="str">
            <v>1</v>
          </cell>
          <cell r="K94">
            <v>60</v>
          </cell>
          <cell r="L94">
            <v>60</v>
          </cell>
          <cell r="M94">
            <v>85</v>
          </cell>
          <cell r="N94">
            <v>85</v>
          </cell>
          <cell r="O94">
            <v>0</v>
          </cell>
          <cell r="P94">
            <v>0</v>
          </cell>
          <cell r="Q94">
            <v>145</v>
          </cell>
          <cell r="R94">
            <v>145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I94">
            <v>290</v>
          </cell>
          <cell r="AJ94">
            <v>0</v>
          </cell>
          <cell r="AK94" t="str">
            <v/>
          </cell>
          <cell r="AL94" t="str">
            <v/>
          </cell>
        </row>
        <row r="95">
          <cell r="F95" t="str">
            <v>20146</v>
          </cell>
          <cell r="G95" t="str">
            <v>RLE-TP-5MCP</v>
          </cell>
          <cell r="H95" t="str">
            <v xml:space="preserve">      </v>
          </cell>
          <cell r="I95" t="str">
            <v xml:space="preserve">  </v>
          </cell>
          <cell r="J95" t="str">
            <v>1</v>
          </cell>
          <cell r="K95">
            <v>60</v>
          </cell>
          <cell r="L95">
            <v>60</v>
          </cell>
          <cell r="M95">
            <v>85</v>
          </cell>
          <cell r="N95">
            <v>85</v>
          </cell>
          <cell r="O95">
            <v>0</v>
          </cell>
          <cell r="P95">
            <v>0</v>
          </cell>
          <cell r="Q95">
            <v>145</v>
          </cell>
          <cell r="R95">
            <v>145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I95">
            <v>290</v>
          </cell>
          <cell r="AJ95">
            <v>0</v>
          </cell>
          <cell r="AK95" t="str">
            <v/>
          </cell>
          <cell r="AL95" t="str">
            <v/>
          </cell>
        </row>
        <row r="96">
          <cell r="F96" t="str">
            <v>20809</v>
          </cell>
          <cell r="G96" t="str">
            <v>YLE/DS4-10F</v>
          </cell>
          <cell r="H96" t="str">
            <v xml:space="preserve">      </v>
          </cell>
          <cell r="I96" t="str">
            <v xml:space="preserve">  </v>
          </cell>
          <cell r="J96" t="str">
            <v>1</v>
          </cell>
          <cell r="K96">
            <v>60</v>
          </cell>
          <cell r="L96">
            <v>60</v>
          </cell>
          <cell r="M96">
            <v>85</v>
          </cell>
          <cell r="N96">
            <v>85</v>
          </cell>
          <cell r="O96">
            <v>0</v>
          </cell>
          <cell r="P96">
            <v>0</v>
          </cell>
          <cell r="Q96">
            <v>145</v>
          </cell>
          <cell r="R96">
            <v>145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I96">
            <v>290</v>
          </cell>
          <cell r="AJ96">
            <v>0</v>
          </cell>
          <cell r="AK96" t="str">
            <v/>
          </cell>
          <cell r="AL96" t="str">
            <v/>
          </cell>
        </row>
        <row r="97">
          <cell r="F97" t="str">
            <v>15979</v>
          </cell>
          <cell r="G97" t="str">
            <v>CL-16830-B</v>
          </cell>
          <cell r="H97" t="str">
            <v xml:space="preserve">      </v>
          </cell>
          <cell r="I97" t="str">
            <v xml:space="preserve">  </v>
          </cell>
          <cell r="J97" t="str">
            <v>1</v>
          </cell>
          <cell r="K97">
            <v>60</v>
          </cell>
          <cell r="L97">
            <v>60</v>
          </cell>
          <cell r="M97">
            <v>85</v>
          </cell>
          <cell r="N97">
            <v>85</v>
          </cell>
          <cell r="O97">
            <v>0</v>
          </cell>
          <cell r="P97">
            <v>0</v>
          </cell>
          <cell r="Q97">
            <v>145</v>
          </cell>
          <cell r="R97">
            <v>145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I97">
            <v>290</v>
          </cell>
          <cell r="AJ97">
            <v>0</v>
          </cell>
          <cell r="AK97" t="str">
            <v/>
          </cell>
          <cell r="AL97" t="str">
            <v/>
          </cell>
        </row>
        <row r="98">
          <cell r="F98" t="str">
            <v>14476</v>
          </cell>
          <cell r="G98" t="str">
            <v>CL-1E020-W</v>
          </cell>
          <cell r="H98" t="str">
            <v xml:space="preserve">      </v>
          </cell>
          <cell r="I98" t="str">
            <v xml:space="preserve">  </v>
          </cell>
          <cell r="J98" t="str">
            <v>2</v>
          </cell>
          <cell r="K98">
            <v>120</v>
          </cell>
          <cell r="L98">
            <v>120</v>
          </cell>
          <cell r="M98">
            <v>170</v>
          </cell>
          <cell r="N98">
            <v>170</v>
          </cell>
          <cell r="O98">
            <v>0</v>
          </cell>
          <cell r="P98">
            <v>0</v>
          </cell>
          <cell r="Q98">
            <v>290</v>
          </cell>
          <cell r="R98">
            <v>290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I98">
            <v>580</v>
          </cell>
          <cell r="AJ98">
            <v>0</v>
          </cell>
          <cell r="AK98" t="str">
            <v/>
          </cell>
          <cell r="AL98" t="str">
            <v/>
          </cell>
        </row>
        <row r="99">
          <cell r="F99" t="str">
            <v>17834</v>
          </cell>
          <cell r="G99" t="str">
            <v>CL-2A460-W</v>
          </cell>
          <cell r="H99" t="str">
            <v xml:space="preserve">      </v>
          </cell>
          <cell r="I99" t="str">
            <v xml:space="preserve">  </v>
          </cell>
          <cell r="J99" t="str">
            <v>1</v>
          </cell>
          <cell r="K99">
            <v>60</v>
          </cell>
          <cell r="L99">
            <v>60</v>
          </cell>
          <cell r="M99">
            <v>85</v>
          </cell>
          <cell r="N99">
            <v>85</v>
          </cell>
          <cell r="O99">
            <v>0</v>
          </cell>
          <cell r="P99">
            <v>0</v>
          </cell>
          <cell r="Q99">
            <v>145</v>
          </cell>
          <cell r="R99">
            <v>145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I99">
            <v>290</v>
          </cell>
          <cell r="AJ99">
            <v>0</v>
          </cell>
          <cell r="AK99" t="str">
            <v/>
          </cell>
          <cell r="AL99" t="str">
            <v/>
          </cell>
        </row>
        <row r="100">
          <cell r="F100" t="str">
            <v>17848</v>
          </cell>
          <cell r="G100" t="str">
            <v>CL-3F290-B</v>
          </cell>
          <cell r="H100" t="str">
            <v xml:space="preserve">      </v>
          </cell>
          <cell r="I100" t="str">
            <v xml:space="preserve">  </v>
          </cell>
          <cell r="J100" t="str">
            <v>1</v>
          </cell>
          <cell r="K100">
            <v>60</v>
          </cell>
          <cell r="L100">
            <v>60</v>
          </cell>
          <cell r="M100">
            <v>85</v>
          </cell>
          <cell r="N100">
            <v>85</v>
          </cell>
          <cell r="O100">
            <v>0</v>
          </cell>
          <cell r="P100">
            <v>0</v>
          </cell>
          <cell r="Q100">
            <v>145</v>
          </cell>
          <cell r="R100">
            <v>145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I100">
            <v>290</v>
          </cell>
          <cell r="AJ100">
            <v>0</v>
          </cell>
          <cell r="AK100" t="str">
            <v/>
          </cell>
          <cell r="AL100" t="str">
            <v/>
          </cell>
        </row>
        <row r="101">
          <cell r="F101" t="str">
            <v>20166</v>
          </cell>
          <cell r="G101" t="str">
            <v>CL-52090-W</v>
          </cell>
          <cell r="H101" t="str">
            <v xml:space="preserve">      </v>
          </cell>
          <cell r="I101" t="str">
            <v xml:space="preserve">  </v>
          </cell>
          <cell r="J101" t="str">
            <v>2</v>
          </cell>
          <cell r="K101">
            <v>120</v>
          </cell>
          <cell r="L101">
            <v>120</v>
          </cell>
          <cell r="M101">
            <v>170</v>
          </cell>
          <cell r="N101">
            <v>170</v>
          </cell>
          <cell r="O101">
            <v>0</v>
          </cell>
          <cell r="P101">
            <v>0</v>
          </cell>
          <cell r="Q101">
            <v>290</v>
          </cell>
          <cell r="R101">
            <v>290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I101">
            <v>580</v>
          </cell>
          <cell r="AJ101">
            <v>0</v>
          </cell>
          <cell r="AK101" t="str">
            <v/>
          </cell>
          <cell r="AL101" t="str">
            <v/>
          </cell>
        </row>
        <row r="102">
          <cell r="F102" t="str">
            <v>18521</v>
          </cell>
          <cell r="G102" t="str">
            <v>GD3941</v>
          </cell>
          <cell r="H102" t="str">
            <v xml:space="preserve">      </v>
          </cell>
          <cell r="I102" t="str">
            <v xml:space="preserve">  </v>
          </cell>
          <cell r="J102" t="str">
            <v>1</v>
          </cell>
          <cell r="K102">
            <v>60</v>
          </cell>
          <cell r="L102">
            <v>60</v>
          </cell>
          <cell r="M102">
            <v>85</v>
          </cell>
          <cell r="N102">
            <v>85</v>
          </cell>
          <cell r="O102">
            <v>0</v>
          </cell>
          <cell r="P102">
            <v>0</v>
          </cell>
          <cell r="Q102">
            <v>145</v>
          </cell>
          <cell r="R102">
            <v>145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I102">
            <v>290</v>
          </cell>
          <cell r="AJ102">
            <v>0</v>
          </cell>
          <cell r="AK102" t="str">
            <v/>
          </cell>
          <cell r="AL102" t="str">
            <v/>
          </cell>
        </row>
        <row r="103">
          <cell r="F103" t="str">
            <v>07410</v>
          </cell>
          <cell r="G103" t="str">
            <v>VO12X0.5(B)</v>
          </cell>
          <cell r="H103" t="str">
            <v xml:space="preserve">270 </v>
          </cell>
          <cell r="I103" t="str">
            <v>ワリ</v>
          </cell>
          <cell r="J103" t="str">
            <v>1</v>
          </cell>
          <cell r="K103">
            <v>60</v>
          </cell>
          <cell r="L103">
            <v>60</v>
          </cell>
          <cell r="M103">
            <v>85</v>
          </cell>
          <cell r="N103">
            <v>85</v>
          </cell>
          <cell r="O103">
            <v>0</v>
          </cell>
          <cell r="P103">
            <v>0</v>
          </cell>
          <cell r="Q103">
            <v>145</v>
          </cell>
          <cell r="R103">
            <v>145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I103">
            <v>290</v>
          </cell>
          <cell r="AJ103">
            <v>0</v>
          </cell>
          <cell r="AK103">
            <v>78.3</v>
          </cell>
          <cell r="AL103">
            <v>0</v>
          </cell>
        </row>
        <row r="104">
          <cell r="F104" t="str">
            <v>07161</v>
          </cell>
          <cell r="G104" t="str">
            <v>VO6X0.5(B)</v>
          </cell>
          <cell r="H104" t="str">
            <v xml:space="preserve">70 </v>
          </cell>
          <cell r="I104" t="str">
            <v>ワリ</v>
          </cell>
          <cell r="J104" t="str">
            <v>1</v>
          </cell>
          <cell r="K104">
            <v>60</v>
          </cell>
          <cell r="L104">
            <v>60</v>
          </cell>
          <cell r="M104">
            <v>85</v>
          </cell>
          <cell r="N104">
            <v>85</v>
          </cell>
          <cell r="O104">
            <v>0</v>
          </cell>
          <cell r="P104">
            <v>0</v>
          </cell>
          <cell r="Q104">
            <v>145</v>
          </cell>
          <cell r="R104">
            <v>145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I104">
            <v>290</v>
          </cell>
          <cell r="AJ104">
            <v>0</v>
          </cell>
          <cell r="AK104">
            <v>20.3</v>
          </cell>
          <cell r="AL104">
            <v>0</v>
          </cell>
        </row>
        <row r="105">
          <cell r="F105" t="str">
            <v>07291</v>
          </cell>
          <cell r="G105" t="str">
            <v>VO8X0.5(B)</v>
          </cell>
          <cell r="H105" t="str">
            <v xml:space="preserve">70 </v>
          </cell>
          <cell r="I105" t="str">
            <v>ワリ</v>
          </cell>
          <cell r="J105" t="str">
            <v>1</v>
          </cell>
          <cell r="K105">
            <v>60</v>
          </cell>
          <cell r="L105">
            <v>60</v>
          </cell>
          <cell r="M105">
            <v>85</v>
          </cell>
          <cell r="N105">
            <v>85</v>
          </cell>
          <cell r="O105">
            <v>0</v>
          </cell>
          <cell r="P105">
            <v>0</v>
          </cell>
          <cell r="Q105">
            <v>145</v>
          </cell>
          <cell r="R105">
            <v>145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I105">
            <v>290</v>
          </cell>
          <cell r="AJ105">
            <v>0</v>
          </cell>
          <cell r="AK105">
            <v>20.3</v>
          </cell>
          <cell r="AL105">
            <v>0</v>
          </cell>
        </row>
        <row r="106">
          <cell r="F106" t="str">
            <v>07291</v>
          </cell>
          <cell r="G106" t="str">
            <v>VO8X0.5(B)</v>
          </cell>
          <cell r="H106" t="str">
            <v xml:space="preserve">300 </v>
          </cell>
          <cell r="I106" t="str">
            <v>ワリ</v>
          </cell>
          <cell r="J106" t="str">
            <v>1</v>
          </cell>
          <cell r="K106">
            <v>60</v>
          </cell>
          <cell r="L106">
            <v>60</v>
          </cell>
          <cell r="M106">
            <v>85</v>
          </cell>
          <cell r="N106">
            <v>85</v>
          </cell>
          <cell r="O106">
            <v>0</v>
          </cell>
          <cell r="P106">
            <v>0</v>
          </cell>
          <cell r="Q106">
            <v>145</v>
          </cell>
          <cell r="R106">
            <v>145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I106">
            <v>290</v>
          </cell>
          <cell r="AJ106">
            <v>0</v>
          </cell>
          <cell r="AK106">
            <v>87</v>
          </cell>
          <cell r="AL106">
            <v>0</v>
          </cell>
        </row>
        <row r="107">
          <cell r="F107" t="str">
            <v>08878</v>
          </cell>
          <cell r="G107" t="str">
            <v>VS70</v>
          </cell>
          <cell r="H107" t="str">
            <v xml:space="preserve">125 </v>
          </cell>
          <cell r="I107" t="str">
            <v xml:space="preserve">  </v>
          </cell>
          <cell r="J107" t="str">
            <v>1</v>
          </cell>
          <cell r="K107">
            <v>60</v>
          </cell>
          <cell r="L107">
            <v>60</v>
          </cell>
          <cell r="M107">
            <v>85</v>
          </cell>
          <cell r="N107">
            <v>85</v>
          </cell>
          <cell r="O107">
            <v>0</v>
          </cell>
          <cell r="P107">
            <v>0</v>
          </cell>
          <cell r="Q107">
            <v>145</v>
          </cell>
          <cell r="R107">
            <v>145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I107">
            <v>290</v>
          </cell>
          <cell r="AJ107">
            <v>0</v>
          </cell>
          <cell r="AK107">
            <v>36.25</v>
          </cell>
          <cell r="AL107">
            <v>0</v>
          </cell>
        </row>
        <row r="108">
          <cell r="F108" t="str">
            <v>10673</v>
          </cell>
          <cell r="G108" t="str">
            <v>DS-6FA</v>
          </cell>
          <cell r="H108" t="str">
            <v xml:space="preserve">      </v>
          </cell>
          <cell r="I108" t="str">
            <v xml:space="preserve">  </v>
          </cell>
          <cell r="J108" t="str">
            <v>1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60</v>
          </cell>
          <cell r="T108">
            <v>0</v>
          </cell>
          <cell r="U108">
            <v>300</v>
          </cell>
          <cell r="V108">
            <v>0</v>
          </cell>
          <cell r="W108">
            <v>0</v>
          </cell>
          <cell r="X108">
            <v>0</v>
          </cell>
          <cell r="Y108">
            <v>360</v>
          </cell>
          <cell r="Z108">
            <v>0</v>
          </cell>
          <cell r="AI108">
            <v>0</v>
          </cell>
          <cell r="AJ108">
            <v>360</v>
          </cell>
          <cell r="AK108" t="str">
            <v/>
          </cell>
          <cell r="AL108" t="str">
            <v/>
          </cell>
        </row>
        <row r="109">
          <cell r="F109" t="str">
            <v>20822</v>
          </cell>
          <cell r="G109" t="str">
            <v>GD1234</v>
          </cell>
          <cell r="H109" t="str">
            <v xml:space="preserve">      </v>
          </cell>
          <cell r="I109" t="str">
            <v xml:space="preserve">  </v>
          </cell>
          <cell r="J109" t="str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60</v>
          </cell>
          <cell r="T109">
            <v>0</v>
          </cell>
          <cell r="U109">
            <v>300</v>
          </cell>
          <cell r="V109">
            <v>0</v>
          </cell>
          <cell r="W109">
            <v>0</v>
          </cell>
          <cell r="X109">
            <v>0</v>
          </cell>
          <cell r="Y109">
            <v>360</v>
          </cell>
          <cell r="Z109">
            <v>0</v>
          </cell>
          <cell r="AI109">
            <v>0</v>
          </cell>
          <cell r="AJ109">
            <v>360</v>
          </cell>
          <cell r="AK109" t="str">
            <v/>
          </cell>
          <cell r="AL109" t="str">
            <v/>
          </cell>
        </row>
        <row r="110">
          <cell r="F110" t="str">
            <v>20809</v>
          </cell>
          <cell r="G110" t="str">
            <v>YLE/DS4-10F</v>
          </cell>
          <cell r="H110" t="str">
            <v xml:space="preserve">      </v>
          </cell>
          <cell r="I110" t="str">
            <v xml:space="preserve">  </v>
          </cell>
          <cell r="J110" t="str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60</v>
          </cell>
          <cell r="T110">
            <v>0</v>
          </cell>
          <cell r="U110">
            <v>300</v>
          </cell>
          <cell r="V110">
            <v>0</v>
          </cell>
          <cell r="W110">
            <v>0</v>
          </cell>
          <cell r="X110">
            <v>0</v>
          </cell>
          <cell r="Y110">
            <v>360</v>
          </cell>
          <cell r="Z110">
            <v>0</v>
          </cell>
          <cell r="AI110">
            <v>0</v>
          </cell>
          <cell r="AJ110">
            <v>360</v>
          </cell>
          <cell r="AK110" t="str">
            <v/>
          </cell>
          <cell r="AL110" t="str">
            <v/>
          </cell>
        </row>
        <row r="111">
          <cell r="F111" t="str">
            <v>17834</v>
          </cell>
          <cell r="G111" t="str">
            <v>CL-2A460-W</v>
          </cell>
          <cell r="H111" t="str">
            <v xml:space="preserve">      </v>
          </cell>
          <cell r="I111" t="str">
            <v xml:space="preserve">  </v>
          </cell>
          <cell r="J111" t="str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60</v>
          </cell>
          <cell r="T111">
            <v>0</v>
          </cell>
          <cell r="U111">
            <v>300</v>
          </cell>
          <cell r="V111">
            <v>0</v>
          </cell>
          <cell r="W111">
            <v>0</v>
          </cell>
          <cell r="X111">
            <v>0</v>
          </cell>
          <cell r="Y111">
            <v>360</v>
          </cell>
          <cell r="Z111">
            <v>0</v>
          </cell>
          <cell r="AI111">
            <v>0</v>
          </cell>
          <cell r="AJ111">
            <v>360</v>
          </cell>
          <cell r="AK111" t="str">
            <v/>
          </cell>
          <cell r="AL111" t="str">
            <v/>
          </cell>
        </row>
        <row r="112">
          <cell r="F112" t="str">
            <v>12929</v>
          </cell>
          <cell r="G112" t="str">
            <v>CL-3A540-W</v>
          </cell>
          <cell r="H112" t="str">
            <v xml:space="preserve">      </v>
          </cell>
          <cell r="I112" t="str">
            <v xml:space="preserve">  </v>
          </cell>
          <cell r="J112" t="str">
            <v>1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60</v>
          </cell>
          <cell r="T112">
            <v>0</v>
          </cell>
          <cell r="U112">
            <v>300</v>
          </cell>
          <cell r="V112">
            <v>0</v>
          </cell>
          <cell r="W112">
            <v>0</v>
          </cell>
          <cell r="X112">
            <v>0</v>
          </cell>
          <cell r="Y112">
            <v>360</v>
          </cell>
          <cell r="Z112">
            <v>0</v>
          </cell>
          <cell r="AI112">
            <v>0</v>
          </cell>
          <cell r="AJ112">
            <v>360</v>
          </cell>
          <cell r="AK112" t="str">
            <v/>
          </cell>
          <cell r="AL112" t="str">
            <v/>
          </cell>
        </row>
        <row r="113">
          <cell r="F113" t="str">
            <v>18533</v>
          </cell>
          <cell r="G113" t="str">
            <v>CL-52070-W</v>
          </cell>
          <cell r="H113" t="str">
            <v xml:space="preserve">      </v>
          </cell>
          <cell r="I113" t="str">
            <v xml:space="preserve">  </v>
          </cell>
          <cell r="J113" t="str">
            <v>4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240</v>
          </cell>
          <cell r="T113">
            <v>0</v>
          </cell>
          <cell r="U113">
            <v>1200</v>
          </cell>
          <cell r="V113">
            <v>0</v>
          </cell>
          <cell r="W113">
            <v>0</v>
          </cell>
          <cell r="X113">
            <v>0</v>
          </cell>
          <cell r="Y113">
            <v>1440</v>
          </cell>
          <cell r="Z113">
            <v>0</v>
          </cell>
          <cell r="AI113">
            <v>0</v>
          </cell>
          <cell r="AJ113">
            <v>1440</v>
          </cell>
          <cell r="AK113" t="str">
            <v/>
          </cell>
          <cell r="AL113" t="str">
            <v/>
          </cell>
        </row>
        <row r="114">
          <cell r="F114" t="str">
            <v>07161</v>
          </cell>
          <cell r="G114" t="str">
            <v>VO6X0.5(B)</v>
          </cell>
          <cell r="H114" t="str">
            <v xml:space="preserve">110 </v>
          </cell>
          <cell r="I114" t="str">
            <v>ワリ</v>
          </cell>
          <cell r="J114" t="str">
            <v>1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60</v>
          </cell>
          <cell r="T114">
            <v>0</v>
          </cell>
          <cell r="U114">
            <v>300</v>
          </cell>
          <cell r="V114">
            <v>0</v>
          </cell>
          <cell r="W114">
            <v>0</v>
          </cell>
          <cell r="X114">
            <v>0</v>
          </cell>
          <cell r="Y114">
            <v>360</v>
          </cell>
          <cell r="Z114">
            <v>0</v>
          </cell>
          <cell r="AI114">
            <v>0</v>
          </cell>
          <cell r="AJ114">
            <v>360</v>
          </cell>
          <cell r="AK114">
            <v>0</v>
          </cell>
          <cell r="AL114">
            <v>39.6</v>
          </cell>
        </row>
        <row r="115">
          <cell r="F115" t="str">
            <v>07161</v>
          </cell>
          <cell r="G115" t="str">
            <v>VO6X0.5(B)</v>
          </cell>
          <cell r="H115" t="str">
            <v xml:space="preserve">175 </v>
          </cell>
          <cell r="I115" t="str">
            <v>ワリ</v>
          </cell>
          <cell r="J115" t="str">
            <v>1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60</v>
          </cell>
          <cell r="T115">
            <v>0</v>
          </cell>
          <cell r="U115">
            <v>300</v>
          </cell>
          <cell r="V115">
            <v>0</v>
          </cell>
          <cell r="W115">
            <v>0</v>
          </cell>
          <cell r="X115">
            <v>0</v>
          </cell>
          <cell r="Y115">
            <v>360</v>
          </cell>
          <cell r="Z115">
            <v>0</v>
          </cell>
          <cell r="AI115">
            <v>0</v>
          </cell>
          <cell r="AJ115">
            <v>360</v>
          </cell>
          <cell r="AK115">
            <v>0</v>
          </cell>
          <cell r="AL115">
            <v>63</v>
          </cell>
        </row>
        <row r="116">
          <cell r="F116" t="str">
            <v>07161</v>
          </cell>
          <cell r="G116" t="str">
            <v>VO6X0.5(B)</v>
          </cell>
          <cell r="H116" t="str">
            <v xml:space="preserve">225 </v>
          </cell>
          <cell r="I116" t="str">
            <v xml:space="preserve">  </v>
          </cell>
          <cell r="J116" t="str">
            <v>1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60</v>
          </cell>
          <cell r="T116">
            <v>0</v>
          </cell>
          <cell r="U116">
            <v>300</v>
          </cell>
          <cell r="V116">
            <v>0</v>
          </cell>
          <cell r="W116">
            <v>0</v>
          </cell>
          <cell r="X116">
            <v>0</v>
          </cell>
          <cell r="Y116">
            <v>360</v>
          </cell>
          <cell r="Z116">
            <v>0</v>
          </cell>
          <cell r="AI116">
            <v>0</v>
          </cell>
          <cell r="AJ116">
            <v>360</v>
          </cell>
          <cell r="AK116">
            <v>0</v>
          </cell>
          <cell r="AL116">
            <v>81</v>
          </cell>
        </row>
        <row r="117">
          <cell r="F117" t="str">
            <v>07291</v>
          </cell>
          <cell r="G117" t="str">
            <v>VO8X0.5(B)</v>
          </cell>
          <cell r="H117" t="str">
            <v xml:space="preserve">190 </v>
          </cell>
          <cell r="I117" t="str">
            <v>ワリ</v>
          </cell>
          <cell r="J117" t="str">
            <v>1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60</v>
          </cell>
          <cell r="T117">
            <v>0</v>
          </cell>
          <cell r="U117">
            <v>300</v>
          </cell>
          <cell r="V117">
            <v>0</v>
          </cell>
          <cell r="W117">
            <v>0</v>
          </cell>
          <cell r="X117">
            <v>0</v>
          </cell>
          <cell r="Y117">
            <v>360</v>
          </cell>
          <cell r="Z117">
            <v>0</v>
          </cell>
          <cell r="AI117">
            <v>0</v>
          </cell>
          <cell r="AJ117">
            <v>360</v>
          </cell>
          <cell r="AK117">
            <v>0</v>
          </cell>
          <cell r="AL117">
            <v>68.400000000000006</v>
          </cell>
        </row>
        <row r="118">
          <cell r="F118" t="str">
            <v>00979</v>
          </cell>
          <cell r="G118" t="str">
            <v>MARUBO5X190</v>
          </cell>
          <cell r="H118" t="str">
            <v xml:space="preserve">      </v>
          </cell>
          <cell r="I118" t="str">
            <v xml:space="preserve">  </v>
          </cell>
          <cell r="J118" t="str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60</v>
          </cell>
          <cell r="T118">
            <v>0</v>
          </cell>
          <cell r="U118">
            <v>300</v>
          </cell>
          <cell r="V118">
            <v>0</v>
          </cell>
          <cell r="W118">
            <v>0</v>
          </cell>
          <cell r="X118">
            <v>0</v>
          </cell>
          <cell r="Y118">
            <v>360</v>
          </cell>
          <cell r="Z118">
            <v>0</v>
          </cell>
          <cell r="AI118">
            <v>0</v>
          </cell>
          <cell r="AJ118">
            <v>360</v>
          </cell>
          <cell r="AK118" t="str">
            <v/>
          </cell>
          <cell r="AL118" t="str">
            <v/>
          </cell>
        </row>
        <row r="119">
          <cell r="F119" t="str">
            <v>10673</v>
          </cell>
          <cell r="G119" t="str">
            <v>DS-6FA</v>
          </cell>
          <cell r="H119" t="str">
            <v xml:space="preserve">      </v>
          </cell>
          <cell r="I119" t="str">
            <v xml:space="preserve">  </v>
          </cell>
          <cell r="J119" t="str">
            <v>1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240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240</v>
          </cell>
          <cell r="Z119">
            <v>0</v>
          </cell>
          <cell r="AI119">
            <v>0</v>
          </cell>
          <cell r="AJ119">
            <v>240</v>
          </cell>
          <cell r="AK119" t="str">
            <v/>
          </cell>
          <cell r="AL119" t="str">
            <v/>
          </cell>
        </row>
        <row r="120">
          <cell r="F120" t="str">
            <v>10181</v>
          </cell>
          <cell r="G120" t="str">
            <v>DSY-6F-B</v>
          </cell>
          <cell r="H120" t="str">
            <v xml:space="preserve">      </v>
          </cell>
          <cell r="I120" t="str">
            <v xml:space="preserve">  </v>
          </cell>
          <cell r="J120" t="str">
            <v>1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240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240</v>
          </cell>
          <cell r="Z120">
            <v>0</v>
          </cell>
          <cell r="AI120">
            <v>0</v>
          </cell>
          <cell r="AJ120">
            <v>240</v>
          </cell>
          <cell r="AK120" t="str">
            <v/>
          </cell>
          <cell r="AL120" t="str">
            <v/>
          </cell>
        </row>
        <row r="121">
          <cell r="F121" t="str">
            <v>20822</v>
          </cell>
          <cell r="G121" t="str">
            <v>GD1234</v>
          </cell>
          <cell r="H121" t="str">
            <v xml:space="preserve">      </v>
          </cell>
          <cell r="I121" t="str">
            <v xml:space="preserve">  </v>
          </cell>
          <cell r="J121" t="str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240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240</v>
          </cell>
          <cell r="Z121">
            <v>0</v>
          </cell>
          <cell r="AI121">
            <v>0</v>
          </cell>
          <cell r="AJ121">
            <v>240</v>
          </cell>
          <cell r="AK121" t="str">
            <v/>
          </cell>
          <cell r="AL121" t="str">
            <v/>
          </cell>
        </row>
        <row r="122">
          <cell r="F122" t="str">
            <v>12556</v>
          </cell>
          <cell r="G122" t="str">
            <v>STDC-E-D5F</v>
          </cell>
          <cell r="H122" t="str">
            <v xml:space="preserve">      </v>
          </cell>
          <cell r="I122" t="str">
            <v xml:space="preserve">  </v>
          </cell>
          <cell r="J122" t="str">
            <v>1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240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240</v>
          </cell>
          <cell r="Z122">
            <v>0</v>
          </cell>
          <cell r="AI122">
            <v>0</v>
          </cell>
          <cell r="AJ122">
            <v>240</v>
          </cell>
          <cell r="AK122" t="str">
            <v/>
          </cell>
          <cell r="AL122" t="str">
            <v/>
          </cell>
        </row>
        <row r="123">
          <cell r="F123" t="str">
            <v>20809</v>
          </cell>
          <cell r="G123" t="str">
            <v>YLE/DS4-10F</v>
          </cell>
          <cell r="H123" t="str">
            <v xml:space="preserve">      </v>
          </cell>
          <cell r="I123" t="str">
            <v xml:space="preserve">  </v>
          </cell>
          <cell r="J123" t="str">
            <v>1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240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240</v>
          </cell>
          <cell r="Z123">
            <v>0</v>
          </cell>
          <cell r="AI123">
            <v>0</v>
          </cell>
          <cell r="AJ123">
            <v>240</v>
          </cell>
          <cell r="AK123" t="str">
            <v/>
          </cell>
          <cell r="AL123" t="str">
            <v/>
          </cell>
        </row>
        <row r="124">
          <cell r="F124" t="str">
            <v>17834</v>
          </cell>
          <cell r="G124" t="str">
            <v>CL-2A460-W</v>
          </cell>
          <cell r="H124" t="str">
            <v xml:space="preserve">      </v>
          </cell>
          <cell r="I124" t="str">
            <v xml:space="preserve">  </v>
          </cell>
          <cell r="J124" t="str">
            <v>1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240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240</v>
          </cell>
          <cell r="Z124">
            <v>0</v>
          </cell>
          <cell r="AI124">
            <v>0</v>
          </cell>
          <cell r="AJ124">
            <v>240</v>
          </cell>
          <cell r="AK124" t="str">
            <v/>
          </cell>
          <cell r="AL124" t="str">
            <v/>
          </cell>
        </row>
        <row r="125">
          <cell r="F125" t="str">
            <v>12929</v>
          </cell>
          <cell r="G125" t="str">
            <v>CL-3A540-W</v>
          </cell>
          <cell r="H125" t="str">
            <v xml:space="preserve">      </v>
          </cell>
          <cell r="I125" t="str">
            <v xml:space="preserve">  </v>
          </cell>
          <cell r="J125" t="str">
            <v>1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240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240</v>
          </cell>
          <cell r="Z125">
            <v>0</v>
          </cell>
          <cell r="AI125">
            <v>0</v>
          </cell>
          <cell r="AJ125">
            <v>240</v>
          </cell>
          <cell r="AK125" t="str">
            <v/>
          </cell>
          <cell r="AL125" t="str">
            <v/>
          </cell>
        </row>
        <row r="126">
          <cell r="F126" t="str">
            <v>18533</v>
          </cell>
          <cell r="G126" t="str">
            <v>CL-52070-W</v>
          </cell>
          <cell r="H126" t="str">
            <v xml:space="preserve">      </v>
          </cell>
          <cell r="I126" t="str">
            <v xml:space="preserve">  </v>
          </cell>
          <cell r="J126" t="str">
            <v>5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1200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1200</v>
          </cell>
          <cell r="Z126">
            <v>0</v>
          </cell>
          <cell r="AI126">
            <v>0</v>
          </cell>
          <cell r="AJ126">
            <v>1200</v>
          </cell>
          <cell r="AK126" t="str">
            <v/>
          </cell>
          <cell r="AL126" t="str">
            <v/>
          </cell>
        </row>
        <row r="127">
          <cell r="F127" t="str">
            <v>02083</v>
          </cell>
          <cell r="G127" t="str">
            <v>STU3x40x80</v>
          </cell>
          <cell r="J127">
            <v>1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240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240</v>
          </cell>
          <cell r="Z127">
            <v>0</v>
          </cell>
          <cell r="AI127">
            <v>0</v>
          </cell>
          <cell r="AJ127">
            <v>240</v>
          </cell>
          <cell r="AK127">
            <v>0</v>
          </cell>
          <cell r="AL127">
            <v>0</v>
          </cell>
        </row>
        <row r="128">
          <cell r="F128" t="str">
            <v>07319</v>
          </cell>
          <cell r="G128" t="str">
            <v>VO10X0.5(B)</v>
          </cell>
          <cell r="H128" t="str">
            <v xml:space="preserve">175 </v>
          </cell>
          <cell r="I128" t="str">
            <v>ワリ</v>
          </cell>
          <cell r="J128" t="str">
            <v>1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240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240</v>
          </cell>
          <cell r="Z128">
            <v>0</v>
          </cell>
          <cell r="AI128">
            <v>0</v>
          </cell>
          <cell r="AJ128">
            <v>240</v>
          </cell>
          <cell r="AK128">
            <v>0</v>
          </cell>
          <cell r="AL128">
            <v>42</v>
          </cell>
        </row>
        <row r="129">
          <cell r="F129" t="str">
            <v>07319</v>
          </cell>
          <cell r="G129" t="str">
            <v>VO10X0.5(B)</v>
          </cell>
          <cell r="H129" t="str">
            <v xml:space="preserve">225 </v>
          </cell>
          <cell r="I129" t="str">
            <v xml:space="preserve">  </v>
          </cell>
          <cell r="J129" t="str">
            <v>1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240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240</v>
          </cell>
          <cell r="Z129">
            <v>0</v>
          </cell>
          <cell r="AI129">
            <v>0</v>
          </cell>
          <cell r="AJ129">
            <v>240</v>
          </cell>
          <cell r="AK129">
            <v>0</v>
          </cell>
          <cell r="AL129">
            <v>54</v>
          </cell>
        </row>
        <row r="130">
          <cell r="F130" t="str">
            <v>07410</v>
          </cell>
          <cell r="G130" t="str">
            <v>VO12X0.5(B)</v>
          </cell>
          <cell r="H130" t="str">
            <v xml:space="preserve">110 </v>
          </cell>
          <cell r="I130" t="str">
            <v>ワリ</v>
          </cell>
          <cell r="J130" t="str">
            <v>1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240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240</v>
          </cell>
          <cell r="Z130">
            <v>0</v>
          </cell>
          <cell r="AI130">
            <v>0</v>
          </cell>
          <cell r="AJ130">
            <v>240</v>
          </cell>
          <cell r="AK130">
            <v>0</v>
          </cell>
          <cell r="AL130">
            <v>26.4</v>
          </cell>
        </row>
        <row r="131">
          <cell r="F131" t="str">
            <v>07410</v>
          </cell>
          <cell r="G131" t="str">
            <v>VO12X0.5(B)</v>
          </cell>
          <cell r="H131" t="str">
            <v xml:space="preserve">190 </v>
          </cell>
          <cell r="I131" t="str">
            <v>ワリ</v>
          </cell>
          <cell r="J131" t="str">
            <v>1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240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240</v>
          </cell>
          <cell r="Z131">
            <v>0</v>
          </cell>
          <cell r="AI131">
            <v>0</v>
          </cell>
          <cell r="AJ131">
            <v>240</v>
          </cell>
          <cell r="AK131">
            <v>0</v>
          </cell>
          <cell r="AL131">
            <v>45.6</v>
          </cell>
        </row>
        <row r="132">
          <cell r="F132" t="str">
            <v>00979</v>
          </cell>
          <cell r="G132" t="str">
            <v>MARUBO5X190</v>
          </cell>
          <cell r="H132" t="str">
            <v xml:space="preserve">      </v>
          </cell>
          <cell r="I132" t="str">
            <v xml:space="preserve">  </v>
          </cell>
          <cell r="J132" t="str">
            <v>1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240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240</v>
          </cell>
          <cell r="Z132">
            <v>0</v>
          </cell>
          <cell r="AI132">
            <v>0</v>
          </cell>
          <cell r="AJ132">
            <v>240</v>
          </cell>
          <cell r="AK132" t="str">
            <v/>
          </cell>
          <cell r="AL132" t="str">
            <v/>
          </cell>
        </row>
        <row r="133">
          <cell r="F133" t="str">
            <v>13064</v>
          </cell>
          <cell r="G133" t="str">
            <v>DSY-1MACP</v>
          </cell>
          <cell r="J133" t="str">
            <v>1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400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400</v>
          </cell>
          <cell r="Z133">
            <v>0</v>
          </cell>
          <cell r="AI133">
            <v>0</v>
          </cell>
          <cell r="AJ133">
            <v>400</v>
          </cell>
          <cell r="AK133">
            <v>0</v>
          </cell>
          <cell r="AL133">
            <v>0</v>
          </cell>
        </row>
        <row r="134">
          <cell r="F134" t="str">
            <v>16139</v>
          </cell>
          <cell r="G134" t="str">
            <v>MC-DEF-1F-B</v>
          </cell>
          <cell r="J134">
            <v>1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400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400</v>
          </cell>
          <cell r="Z134">
            <v>0</v>
          </cell>
          <cell r="AI134">
            <v>0</v>
          </cell>
          <cell r="AJ134">
            <v>400</v>
          </cell>
          <cell r="AK134">
            <v>0</v>
          </cell>
          <cell r="AL134">
            <v>0</v>
          </cell>
        </row>
        <row r="135">
          <cell r="F135" t="str">
            <v>20821</v>
          </cell>
          <cell r="G135" t="str">
            <v>GB0319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400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400</v>
          </cell>
          <cell r="Z135">
            <v>0</v>
          </cell>
          <cell r="AI135">
            <v>0</v>
          </cell>
          <cell r="AJ135">
            <v>400</v>
          </cell>
          <cell r="AK135">
            <v>0</v>
          </cell>
          <cell r="AL135">
            <v>0</v>
          </cell>
        </row>
        <row r="136">
          <cell r="F136" t="str">
            <v>20828</v>
          </cell>
          <cell r="G136" t="str">
            <v>STU5x30x140</v>
          </cell>
          <cell r="J136">
            <v>1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400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400</v>
          </cell>
          <cell r="Z136">
            <v>0</v>
          </cell>
          <cell r="AI136">
            <v>0</v>
          </cell>
          <cell r="AJ136">
            <v>400</v>
          </cell>
          <cell r="AK136">
            <v>0</v>
          </cell>
          <cell r="AL136">
            <v>0</v>
          </cell>
        </row>
        <row r="137">
          <cell r="F137" t="str">
            <v>07056</v>
          </cell>
          <cell r="G137" t="str">
            <v>VO4X0.5(B)</v>
          </cell>
          <cell r="H137">
            <v>150</v>
          </cell>
          <cell r="I137" t="str">
            <v xml:space="preserve">  </v>
          </cell>
          <cell r="J137" t="str">
            <v>1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400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400</v>
          </cell>
          <cell r="Z137">
            <v>0</v>
          </cell>
          <cell r="AI137">
            <v>0</v>
          </cell>
          <cell r="AJ137">
            <v>400</v>
          </cell>
          <cell r="AK137">
            <v>0</v>
          </cell>
          <cell r="AL137">
            <v>60</v>
          </cell>
        </row>
        <row r="138">
          <cell r="F138" t="str">
            <v>16139</v>
          </cell>
          <cell r="G138" t="str">
            <v>MC-DEF-1F-B</v>
          </cell>
          <cell r="J138">
            <v>1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400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400</v>
          </cell>
          <cell r="Z138">
            <v>0</v>
          </cell>
          <cell r="AI138">
            <v>0</v>
          </cell>
          <cell r="AJ138">
            <v>400</v>
          </cell>
          <cell r="AK138">
            <v>0</v>
          </cell>
          <cell r="AL138">
            <v>0</v>
          </cell>
        </row>
        <row r="139">
          <cell r="F139" t="str">
            <v>20821</v>
          </cell>
          <cell r="G139" t="str">
            <v>GB0319</v>
          </cell>
          <cell r="J139">
            <v>1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400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400</v>
          </cell>
          <cell r="Z139">
            <v>0</v>
          </cell>
          <cell r="AI139">
            <v>0</v>
          </cell>
          <cell r="AJ139">
            <v>400</v>
          </cell>
          <cell r="AK139">
            <v>0</v>
          </cell>
          <cell r="AL139">
            <v>0</v>
          </cell>
        </row>
        <row r="140">
          <cell r="F140" t="str">
            <v>10676</v>
          </cell>
          <cell r="G140" t="str">
            <v>DSY-1F</v>
          </cell>
          <cell r="J140">
            <v>1</v>
          </cell>
          <cell r="K140">
            <v>0</v>
          </cell>
          <cell r="L140">
            <v>300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300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I140">
            <v>300</v>
          </cell>
          <cell r="AJ140">
            <v>0</v>
          </cell>
          <cell r="AK140">
            <v>0</v>
          </cell>
          <cell r="AL140">
            <v>0</v>
          </cell>
        </row>
        <row r="141">
          <cell r="F141" t="str">
            <v>16139</v>
          </cell>
          <cell r="G141" t="str">
            <v>MC-DEF-1F-B</v>
          </cell>
          <cell r="J141">
            <v>1</v>
          </cell>
          <cell r="K141">
            <v>0</v>
          </cell>
          <cell r="L141">
            <v>300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300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I141">
            <v>300</v>
          </cell>
          <cell r="AJ141">
            <v>0</v>
          </cell>
          <cell r="AK141">
            <v>0</v>
          </cell>
          <cell r="AL141">
            <v>0</v>
          </cell>
        </row>
        <row r="142">
          <cell r="F142" t="str">
            <v>18518</v>
          </cell>
          <cell r="G142" t="str">
            <v>GB1402</v>
          </cell>
          <cell r="J142">
            <v>1</v>
          </cell>
          <cell r="K142">
            <v>0</v>
          </cell>
          <cell r="L142">
            <v>300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300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I142">
            <v>300</v>
          </cell>
          <cell r="AJ142">
            <v>0</v>
          </cell>
          <cell r="AK142">
            <v>0</v>
          </cell>
          <cell r="AL142">
            <v>0</v>
          </cell>
        </row>
        <row r="143">
          <cell r="F143" t="str">
            <v>13799</v>
          </cell>
          <cell r="G143" t="str">
            <v>STU3X40X200</v>
          </cell>
          <cell r="J143">
            <v>1</v>
          </cell>
          <cell r="K143">
            <v>0</v>
          </cell>
          <cell r="L143">
            <v>300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300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I143">
            <v>300</v>
          </cell>
          <cell r="AJ143">
            <v>0</v>
          </cell>
          <cell r="AK143">
            <v>0</v>
          </cell>
          <cell r="AL143">
            <v>0</v>
          </cell>
        </row>
        <row r="144">
          <cell r="F144" t="str">
            <v>07161</v>
          </cell>
          <cell r="G144" t="str">
            <v xml:space="preserve">VO6X0.5(B) </v>
          </cell>
          <cell r="H144">
            <v>505</v>
          </cell>
          <cell r="J144">
            <v>1</v>
          </cell>
          <cell r="K144">
            <v>0</v>
          </cell>
          <cell r="L144">
            <v>300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300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I144">
            <v>300</v>
          </cell>
          <cell r="AJ144">
            <v>0</v>
          </cell>
          <cell r="AK144">
            <v>151.5</v>
          </cell>
          <cell r="AL144">
            <v>0</v>
          </cell>
        </row>
        <row r="145">
          <cell r="F145" t="str">
            <v>16139</v>
          </cell>
          <cell r="G145" t="str">
            <v>MC-DEF-1F-B</v>
          </cell>
          <cell r="J145">
            <v>1</v>
          </cell>
          <cell r="K145">
            <v>300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300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I145">
            <v>300</v>
          </cell>
          <cell r="AJ145">
            <v>0</v>
          </cell>
          <cell r="AK145">
            <v>0</v>
          </cell>
          <cell r="AL145">
            <v>0</v>
          </cell>
        </row>
        <row r="146">
          <cell r="F146" t="str">
            <v>12929</v>
          </cell>
          <cell r="G146" t="str">
            <v>CL-3A540-W</v>
          </cell>
          <cell r="J146">
            <v>1</v>
          </cell>
          <cell r="K146">
            <v>300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300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I146">
            <v>300</v>
          </cell>
          <cell r="AJ146">
            <v>0</v>
          </cell>
          <cell r="AK146">
            <v>0</v>
          </cell>
          <cell r="AL146">
            <v>0</v>
          </cell>
        </row>
        <row r="147">
          <cell r="F147" t="str">
            <v>18518</v>
          </cell>
          <cell r="G147" t="str">
            <v>GB1402</v>
          </cell>
          <cell r="J147">
            <v>1</v>
          </cell>
          <cell r="K147">
            <v>300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300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I147">
            <v>300</v>
          </cell>
          <cell r="AJ147">
            <v>0</v>
          </cell>
          <cell r="AK147">
            <v>0</v>
          </cell>
          <cell r="AL147">
            <v>0</v>
          </cell>
        </row>
        <row r="148">
          <cell r="F148" t="str">
            <v>09268</v>
          </cell>
          <cell r="G148" t="str">
            <v>STU3X40X100</v>
          </cell>
          <cell r="J148">
            <v>1</v>
          </cell>
          <cell r="K148">
            <v>300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300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I148">
            <v>300</v>
          </cell>
          <cell r="AJ148">
            <v>0</v>
          </cell>
          <cell r="AK148">
            <v>0</v>
          </cell>
          <cell r="AL148">
            <v>0</v>
          </cell>
        </row>
        <row r="149">
          <cell r="F149" t="str">
            <v>18053</v>
          </cell>
          <cell r="G149" t="str">
            <v>STU3X50X280</v>
          </cell>
          <cell r="J149">
            <v>1</v>
          </cell>
          <cell r="K149">
            <v>300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300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I149">
            <v>300</v>
          </cell>
          <cell r="AJ149">
            <v>0</v>
          </cell>
          <cell r="AK149">
            <v>0</v>
          </cell>
          <cell r="AL149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名簿データ"/>
      <sheetName val="派生　ＨＩ"/>
      <sheetName val="_MISSION"/>
    </sheetNames>
    <sheetDataSet>
      <sheetData sheetId="0">
        <row r="4">
          <cell r="B4" t="str">
            <v>0000ｱ</v>
          </cell>
          <cell r="C4" t="str">
            <v>#</v>
          </cell>
          <cell r="D4" t="str">
            <v>新日本製鐵(株)</v>
          </cell>
          <cell r="F4" t="str">
            <v>代表取締役社長</v>
          </cell>
          <cell r="G4" t="str">
            <v>今井  敬</v>
          </cell>
          <cell r="H4">
            <v>419524</v>
          </cell>
          <cell r="I4">
            <v>54100</v>
          </cell>
          <cell r="J4" t="str">
            <v>100</v>
          </cell>
          <cell r="K4" t="str">
            <v>千代田区大手町2-6-3</v>
          </cell>
          <cell r="L4" t="str">
            <v xml:space="preserve"> </v>
          </cell>
          <cell r="M4" t="str">
            <v>03-3275-7256</v>
          </cell>
          <cell r="N4" t="str">
            <v>/3275-5625</v>
          </cell>
          <cell r="O4" t="str">
            <v>鋼板･特殊鋼･鋼管･銑鉄</v>
          </cell>
          <cell r="Q4" t="str">
            <v xml:space="preserve"> </v>
          </cell>
          <cell r="S4" t="str">
            <v>☆</v>
          </cell>
          <cell r="T4" t="str">
            <v>ｼﾝﾆﾎﾝｾｲﾃﾂ</v>
          </cell>
          <cell r="V4" t="str">
            <v>10</v>
          </cell>
        </row>
        <row r="5">
          <cell r="B5" t="str">
            <v>0000ｲ</v>
          </cell>
          <cell r="C5" t="str">
            <v>#</v>
          </cell>
          <cell r="D5" t="str">
            <v>日本鋼管(株)</v>
          </cell>
          <cell r="F5" t="str">
            <v>代表取締役社長</v>
          </cell>
          <cell r="G5" t="str">
            <v>三好　俊吉</v>
          </cell>
          <cell r="H5">
            <v>233731</v>
          </cell>
          <cell r="I5">
            <v>22833</v>
          </cell>
          <cell r="J5" t="str">
            <v>100</v>
          </cell>
          <cell r="K5" t="str">
            <v>千代田区丸の内1-1-2</v>
          </cell>
          <cell r="L5" t="str">
            <v xml:space="preserve"> </v>
          </cell>
          <cell r="M5" t="str">
            <v>03-3217-2343</v>
          </cell>
          <cell r="N5" t="str">
            <v>/3214-8424</v>
          </cell>
          <cell r="O5" t="str">
            <v>鋼板</v>
          </cell>
          <cell r="Q5" t="str">
            <v xml:space="preserve"> </v>
          </cell>
          <cell r="S5" t="str">
            <v>☆</v>
          </cell>
          <cell r="T5" t="str">
            <v>ﾆﾎﾝｺｳｶﾝ</v>
          </cell>
          <cell r="V5" t="str">
            <v>10</v>
          </cell>
        </row>
        <row r="6">
          <cell r="B6" t="str">
            <v>0000ｳ</v>
          </cell>
          <cell r="C6" t="str">
            <v>#</v>
          </cell>
          <cell r="D6" t="str">
            <v>住友金属工業(株)</v>
          </cell>
          <cell r="F6" t="str">
            <v>代表取締役社長</v>
          </cell>
          <cell r="G6" t="str">
            <v>小島  又雄</v>
          </cell>
          <cell r="H6">
            <v>204282</v>
          </cell>
          <cell r="I6">
            <v>20567</v>
          </cell>
          <cell r="J6" t="str">
            <v>100</v>
          </cell>
          <cell r="K6" t="str">
            <v>千代田区大手町1-1-3</v>
          </cell>
          <cell r="L6" t="str">
            <v>大手センタービル</v>
          </cell>
          <cell r="M6" t="str">
            <v>03-3282-6752</v>
          </cell>
          <cell r="N6" t="str">
            <v>/3282-6668</v>
          </cell>
          <cell r="O6" t="str">
            <v>鋼板･特殊鋼･鋼管</v>
          </cell>
          <cell r="Q6" t="str">
            <v xml:space="preserve"> </v>
          </cell>
          <cell r="T6" t="str">
            <v>ｽﾐﾄﾓｷﾝｿﾞｸｺｳｷﾞｮｳ</v>
          </cell>
          <cell r="V6" t="str">
            <v>10</v>
          </cell>
        </row>
        <row r="7">
          <cell r="B7" t="str">
            <v>0000ｴ</v>
          </cell>
          <cell r="C7" t="str">
            <v>#</v>
          </cell>
          <cell r="D7" t="str">
            <v>川崎製鉄(株)</v>
          </cell>
          <cell r="F7" t="str">
            <v>代表取締役社長</v>
          </cell>
          <cell r="G7" t="str">
            <v>江本  寛治</v>
          </cell>
          <cell r="H7">
            <v>239643</v>
          </cell>
          <cell r="I7">
            <v>18457</v>
          </cell>
          <cell r="J7" t="str">
            <v>100</v>
          </cell>
          <cell r="K7" t="str">
            <v>千代田区内幸町2-2-3</v>
          </cell>
          <cell r="L7" t="str">
            <v>日比谷国際ビルヂング</v>
          </cell>
          <cell r="M7" t="str">
            <v>03-3597-3852</v>
          </cell>
          <cell r="N7" t="str">
            <v>/3597-3943</v>
          </cell>
          <cell r="O7" t="str">
            <v>鋼板　</v>
          </cell>
          <cell r="Q7" t="str">
            <v xml:space="preserve"> </v>
          </cell>
          <cell r="T7" t="str">
            <v>ｶﾜｻｷｾｲﾃﾂ</v>
          </cell>
          <cell r="V7" t="str">
            <v>10</v>
          </cell>
        </row>
        <row r="8">
          <cell r="B8" t="str">
            <v>0000ｵ</v>
          </cell>
          <cell r="C8" t="str">
            <v>#</v>
          </cell>
          <cell r="D8" t="str">
            <v>山陽特殊製鋼(株)</v>
          </cell>
          <cell r="F8" t="str">
            <v>代表取締役社長</v>
          </cell>
          <cell r="G8" t="str">
            <v>日渡  惺郎</v>
          </cell>
          <cell r="H8">
            <v>20182</v>
          </cell>
          <cell r="I8">
            <v>2888</v>
          </cell>
          <cell r="J8" t="str">
            <v>672</v>
          </cell>
          <cell r="K8" t="str">
            <v>姫路市飾磨区中島3007</v>
          </cell>
          <cell r="L8" t="str">
            <v xml:space="preserve"> </v>
          </cell>
          <cell r="M8" t="str">
            <v>0792-35-6111</v>
          </cell>
          <cell r="N8" t="str">
            <v>/</v>
          </cell>
          <cell r="Q8" t="str">
            <v>◎</v>
          </cell>
          <cell r="T8" t="str">
            <v>ｻﾝﾖｳﾄｸｼｭｾｲｺｳ</v>
          </cell>
          <cell r="V8" t="str">
            <v>10</v>
          </cell>
        </row>
        <row r="9">
          <cell r="B9" t="str">
            <v>0000ｵ</v>
          </cell>
          <cell r="C9" t="str">
            <v>A</v>
          </cell>
          <cell r="D9" t="str">
            <v>山陽特殊製鋼(株)</v>
          </cell>
          <cell r="E9" t="str">
            <v xml:space="preserve">東京支社  </v>
          </cell>
          <cell r="F9" t="str">
            <v>専務取締役</v>
          </cell>
          <cell r="G9" t="str">
            <v>坂本  央人</v>
          </cell>
          <cell r="J9" t="str">
            <v>103</v>
          </cell>
          <cell r="K9" t="str">
            <v>中央区日本橋1-13-1</v>
          </cell>
          <cell r="L9" t="str">
            <v>日鉄日本橋ビル</v>
          </cell>
          <cell r="M9" t="str">
            <v>03-3278-8321</v>
          </cell>
          <cell r="N9" t="str">
            <v>/3278-8330</v>
          </cell>
          <cell r="O9" t="str">
            <v>特殊鋼</v>
          </cell>
          <cell r="Q9" t="str">
            <v xml:space="preserve"> </v>
          </cell>
          <cell r="S9" t="str">
            <v>☆</v>
          </cell>
          <cell r="T9" t="str">
            <v>ｻﾝﾖｳﾄｸｼｭｾｲｺｳ</v>
          </cell>
          <cell r="V9" t="str">
            <v>10</v>
          </cell>
        </row>
        <row r="10">
          <cell r="B10" t="str">
            <v>0000ｶ</v>
          </cell>
          <cell r="C10" t="str">
            <v>#</v>
          </cell>
          <cell r="D10" t="str">
            <v>日新製鋼(株)</v>
          </cell>
          <cell r="F10" t="str">
            <v>代表取締役社長</v>
          </cell>
          <cell r="G10" t="str">
            <v>浜田  泰行</v>
          </cell>
          <cell r="H10">
            <v>79908</v>
          </cell>
          <cell r="I10">
            <v>7538</v>
          </cell>
          <cell r="J10" t="str">
            <v>100</v>
          </cell>
          <cell r="K10" t="str">
            <v>千代田区丸の内3-4-1</v>
          </cell>
          <cell r="L10" t="str">
            <v xml:space="preserve"> </v>
          </cell>
          <cell r="M10" t="str">
            <v>03-3216-6316</v>
          </cell>
          <cell r="N10" t="str">
            <v>/3287-1993</v>
          </cell>
          <cell r="O10" t="str">
            <v>鋼板　</v>
          </cell>
          <cell r="Q10" t="str">
            <v xml:space="preserve"> </v>
          </cell>
          <cell r="T10" t="str">
            <v>ﾆｯｼﾝｾｲｺｳ</v>
          </cell>
          <cell r="V10" t="str">
            <v>10</v>
          </cell>
        </row>
        <row r="11">
          <cell r="B11" t="str">
            <v>0000ｷ</v>
          </cell>
          <cell r="C11" t="str">
            <v>#</v>
          </cell>
          <cell r="D11" t="str">
            <v>(株)神戸製鋼所</v>
          </cell>
          <cell r="F11" t="str">
            <v>代表取締役社長</v>
          </cell>
          <cell r="G11" t="str">
            <v>熊本  昌弘</v>
          </cell>
          <cell r="H11">
            <v>213614</v>
          </cell>
          <cell r="I11">
            <v>21387</v>
          </cell>
          <cell r="J11" t="str">
            <v>651</v>
          </cell>
          <cell r="K11" t="str">
            <v>神戸市中央区脇浜町1-3-18</v>
          </cell>
          <cell r="L11" t="str">
            <v xml:space="preserve"> </v>
          </cell>
          <cell r="M11" t="str">
            <v>078-251-5111</v>
          </cell>
          <cell r="N11" t="str">
            <v>/</v>
          </cell>
          <cell r="Q11" t="str">
            <v xml:space="preserve"> </v>
          </cell>
          <cell r="T11" t="str">
            <v>ｺｳﾍﾞｾｲｺｳｼｮ</v>
          </cell>
          <cell r="V11" t="str">
            <v>10</v>
          </cell>
        </row>
        <row r="12">
          <cell r="B12" t="str">
            <v>0000ｷ</v>
          </cell>
          <cell r="C12" t="str">
            <v>A</v>
          </cell>
          <cell r="D12" t="str">
            <v>(株)神戸製鋼所</v>
          </cell>
          <cell r="E12" t="str">
            <v>東京本社</v>
          </cell>
          <cell r="J12" t="str">
            <v>100</v>
          </cell>
          <cell r="K12" t="str">
            <v>千代田区丸の内1-8-2</v>
          </cell>
          <cell r="L12" t="str">
            <v xml:space="preserve"> </v>
          </cell>
          <cell r="M12" t="str">
            <v>03-3218-7259</v>
          </cell>
          <cell r="N12" t="str">
            <v>/3218-6179</v>
          </cell>
          <cell r="O12" t="str">
            <v>鋼板･特殊鋼･鉄粉</v>
          </cell>
          <cell r="Q12" t="str">
            <v xml:space="preserve"> </v>
          </cell>
          <cell r="T12" t="str">
            <v>ｺｳﾍﾞｾｲｺｳｼｮ</v>
          </cell>
          <cell r="V12" t="str">
            <v>10</v>
          </cell>
        </row>
        <row r="13">
          <cell r="B13" t="str">
            <v>0000ｸ</v>
          </cell>
          <cell r="C13" t="str">
            <v>#</v>
          </cell>
          <cell r="D13" t="str">
            <v>大日本塗料(株)</v>
          </cell>
          <cell r="F13" t="str">
            <v>取締役社長</v>
          </cell>
          <cell r="G13" t="str">
            <v>佐々　威二郎</v>
          </cell>
          <cell r="H13">
            <v>6146</v>
          </cell>
          <cell r="I13">
            <v>1002</v>
          </cell>
          <cell r="J13" t="str">
            <v>554</v>
          </cell>
          <cell r="K13" t="str">
            <v>大阪市此花区西九条6-1-124</v>
          </cell>
          <cell r="L13" t="str">
            <v xml:space="preserve"> </v>
          </cell>
          <cell r="M13" t="str">
            <v xml:space="preserve">06-461-5371 </v>
          </cell>
          <cell r="N13" t="str">
            <v>/</v>
          </cell>
          <cell r="Q13" t="str">
            <v xml:space="preserve"> </v>
          </cell>
          <cell r="T13" t="str">
            <v>ﾀﾞｲﾆﾎﾝﾄﾘｮｳ</v>
          </cell>
          <cell r="V13" t="str">
            <v>15</v>
          </cell>
        </row>
        <row r="14">
          <cell r="B14" t="str">
            <v>0000ｸ</v>
          </cell>
          <cell r="C14" t="str">
            <v>A</v>
          </cell>
          <cell r="D14" t="str">
            <v>大日本塗料(株)</v>
          </cell>
          <cell r="E14" t="str">
            <v>東日本販売部東京営業所</v>
          </cell>
          <cell r="J14" t="str">
            <v>144</v>
          </cell>
          <cell r="K14" t="str">
            <v>大田区蒲田5-13-23</v>
          </cell>
          <cell r="L14" t="str">
            <v xml:space="preserve"> </v>
          </cell>
          <cell r="M14" t="str">
            <v>03-5710-4501</v>
          </cell>
          <cell r="N14" t="str">
            <v>/5710-4520</v>
          </cell>
          <cell r="Q14" t="str">
            <v xml:space="preserve"> </v>
          </cell>
          <cell r="T14" t="str">
            <v>ﾀﾞｲﾆﾎﾝﾄﾘｮｳ</v>
          </cell>
          <cell r="V14" t="str">
            <v>15</v>
          </cell>
        </row>
        <row r="15">
          <cell r="B15" t="str">
            <v>0000ｹ</v>
          </cell>
          <cell r="C15" t="str">
            <v>#</v>
          </cell>
          <cell r="D15" t="str">
            <v>日本ペイント(株)</v>
          </cell>
          <cell r="F15" t="str">
            <v>取締役社長</v>
          </cell>
          <cell r="G15" t="str">
            <v>藤井　浩</v>
          </cell>
          <cell r="H15">
            <v>27669</v>
          </cell>
          <cell r="I15">
            <v>2800</v>
          </cell>
          <cell r="J15" t="str">
            <v>531</v>
          </cell>
          <cell r="K15" t="str">
            <v>大阪市北区大淀北2-1-2</v>
          </cell>
          <cell r="L15" t="str">
            <v xml:space="preserve"> </v>
          </cell>
          <cell r="M15" t="str">
            <v xml:space="preserve">06-458-1111 </v>
          </cell>
          <cell r="N15" t="str">
            <v>/</v>
          </cell>
          <cell r="Q15" t="str">
            <v xml:space="preserve"> </v>
          </cell>
          <cell r="S15" t="str">
            <v>☆</v>
          </cell>
          <cell r="T15" t="str">
            <v>ﾆﾎﾝﾍﾟｲﾝﾄ</v>
          </cell>
          <cell r="V15" t="str">
            <v>15</v>
          </cell>
        </row>
        <row r="16">
          <cell r="B16" t="str">
            <v>0000ｹ</v>
          </cell>
          <cell r="C16" t="str">
            <v>A</v>
          </cell>
          <cell r="D16" t="str">
            <v>日本ペイント(株)</v>
          </cell>
          <cell r="E16" t="str">
            <v>横浜営業所</v>
          </cell>
          <cell r="J16" t="str">
            <v>251</v>
          </cell>
          <cell r="K16" t="str">
            <v>藤沢市鵠沼石上1-1-1-701</v>
          </cell>
          <cell r="L16" t="str">
            <v xml:space="preserve"> </v>
          </cell>
          <cell r="M16" t="str">
            <v>0466-27-2611</v>
          </cell>
          <cell r="N16" t="str">
            <v>/26-6271</v>
          </cell>
          <cell r="Q16" t="str">
            <v xml:space="preserve"> </v>
          </cell>
          <cell r="T16" t="str">
            <v>ﾆﾎﾝﾍﾟｲﾝﾄ</v>
          </cell>
          <cell r="V16" t="str">
            <v>15</v>
          </cell>
        </row>
        <row r="17">
          <cell r="B17" t="str">
            <v>0000ｺ</v>
          </cell>
          <cell r="C17" t="str">
            <v>#</v>
          </cell>
          <cell r="D17" t="str">
            <v>神東塗料(株)</v>
          </cell>
          <cell r="F17" t="str">
            <v>代表取締役社長</v>
          </cell>
          <cell r="G17" t="str">
            <v>宮崎  龍平</v>
          </cell>
          <cell r="H17">
            <v>2255</v>
          </cell>
          <cell r="I17">
            <v>726</v>
          </cell>
          <cell r="J17" t="str">
            <v>661</v>
          </cell>
          <cell r="K17" t="str">
            <v>尼崎市南塚口町6-10-73</v>
          </cell>
          <cell r="L17" t="str">
            <v xml:space="preserve"> </v>
          </cell>
          <cell r="M17" t="str">
            <v>06-426-3355</v>
          </cell>
          <cell r="N17" t="str">
            <v>/</v>
          </cell>
          <cell r="Q17" t="str">
            <v xml:space="preserve"> </v>
          </cell>
          <cell r="T17" t="str">
            <v>ｼﾝﾄｳﾄﾘｮｳ</v>
          </cell>
          <cell r="V17" t="str">
            <v>15</v>
          </cell>
        </row>
        <row r="18">
          <cell r="B18" t="str">
            <v>0000ｺ</v>
          </cell>
          <cell r="C18" t="str">
            <v>A</v>
          </cell>
          <cell r="D18" t="str">
            <v>神東塗料(株)</v>
          </cell>
          <cell r="E18" t="str">
            <v>塗料営業本部</v>
          </cell>
          <cell r="J18" t="str">
            <v>103</v>
          </cell>
          <cell r="K18" t="str">
            <v>中央区八重洲1-7-20</v>
          </cell>
          <cell r="L18" t="str">
            <v xml:space="preserve"> </v>
          </cell>
          <cell r="M18" t="str">
            <v>03-3272-2611</v>
          </cell>
          <cell r="N18" t="str">
            <v>/3281-8239</v>
          </cell>
          <cell r="Q18" t="str">
            <v xml:space="preserve"> </v>
          </cell>
          <cell r="T18" t="str">
            <v>ｼﾝﾄｳﾄﾘｮｳ</v>
          </cell>
          <cell r="V18" t="str">
            <v>15</v>
          </cell>
        </row>
        <row r="19">
          <cell r="B19" t="str">
            <v>0000ｺ</v>
          </cell>
          <cell r="C19" t="str">
            <v>B</v>
          </cell>
          <cell r="D19" t="str">
            <v>神東塗料(株)</v>
          </cell>
          <cell r="E19" t="str">
            <v>神奈川営業所</v>
          </cell>
          <cell r="J19" t="str">
            <v>242</v>
          </cell>
          <cell r="K19" t="str">
            <v>大和市中央2-7-6</v>
          </cell>
          <cell r="L19" t="str">
            <v xml:space="preserve"> </v>
          </cell>
          <cell r="M19" t="str">
            <v>0462-60-4451</v>
          </cell>
          <cell r="N19" t="str">
            <v>/</v>
          </cell>
          <cell r="Q19" t="str">
            <v xml:space="preserve"> </v>
          </cell>
          <cell r="T19" t="str">
            <v>ｼﾝﾄｳﾄﾘｮｳ</v>
          </cell>
          <cell r="V19" t="str">
            <v>15</v>
          </cell>
        </row>
        <row r="20">
          <cell r="B20" t="str">
            <v>0000ｻ</v>
          </cell>
          <cell r="C20" t="str">
            <v>#</v>
          </cell>
          <cell r="D20" t="str">
            <v>(株)ジャパンエナジ－</v>
          </cell>
          <cell r="F20" t="str">
            <v>代表取締役社長</v>
          </cell>
          <cell r="G20" t="str">
            <v>野見山  昭彦</v>
          </cell>
          <cell r="H20">
            <v>86500</v>
          </cell>
          <cell r="I20">
            <v>7775</v>
          </cell>
          <cell r="J20" t="str">
            <v>105</v>
          </cell>
          <cell r="K20" t="str">
            <v>港区虎ノ門2-10-1</v>
          </cell>
          <cell r="L20" t="str">
            <v xml:space="preserve"> </v>
          </cell>
          <cell r="M20" t="str">
            <v>03-5573-6000</v>
          </cell>
          <cell r="N20" t="str">
            <v>/</v>
          </cell>
          <cell r="Q20" t="str">
            <v xml:space="preserve"> </v>
          </cell>
          <cell r="T20" t="str">
            <v>ｼﾞｬﾊﾟﾝｴﾅｼﾞ-</v>
          </cell>
          <cell r="V20" t="str">
            <v>15</v>
          </cell>
        </row>
        <row r="21">
          <cell r="B21" t="str">
            <v>0000ｼ</v>
          </cell>
          <cell r="C21" t="str">
            <v>#</v>
          </cell>
          <cell r="D21" t="str">
            <v>住商機電販売(株)</v>
          </cell>
          <cell r="F21" t="str">
            <v>取締役社長</v>
          </cell>
          <cell r="G21" t="str">
            <v>小山　俊吾</v>
          </cell>
          <cell r="H21">
            <v>60</v>
          </cell>
          <cell r="I21">
            <v>525</v>
          </cell>
          <cell r="J21">
            <v>112</v>
          </cell>
          <cell r="K21" t="str">
            <v>文京区大塚3-5-10</v>
          </cell>
          <cell r="L21" t="str">
            <v>住友成見小石川ビル</v>
          </cell>
          <cell r="M21" t="str">
            <v>03-3942-6641</v>
          </cell>
          <cell r="N21" t="str">
            <v>/3942-6649</v>
          </cell>
          <cell r="O21" t="str">
            <v>工作機械 他</v>
          </cell>
          <cell r="Q21" t="str">
            <v xml:space="preserve"> </v>
          </cell>
          <cell r="T21" t="str">
            <v>ｽﾐｼｮｳｷﾃﾞﾝﾊﾝﾊﾞｲ</v>
          </cell>
          <cell r="V21" t="str">
            <v>30</v>
          </cell>
        </row>
        <row r="22">
          <cell r="B22" t="str">
            <v>0000ｽ</v>
          </cell>
          <cell r="C22" t="str">
            <v>#</v>
          </cell>
          <cell r="D22" t="str">
            <v>トーア・スチール(株)</v>
          </cell>
          <cell r="F22" t="str">
            <v>代表取締役社長</v>
          </cell>
          <cell r="G22" t="str">
            <v>野村　聰一</v>
          </cell>
          <cell r="H22">
            <v>23952</v>
          </cell>
          <cell r="I22">
            <v>1846</v>
          </cell>
          <cell r="J22">
            <v>102</v>
          </cell>
          <cell r="K22" t="str">
            <v>千代田区五番町6-2</v>
          </cell>
          <cell r="L22" t="str">
            <v>ﾎｰﾏｯﾄ･ﾎﾗｲｿﾞﾝﾋﾞﾙ</v>
          </cell>
          <cell r="M22" t="str">
            <v>03-3221-7121</v>
          </cell>
          <cell r="N22" t="str">
            <v>/</v>
          </cell>
          <cell r="O22" t="str">
            <v>棒鋼</v>
          </cell>
          <cell r="P22" t="str">
            <v xml:space="preserve"> </v>
          </cell>
          <cell r="Q22" t="str">
            <v xml:space="preserve"> </v>
          </cell>
          <cell r="R22" t="str">
            <v xml:space="preserve"> </v>
          </cell>
          <cell r="S22" t="str">
            <v xml:space="preserve"> </v>
          </cell>
          <cell r="T22" t="str">
            <v>ﾄｰｱｽﾁｰﾙ</v>
          </cell>
          <cell r="U22" t="str">
            <v xml:space="preserve"> </v>
          </cell>
          <cell r="V22" t="str">
            <v>10</v>
          </cell>
        </row>
        <row r="23">
          <cell r="B23" t="str">
            <v>0002</v>
          </cell>
          <cell r="C23" t="str">
            <v>#</v>
          </cell>
          <cell r="D23" t="str">
            <v>丸紅(株)</v>
          </cell>
          <cell r="F23" t="str">
            <v>取締役社長</v>
          </cell>
          <cell r="G23" t="str">
            <v>鳥海  巖</v>
          </cell>
          <cell r="H23">
            <v>45416</v>
          </cell>
          <cell r="I23">
            <v>7866</v>
          </cell>
          <cell r="J23" t="str">
            <v>100</v>
          </cell>
          <cell r="K23" t="str">
            <v>千代田区大手町1-4-2</v>
          </cell>
          <cell r="L23" t="str">
            <v>丸紅ビル</v>
          </cell>
          <cell r="M23" t="str">
            <v>03-3282-4036</v>
          </cell>
          <cell r="N23" t="str">
            <v>/</v>
          </cell>
          <cell r="O23" t="str">
            <v>溶接機械･樹脂</v>
          </cell>
          <cell r="Q23" t="str">
            <v>◎</v>
          </cell>
          <cell r="R23" t="str">
            <v>□</v>
          </cell>
          <cell r="S23" t="str">
            <v xml:space="preserve"> </v>
          </cell>
          <cell r="T23" t="str">
            <v>ﾏﾙﾍﾞﾆ</v>
          </cell>
          <cell r="V23" t="str">
            <v>10</v>
          </cell>
        </row>
        <row r="24">
          <cell r="B24" t="str">
            <v>0013</v>
          </cell>
          <cell r="C24" t="str">
            <v>#</v>
          </cell>
          <cell r="D24" t="str">
            <v>三井物産(株)</v>
          </cell>
          <cell r="F24" t="str">
            <v>代表取締役社長</v>
          </cell>
          <cell r="G24" t="str">
            <v>上島  重二</v>
          </cell>
          <cell r="H24">
            <v>177162</v>
          </cell>
          <cell r="I24">
            <v>9345</v>
          </cell>
          <cell r="J24" t="str">
            <v>100-91</v>
          </cell>
          <cell r="K24" t="str">
            <v>千代田区大手町1-2-1</v>
          </cell>
          <cell r="L24" t="str">
            <v xml:space="preserve"> </v>
          </cell>
          <cell r="M24" t="str">
            <v>03-3285-2302</v>
          </cell>
          <cell r="N24" t="str">
            <v>/3285-9935</v>
          </cell>
          <cell r="O24" t="str">
            <v>鋼板(薄)</v>
          </cell>
          <cell r="Q24" t="str">
            <v>◎</v>
          </cell>
          <cell r="R24" t="str">
            <v>□</v>
          </cell>
          <cell r="S24" t="str">
            <v xml:space="preserve"> </v>
          </cell>
          <cell r="T24" t="str">
            <v>ﾐﾂｲﾌﾞｯｻﾝ</v>
          </cell>
          <cell r="V24" t="str">
            <v>10</v>
          </cell>
        </row>
        <row r="25">
          <cell r="B25" t="str">
            <v>0013</v>
          </cell>
          <cell r="C25" t="str">
            <v>A</v>
          </cell>
          <cell r="D25" t="str">
            <v>三井物産(株)</v>
          </cell>
          <cell r="J25" t="str">
            <v>100-91</v>
          </cell>
          <cell r="K25" t="str">
            <v xml:space="preserve"> </v>
          </cell>
          <cell r="L25" t="str">
            <v xml:space="preserve"> </v>
          </cell>
          <cell r="M25" t="str">
            <v>03-3285-2370</v>
          </cell>
          <cell r="N25" t="str">
            <v>/3285-9807</v>
          </cell>
          <cell r="O25" t="str">
            <v>鋼管</v>
          </cell>
          <cell r="Q25" t="str">
            <v xml:space="preserve"> </v>
          </cell>
          <cell r="T25" t="str">
            <v>ﾐﾂｲﾌﾞｯｻﾝ</v>
          </cell>
          <cell r="V25" t="str">
            <v>10</v>
          </cell>
        </row>
        <row r="26">
          <cell r="B26" t="str">
            <v>0013</v>
          </cell>
          <cell r="C26" t="str">
            <v>B</v>
          </cell>
          <cell r="D26" t="str">
            <v>三井物産(株)</v>
          </cell>
          <cell r="F26" t="str">
            <v>物資部長</v>
          </cell>
          <cell r="G26" t="str">
            <v>野村　邦夫</v>
          </cell>
          <cell r="J26" t="str">
            <v>100-91</v>
          </cell>
          <cell r="K26" t="str">
            <v xml:space="preserve"> </v>
          </cell>
          <cell r="L26" t="str">
            <v xml:space="preserve"> </v>
          </cell>
          <cell r="M26" t="str">
            <v>03-3285-6841</v>
          </cell>
          <cell r="N26" t="str">
            <v>/</v>
          </cell>
          <cell r="O26" t="str">
            <v>木目パネル(75G)</v>
          </cell>
          <cell r="Q26" t="str">
            <v xml:space="preserve"> </v>
          </cell>
          <cell r="T26" t="str">
            <v>ﾐﾂｲﾌﾞｯｻﾝ</v>
          </cell>
          <cell r="V26" t="str">
            <v>10</v>
          </cell>
        </row>
        <row r="27">
          <cell r="B27" t="str">
            <v>0014</v>
          </cell>
          <cell r="C27" t="str">
            <v>#</v>
          </cell>
          <cell r="D27" t="str">
            <v>大同特殊鋼(株)</v>
          </cell>
          <cell r="F27" t="str">
            <v>代表取締役社長</v>
          </cell>
          <cell r="G27" t="str">
            <v>冨田　寛治</v>
          </cell>
          <cell r="H27">
            <v>35918</v>
          </cell>
          <cell r="I27">
            <v>7675</v>
          </cell>
          <cell r="J27" t="str">
            <v>460</v>
          </cell>
          <cell r="K27" t="str">
            <v>名古屋市中区錦1-11-18</v>
          </cell>
          <cell r="L27" t="str">
            <v>興銀ビル</v>
          </cell>
          <cell r="M27" t="str">
            <v>052-201-5111</v>
          </cell>
          <cell r="N27" t="str">
            <v>/</v>
          </cell>
          <cell r="O27" t="str">
            <v>鋼材アクスルチューブエント</v>
          </cell>
          <cell r="Q27" t="str">
            <v>◎</v>
          </cell>
          <cell r="R27" t="str">
            <v>□</v>
          </cell>
          <cell r="S27" t="str">
            <v>☆</v>
          </cell>
          <cell r="T27" t="str">
            <v>ﾀﾞｲﾄﾞｳﾄｸｼｭｺｳ</v>
          </cell>
          <cell r="V27" t="str">
            <v>53</v>
          </cell>
        </row>
        <row r="28">
          <cell r="B28" t="str">
            <v>0014</v>
          </cell>
          <cell r="C28" t="str">
            <v>A</v>
          </cell>
          <cell r="D28" t="str">
            <v>大同特殊鋼(株)</v>
          </cell>
          <cell r="E28" t="str">
            <v/>
          </cell>
          <cell r="F28" t="str">
            <v xml:space="preserve"> </v>
          </cell>
          <cell r="G28" t="str">
            <v xml:space="preserve"> </v>
          </cell>
          <cell r="J28" t="str">
            <v>105</v>
          </cell>
          <cell r="K28" t="str">
            <v>港区西新橋1-7-13</v>
          </cell>
          <cell r="L28" t="str">
            <v>大同ビル</v>
          </cell>
          <cell r="M28" t="str">
            <v>03-3501-8658</v>
          </cell>
          <cell r="N28" t="str">
            <v>/3508-8146</v>
          </cell>
          <cell r="O28" t="str">
            <v>鋼材アクスルチューブエント</v>
          </cell>
          <cell r="Q28" t="str">
            <v xml:space="preserve"> </v>
          </cell>
          <cell r="T28" t="str">
            <v>ﾀﾞｲﾄﾞｳﾄｸｼｭｺｳ</v>
          </cell>
          <cell r="V28" t="str">
            <v>53</v>
          </cell>
        </row>
        <row r="29">
          <cell r="B29" t="str">
            <v>0015</v>
          </cell>
          <cell r="C29" t="str">
            <v>#</v>
          </cell>
          <cell r="D29" t="str">
            <v>中川特殊鋼(株)</v>
          </cell>
          <cell r="F29" t="str">
            <v>代表取締役社長</v>
          </cell>
          <cell r="G29" t="str">
            <v>中川　陽一郎</v>
          </cell>
          <cell r="H29">
            <v>30</v>
          </cell>
          <cell r="I29">
            <v>100</v>
          </cell>
          <cell r="J29" t="str">
            <v>104</v>
          </cell>
          <cell r="K29" t="str">
            <v>中央区築地3-5-4</v>
          </cell>
          <cell r="L29" t="str">
            <v>中川ビル</v>
          </cell>
          <cell r="M29" t="str">
            <v>03-3542-8811</v>
          </cell>
          <cell r="N29" t="str">
            <v>/3542-8812</v>
          </cell>
          <cell r="O29" t="str">
            <v>特殊鋼</v>
          </cell>
          <cell r="Q29" t="str">
            <v>◎</v>
          </cell>
          <cell r="R29" t="str">
            <v>□</v>
          </cell>
          <cell r="S29" t="str">
            <v>☆</v>
          </cell>
          <cell r="T29" t="str">
            <v>ﾅｶｶﾞﾜﾄｸｼｭｺｳ</v>
          </cell>
          <cell r="V29" t="str">
            <v>10</v>
          </cell>
        </row>
        <row r="30">
          <cell r="B30" t="str">
            <v>0016</v>
          </cell>
          <cell r="C30" t="str">
            <v>#</v>
          </cell>
          <cell r="D30" t="str">
            <v>豊田通商(株)</v>
          </cell>
          <cell r="F30" t="str">
            <v>取締役社長</v>
          </cell>
          <cell r="G30" t="str">
            <v>野上　啓二</v>
          </cell>
          <cell r="H30">
            <v>25004</v>
          </cell>
          <cell r="I30">
            <v>1883</v>
          </cell>
          <cell r="J30" t="str">
            <v>450</v>
          </cell>
          <cell r="K30" t="str">
            <v>名古屋市中村区名駅4-7-23</v>
          </cell>
          <cell r="L30" t="str">
            <v xml:space="preserve"> </v>
          </cell>
          <cell r="M30" t="str">
            <v>052-584-5015</v>
          </cell>
          <cell r="N30" t="str">
            <v>/</v>
          </cell>
          <cell r="O30" t="str">
            <v>鋼板</v>
          </cell>
          <cell r="Q30" t="str">
            <v xml:space="preserve"> </v>
          </cell>
          <cell r="T30" t="str">
            <v>ﾄﾖﾀﾂｳｼｮｳ</v>
          </cell>
          <cell r="V30" t="str">
            <v>10</v>
          </cell>
        </row>
        <row r="31">
          <cell r="B31" t="str">
            <v>0016</v>
          </cell>
          <cell r="C31" t="str">
            <v>A</v>
          </cell>
          <cell r="D31" t="str">
            <v>豊田通商(株)</v>
          </cell>
          <cell r="E31" t="str">
            <v>東京本社</v>
          </cell>
          <cell r="F31" t="str">
            <v>取締役副社長</v>
          </cell>
          <cell r="G31" t="str">
            <v>柳沢  享</v>
          </cell>
          <cell r="J31" t="str">
            <v>102</v>
          </cell>
          <cell r="K31" t="str">
            <v>千代田区九段南2-3-18</v>
          </cell>
          <cell r="L31" t="str">
            <v xml:space="preserve"> </v>
          </cell>
          <cell r="M31" t="str">
            <v>03-3230-8241</v>
          </cell>
          <cell r="N31" t="str">
            <v>/</v>
          </cell>
          <cell r="O31" t="str">
            <v>ｱﾙﾐﾆｳﾑ地金</v>
          </cell>
          <cell r="Q31" t="str">
            <v xml:space="preserve"> </v>
          </cell>
          <cell r="T31" t="str">
            <v>ﾄﾖﾀﾂｳｼｮｳ</v>
          </cell>
          <cell r="V31" t="str">
            <v>10</v>
          </cell>
        </row>
        <row r="32">
          <cell r="B32" t="str">
            <v>0017</v>
          </cell>
          <cell r="C32" t="str">
            <v>#</v>
          </cell>
          <cell r="D32" t="str">
            <v>(株)酒井新</v>
          </cell>
          <cell r="F32" t="str">
            <v>代表取締役社長</v>
          </cell>
          <cell r="G32" t="str">
            <v>酒井　勝人</v>
          </cell>
          <cell r="H32">
            <v>10</v>
          </cell>
          <cell r="I32">
            <v>17</v>
          </cell>
          <cell r="J32" t="str">
            <v>105</v>
          </cell>
          <cell r="K32" t="str">
            <v>港区新橋4-2-1</v>
          </cell>
          <cell r="L32" t="str">
            <v>新橋29森ビル</v>
          </cell>
          <cell r="M32" t="str">
            <v>03-3432-2261</v>
          </cell>
          <cell r="N32" t="str">
            <v>/3432-2731</v>
          </cell>
          <cell r="O32" t="str">
            <v>鋼板・鋼管</v>
          </cell>
          <cell r="Q32" t="str">
            <v>◎</v>
          </cell>
          <cell r="R32" t="str">
            <v>□</v>
          </cell>
          <cell r="S32" t="str">
            <v>☆</v>
          </cell>
          <cell r="T32" t="str">
            <v>ｻｶｲｼﾝ</v>
          </cell>
          <cell r="V32" t="str">
            <v>10</v>
          </cell>
        </row>
        <row r="33">
          <cell r="B33" t="str">
            <v>0021</v>
          </cell>
          <cell r="C33" t="str">
            <v>#</v>
          </cell>
          <cell r="D33" t="str">
            <v>岡谷鋼機(株)</v>
          </cell>
          <cell r="F33" t="str">
            <v>取締役社長</v>
          </cell>
          <cell r="G33" t="str">
            <v>岡谷　篤一</v>
          </cell>
          <cell r="H33">
            <v>1500</v>
          </cell>
          <cell r="I33">
            <v>1100</v>
          </cell>
          <cell r="J33" t="str">
            <v>460</v>
          </cell>
          <cell r="K33" t="str">
            <v>名古屋市中区栄2-4-18</v>
          </cell>
          <cell r="L33" t="str">
            <v xml:space="preserve"> </v>
          </cell>
          <cell r="M33" t="str">
            <v>052-231-8211</v>
          </cell>
          <cell r="N33" t="str">
            <v>/</v>
          </cell>
          <cell r="Q33" t="str">
            <v>◎</v>
          </cell>
          <cell r="R33" t="str">
            <v>□</v>
          </cell>
          <cell r="S33" t="str">
            <v xml:space="preserve"> </v>
          </cell>
          <cell r="T33" t="str">
            <v>ｵｶﾔｺｳｷ</v>
          </cell>
          <cell r="V33" t="str">
            <v>10</v>
          </cell>
        </row>
        <row r="34">
          <cell r="B34" t="str">
            <v>0021</v>
          </cell>
          <cell r="C34" t="str">
            <v>A</v>
          </cell>
          <cell r="D34" t="str">
            <v>岡谷鋼機(株)</v>
          </cell>
          <cell r="E34" t="str">
            <v>東京本店</v>
          </cell>
          <cell r="J34" t="str">
            <v>100</v>
          </cell>
          <cell r="K34" t="str">
            <v>千代田区丸の内1-5-1</v>
          </cell>
          <cell r="L34" t="str">
            <v>新丸の内ビル2F</v>
          </cell>
          <cell r="M34" t="str">
            <v>03-3215-6444</v>
          </cell>
          <cell r="N34" t="str">
            <v>/3214-8710</v>
          </cell>
          <cell r="O34" t="str">
            <v>特殊鋼</v>
          </cell>
          <cell r="Q34" t="str">
            <v xml:space="preserve"> </v>
          </cell>
          <cell r="T34" t="str">
            <v>ｵｶﾔｺｳｷ</v>
          </cell>
          <cell r="V34" t="str">
            <v>10</v>
          </cell>
        </row>
        <row r="35">
          <cell r="B35" t="str">
            <v>0021</v>
          </cell>
          <cell r="C35" t="str">
            <v>B</v>
          </cell>
          <cell r="D35" t="str">
            <v>岡谷鋼機(株)</v>
          </cell>
          <cell r="E35" t="str">
            <v/>
          </cell>
          <cell r="J35" t="str">
            <v>160</v>
          </cell>
          <cell r="K35" t="str">
            <v>新宿区西新宿3-7-1</v>
          </cell>
          <cell r="L35" t="str">
            <v>新宿パークタワー12階</v>
          </cell>
          <cell r="M35" t="str">
            <v>03-5323-3231</v>
          </cell>
          <cell r="N35" t="str">
            <v>/5323-3228</v>
          </cell>
          <cell r="O35" t="str">
            <v>鋼板･銑鉄</v>
          </cell>
          <cell r="Q35" t="str">
            <v xml:space="preserve"> </v>
          </cell>
          <cell r="T35" t="str">
            <v>ｵｶﾔｺｳｷ</v>
          </cell>
          <cell r="V35" t="str">
            <v>10</v>
          </cell>
        </row>
        <row r="36">
          <cell r="B36" t="str">
            <v>0022</v>
          </cell>
          <cell r="C36" t="str">
            <v>#</v>
          </cell>
          <cell r="D36" t="str">
            <v>佐藤商事(株)</v>
          </cell>
          <cell r="F36" t="str">
            <v>取締役社長</v>
          </cell>
          <cell r="G36" t="str">
            <v>秋元　英雄</v>
          </cell>
          <cell r="H36">
            <v>1319</v>
          </cell>
          <cell r="I36">
            <v>461</v>
          </cell>
          <cell r="J36" t="str">
            <v>104</v>
          </cell>
          <cell r="K36" t="str">
            <v>中央区八丁堀1-13-10</v>
          </cell>
          <cell r="L36" t="str">
            <v xml:space="preserve"> </v>
          </cell>
          <cell r="M36" t="str">
            <v>03-3553-7001</v>
          </cell>
          <cell r="N36" t="str">
            <v>/3553-7001</v>
          </cell>
          <cell r="O36" t="str">
            <v>鋼板・特殊鋼</v>
          </cell>
          <cell r="Q36" t="str">
            <v>◎</v>
          </cell>
          <cell r="R36" t="str">
            <v>□</v>
          </cell>
          <cell r="S36" t="str">
            <v>☆</v>
          </cell>
          <cell r="T36" t="str">
            <v>ｻﾄｳｼｮｳｼﾞ</v>
          </cell>
          <cell r="V36" t="str">
            <v>10</v>
          </cell>
        </row>
        <row r="37">
          <cell r="B37" t="str">
            <v>0022</v>
          </cell>
          <cell r="C37" t="str">
            <v>A</v>
          </cell>
          <cell r="D37" t="str">
            <v>佐藤商事(株)</v>
          </cell>
          <cell r="J37" t="str">
            <v>104</v>
          </cell>
          <cell r="K37" t="str">
            <v xml:space="preserve"> </v>
          </cell>
          <cell r="L37" t="str">
            <v xml:space="preserve"> </v>
          </cell>
          <cell r="M37" t="str">
            <v>03-3553-7011</v>
          </cell>
          <cell r="N37" t="str">
            <v>/3555-9289</v>
          </cell>
          <cell r="O37" t="str">
            <v>非鉄金属</v>
          </cell>
          <cell r="Q37" t="str">
            <v xml:space="preserve"> </v>
          </cell>
          <cell r="T37" t="str">
            <v>ｻﾄｳｼｮｳｼﾞ</v>
          </cell>
          <cell r="V37" t="str">
            <v>10</v>
          </cell>
        </row>
        <row r="38">
          <cell r="B38" t="str">
            <v>0029</v>
          </cell>
          <cell r="C38" t="str">
            <v>#</v>
          </cell>
          <cell r="D38" t="str">
            <v>日商岩井(株)</v>
          </cell>
          <cell r="F38" t="str">
            <v>取締役社長</v>
          </cell>
          <cell r="G38" t="str">
            <v>草道  昌武</v>
          </cell>
          <cell r="H38">
            <v>79870</v>
          </cell>
          <cell r="I38">
            <v>5325</v>
          </cell>
          <cell r="J38" t="str">
            <v>541</v>
          </cell>
          <cell r="K38" t="str">
            <v>大阪市中央区今橋2-5-8</v>
          </cell>
          <cell r="L38" t="str">
            <v xml:space="preserve"> </v>
          </cell>
          <cell r="M38" t="str">
            <v>06-209-2111</v>
          </cell>
          <cell r="N38" t="str">
            <v>/</v>
          </cell>
          <cell r="Q38" t="str">
            <v xml:space="preserve"> </v>
          </cell>
          <cell r="T38" t="str">
            <v>ﾆｯｼｮｳｲﾜｲ</v>
          </cell>
          <cell r="V38" t="str">
            <v>30</v>
          </cell>
        </row>
        <row r="39">
          <cell r="B39" t="str">
            <v>0029</v>
          </cell>
          <cell r="C39" t="str">
            <v>A</v>
          </cell>
          <cell r="E39" t="str">
            <v>東京本社</v>
          </cell>
          <cell r="J39" t="str">
            <v>107</v>
          </cell>
          <cell r="K39" t="str">
            <v>港区赤坂2-4-5</v>
          </cell>
          <cell r="L39" t="str">
            <v xml:space="preserve"> </v>
          </cell>
          <cell r="M39" t="str">
            <v>03-3588-2393</v>
          </cell>
          <cell r="N39" t="str">
            <v>/3588-4735</v>
          </cell>
          <cell r="Q39" t="str">
            <v xml:space="preserve"> </v>
          </cell>
          <cell r="T39" t="str">
            <v>ﾆｯｼｮｳｲﾜｲ</v>
          </cell>
          <cell r="V39" t="str">
            <v>30</v>
          </cell>
        </row>
        <row r="40">
          <cell r="B40" t="str">
            <v>0031</v>
          </cell>
          <cell r="C40" t="str">
            <v>#</v>
          </cell>
          <cell r="D40" t="str">
            <v>住金物産(株)</v>
          </cell>
          <cell r="F40" t="str">
            <v>取締役社長</v>
          </cell>
          <cell r="G40" t="str">
            <v>山本　順英</v>
          </cell>
          <cell r="H40">
            <v>3875</v>
          </cell>
          <cell r="I40">
            <v>851</v>
          </cell>
          <cell r="J40" t="str">
            <v>541</v>
          </cell>
          <cell r="K40" t="str">
            <v>大阪市中央区本町3-6-2</v>
          </cell>
          <cell r="L40" t="str">
            <v>本町コアビル</v>
          </cell>
          <cell r="M40" t="str">
            <v xml:space="preserve">06-203-2141 </v>
          </cell>
          <cell r="N40" t="str">
            <v>/</v>
          </cell>
          <cell r="O40" t="str">
            <v>ｸﾗﾝｸｼｬﾌﾄ</v>
          </cell>
          <cell r="Q40" t="str">
            <v>◎</v>
          </cell>
          <cell r="R40" t="str">
            <v>□</v>
          </cell>
          <cell r="S40" t="str">
            <v>☆</v>
          </cell>
          <cell r="T40" t="str">
            <v>ｽﾐｷﾝﾌﾞｯｻﾝ</v>
          </cell>
          <cell r="V40" t="str">
            <v>10</v>
          </cell>
        </row>
        <row r="41">
          <cell r="B41" t="str">
            <v>0031</v>
          </cell>
          <cell r="C41" t="str">
            <v>A</v>
          </cell>
          <cell r="D41" t="str">
            <v>住金物産(株)</v>
          </cell>
          <cell r="E41" t="str">
            <v>東京本社</v>
          </cell>
          <cell r="F41" t="str">
            <v>取締役副社長</v>
          </cell>
          <cell r="G41" t="str">
            <v>下村  佳節</v>
          </cell>
          <cell r="J41" t="str">
            <v>100</v>
          </cell>
          <cell r="K41" t="str">
            <v>港区赤坂8-5-27</v>
          </cell>
          <cell r="L41" t="str">
            <v/>
          </cell>
          <cell r="M41" t="str">
            <v>03-5412-5027</v>
          </cell>
          <cell r="N41" t="str">
            <v>/5412-5135</v>
          </cell>
          <cell r="O41" t="str">
            <v>鋼板・特殊鋼・鋼管</v>
          </cell>
          <cell r="Q41" t="str">
            <v xml:space="preserve"> </v>
          </cell>
          <cell r="T41" t="str">
            <v>ｽﾐｷﾝﾌﾞｯｻﾝ</v>
          </cell>
          <cell r="V41" t="str">
            <v>10</v>
          </cell>
        </row>
        <row r="42">
          <cell r="B42" t="str">
            <v>0033</v>
          </cell>
          <cell r="C42" t="str">
            <v>#</v>
          </cell>
          <cell r="D42" t="str">
            <v>三葉電興(株)</v>
          </cell>
          <cell r="F42" t="str">
            <v>取締役社長</v>
          </cell>
          <cell r="G42" t="str">
            <v>小林  稔</v>
          </cell>
          <cell r="H42">
            <v>13.2</v>
          </cell>
          <cell r="I42">
            <v>8</v>
          </cell>
          <cell r="J42" t="str">
            <v>103</v>
          </cell>
          <cell r="K42" t="str">
            <v>中央区日本橋久松町9-9</v>
          </cell>
          <cell r="L42" t="str">
            <v>ライディック第５日本橋ﾋﾞﾙ</v>
          </cell>
          <cell r="M42" t="str">
            <v>03-5695-8581</v>
          </cell>
          <cell r="N42" t="str">
            <v>/5695-8580</v>
          </cell>
          <cell r="O42" t="str">
            <v>熔接機器･材料</v>
          </cell>
          <cell r="Q42" t="str">
            <v xml:space="preserve"> </v>
          </cell>
          <cell r="R42" t="str">
            <v>□</v>
          </cell>
          <cell r="T42" t="str">
            <v>ﾐﾂﾊﾞﾃﾞﾝｺｳ</v>
          </cell>
          <cell r="V42" t="str">
            <v>15</v>
          </cell>
        </row>
        <row r="43">
          <cell r="B43" t="str">
            <v>0034</v>
          </cell>
          <cell r="C43" t="str">
            <v>#</v>
          </cell>
          <cell r="D43" t="str">
            <v>(株)徳田練磨工作所</v>
          </cell>
          <cell r="F43" t="str">
            <v>代表取締役社長</v>
          </cell>
          <cell r="G43" t="str">
            <v>谷　　哲夫</v>
          </cell>
          <cell r="H43">
            <v>37</v>
          </cell>
          <cell r="I43">
            <v>71</v>
          </cell>
          <cell r="J43" t="str">
            <v>144</v>
          </cell>
          <cell r="K43" t="str">
            <v>大田区西糀谷1-28-12</v>
          </cell>
          <cell r="L43" t="str">
            <v xml:space="preserve"> </v>
          </cell>
          <cell r="M43" t="str">
            <v>03-3743-8971</v>
          </cell>
          <cell r="N43" t="str">
            <v>/3743-8975</v>
          </cell>
          <cell r="O43" t="str">
            <v>磨棒鋼</v>
          </cell>
          <cell r="P43" t="str">
            <v>▽</v>
          </cell>
          <cell r="Q43" t="str">
            <v>◎</v>
          </cell>
          <cell r="R43" t="str">
            <v>□</v>
          </cell>
          <cell r="S43" t="str">
            <v>☆</v>
          </cell>
          <cell r="T43" t="str">
            <v>ﾄｸﾃﾞﾝﾚﾝﾏｺｳｻｸｼｮ</v>
          </cell>
          <cell r="V43" t="str">
            <v>10</v>
          </cell>
        </row>
        <row r="44">
          <cell r="B44" t="str">
            <v>0034</v>
          </cell>
          <cell r="C44" t="str">
            <v>A</v>
          </cell>
          <cell r="D44" t="str">
            <v>(株)徳田練磨工作所</v>
          </cell>
          <cell r="E44" t="str">
            <v>熊谷工場</v>
          </cell>
          <cell r="J44" t="str">
            <v>360</v>
          </cell>
          <cell r="K44" t="str">
            <v>熊谷市御稜威ケ原代の上</v>
          </cell>
          <cell r="L44" t="str">
            <v>138-8</v>
          </cell>
          <cell r="M44" t="str">
            <v>0485-32-9381</v>
          </cell>
          <cell r="N44" t="str">
            <v>/33-3333</v>
          </cell>
          <cell r="O44" t="str">
            <v>磨棒鋼</v>
          </cell>
          <cell r="P44" t="str">
            <v>▽</v>
          </cell>
          <cell r="Q44" t="str">
            <v xml:space="preserve"> </v>
          </cell>
          <cell r="T44" t="str">
            <v>ﾄｸﾃﾞﾝﾚﾝﾏｺｳｻｸｼｮ</v>
          </cell>
          <cell r="V44" t="str">
            <v>10</v>
          </cell>
        </row>
        <row r="45">
          <cell r="B45" t="str">
            <v>0039</v>
          </cell>
          <cell r="C45" t="str">
            <v>#</v>
          </cell>
          <cell r="D45" t="str">
            <v>大同鋼管(株)</v>
          </cell>
          <cell r="F45" t="str">
            <v>代表取締役社長</v>
          </cell>
          <cell r="G45" t="str">
            <v>斉藤　仁作</v>
          </cell>
          <cell r="H45">
            <v>10</v>
          </cell>
          <cell r="I45">
            <v>7</v>
          </cell>
          <cell r="J45" t="str">
            <v>104</v>
          </cell>
          <cell r="K45" t="str">
            <v>中央区八丁堀2-2-9</v>
          </cell>
          <cell r="L45" t="str">
            <v>コバキンビル</v>
          </cell>
          <cell r="M45" t="str">
            <v>03-3552-3551</v>
          </cell>
          <cell r="N45" t="str">
            <v>/3552-3555</v>
          </cell>
          <cell r="O45" t="str">
            <v>鋼管</v>
          </cell>
          <cell r="Q45" t="str">
            <v>◎</v>
          </cell>
          <cell r="R45" t="str">
            <v>□</v>
          </cell>
          <cell r="S45" t="str">
            <v>☆</v>
          </cell>
          <cell r="T45" t="str">
            <v>ﾀﾞｲﾄﾞｳｺｳｶﾝ</v>
          </cell>
          <cell r="V45" t="str">
            <v>10</v>
          </cell>
        </row>
        <row r="46">
          <cell r="B46" t="str">
            <v>0040</v>
          </cell>
          <cell r="C46" t="str">
            <v>#</v>
          </cell>
          <cell r="D46" t="str">
            <v>佐藤金属(株)</v>
          </cell>
          <cell r="F46" t="str">
            <v>代表取締役</v>
          </cell>
          <cell r="G46" t="str">
            <v>佐藤　昭寿</v>
          </cell>
          <cell r="H46">
            <v>300</v>
          </cell>
          <cell r="I46">
            <v>400</v>
          </cell>
          <cell r="J46" t="str">
            <v>101</v>
          </cell>
          <cell r="K46" t="str">
            <v>千代田区神田須田町2-13</v>
          </cell>
          <cell r="L46" t="str">
            <v xml:space="preserve"> </v>
          </cell>
          <cell r="M46" t="str">
            <v>03-3253-7171</v>
          </cell>
          <cell r="N46" t="str">
            <v>/3253-1654</v>
          </cell>
          <cell r="O46" t="str">
            <v>非鉄金属</v>
          </cell>
          <cell r="Q46" t="str">
            <v>◎</v>
          </cell>
          <cell r="R46" t="str">
            <v>□</v>
          </cell>
          <cell r="S46" t="str">
            <v>☆</v>
          </cell>
          <cell r="T46" t="str">
            <v>ｻﾄｳｷﾝｿﾞｸ</v>
          </cell>
          <cell r="V46" t="str">
            <v>10</v>
          </cell>
        </row>
        <row r="47">
          <cell r="B47" t="str">
            <v>0042</v>
          </cell>
          <cell r="C47" t="str">
            <v>#</v>
          </cell>
          <cell r="D47" t="str">
            <v>住友商事(株)</v>
          </cell>
          <cell r="F47" t="str">
            <v>代表取締役社長</v>
          </cell>
          <cell r="G47" t="str">
            <v>宮原  賢次</v>
          </cell>
          <cell r="H47">
            <v>169429</v>
          </cell>
          <cell r="I47">
            <v>6193</v>
          </cell>
          <cell r="J47" t="str">
            <v>100</v>
          </cell>
          <cell r="K47" t="str">
            <v>千代田区一ツ橋1-2-2</v>
          </cell>
          <cell r="L47" t="str">
            <v xml:space="preserve"> </v>
          </cell>
          <cell r="M47" t="str">
            <v>03-3296-3217</v>
          </cell>
          <cell r="N47" t="str">
            <v>/3296-3240</v>
          </cell>
          <cell r="O47" t="str">
            <v>アルミホイール</v>
          </cell>
          <cell r="Q47" t="str">
            <v xml:space="preserve"> </v>
          </cell>
          <cell r="S47" t="str">
            <v>☆</v>
          </cell>
          <cell r="T47" t="str">
            <v>ｽﾐﾄﾓｼｮｳｼﾞ</v>
          </cell>
          <cell r="V47" t="str">
            <v>54</v>
          </cell>
        </row>
        <row r="48">
          <cell r="B48" t="str">
            <v>0043</v>
          </cell>
          <cell r="C48" t="str">
            <v>#</v>
          </cell>
          <cell r="D48" t="str">
            <v>ﾍｶﾞﾈｽｼﾞｬﾊﾟﾝ(株)</v>
          </cell>
          <cell r="F48" t="str">
            <v>代表取締役社長</v>
          </cell>
          <cell r="G48" t="str">
            <v>ﾔﾘ･ｱﾙﾄﾈﾝ</v>
          </cell>
          <cell r="H48">
            <v>300</v>
          </cell>
          <cell r="I48">
            <v>12</v>
          </cell>
          <cell r="J48" t="str">
            <v>107</v>
          </cell>
          <cell r="K48" t="str">
            <v>港区赤坂3-13-16</v>
          </cell>
          <cell r="L48" t="str">
            <v xml:space="preserve"> </v>
          </cell>
          <cell r="M48" t="str">
            <v>03-3582-8280</v>
          </cell>
          <cell r="N48" t="str">
            <v>/3584-9087</v>
          </cell>
          <cell r="O48" t="str">
            <v>金属粉・鉄粉</v>
          </cell>
          <cell r="Q48" t="str">
            <v xml:space="preserve"> </v>
          </cell>
          <cell r="T48" t="str">
            <v>ﾍｶﾞﾈｽｶﾞﾃﾞﾘｳｽ</v>
          </cell>
          <cell r="V48" t="str">
            <v>10</v>
          </cell>
        </row>
        <row r="49">
          <cell r="B49" t="str">
            <v>0044</v>
          </cell>
          <cell r="C49" t="str">
            <v>#</v>
          </cell>
          <cell r="D49" t="str">
            <v>鈴与商事(株)</v>
          </cell>
          <cell r="F49" t="str">
            <v>取締役社長</v>
          </cell>
          <cell r="G49" t="str">
            <v>渡辺  宏</v>
          </cell>
          <cell r="H49">
            <v>1000</v>
          </cell>
          <cell r="I49">
            <v>575</v>
          </cell>
          <cell r="J49" t="str">
            <v>420</v>
          </cell>
          <cell r="K49" t="str">
            <v>静岡市黒金町59-7</v>
          </cell>
          <cell r="L49" t="str">
            <v>ニッセイ静岡駅前ビル4F</v>
          </cell>
          <cell r="M49" t="str">
            <v>054-273-8288</v>
          </cell>
          <cell r="N49" t="str">
            <v>/273-7767</v>
          </cell>
          <cell r="O49" t="str">
            <v>樹脂</v>
          </cell>
          <cell r="Q49" t="str">
            <v xml:space="preserve"> </v>
          </cell>
          <cell r="R49" t="str">
            <v>□</v>
          </cell>
          <cell r="T49" t="str">
            <v>ｽｽﾞﾖｼｮｳｼﾞ</v>
          </cell>
          <cell r="V49" t="str">
            <v>62</v>
          </cell>
        </row>
        <row r="50">
          <cell r="B50" t="str">
            <v>0044</v>
          </cell>
          <cell r="C50" t="str">
            <v>A</v>
          </cell>
          <cell r="D50" t="str">
            <v>鈴与商事(株)</v>
          </cell>
          <cell r="E50" t="str">
            <v>東京支店</v>
          </cell>
          <cell r="F50" t="str">
            <v>支店長</v>
          </cell>
          <cell r="G50" t="str">
            <v>大杉  錚三　</v>
          </cell>
          <cell r="J50" t="str">
            <v>100</v>
          </cell>
          <cell r="K50" t="str">
            <v>千代田区丸の内2-3-2</v>
          </cell>
          <cell r="L50" t="str">
            <v>郵船ビル4F</v>
          </cell>
          <cell r="M50" t="str">
            <v>03-3284-0552</v>
          </cell>
          <cell r="N50" t="str">
            <v>/3284-0288</v>
          </cell>
          <cell r="O50" t="str">
            <v>樹脂</v>
          </cell>
          <cell r="Q50" t="str">
            <v xml:space="preserve"> </v>
          </cell>
          <cell r="T50" t="str">
            <v>ｽｽﾞﾖｼｮｳｼﾞ</v>
          </cell>
          <cell r="V50" t="str">
            <v>62</v>
          </cell>
        </row>
        <row r="51">
          <cell r="B51" t="str">
            <v>0045</v>
          </cell>
          <cell r="C51" t="str">
            <v>#</v>
          </cell>
          <cell r="D51" t="str">
            <v>昭和電工(株)</v>
          </cell>
          <cell r="F51" t="str">
            <v>代表取締役社長</v>
          </cell>
          <cell r="G51" t="str">
            <v>村田  一</v>
          </cell>
          <cell r="H51">
            <v>105448</v>
          </cell>
          <cell r="J51" t="str">
            <v>105</v>
          </cell>
          <cell r="K51" t="str">
            <v>港区芝大門1-13-9</v>
          </cell>
          <cell r="L51" t="str">
            <v xml:space="preserve"> </v>
          </cell>
          <cell r="M51" t="str">
            <v>03-5470-3194</v>
          </cell>
          <cell r="N51" t="str">
            <v>/</v>
          </cell>
          <cell r="O51" t="str">
            <v>ｱﾙﾐﾆｳﾑ合金</v>
          </cell>
          <cell r="Q51" t="str">
            <v xml:space="preserve"> </v>
          </cell>
          <cell r="T51" t="str">
            <v>ｼｮｳﾜﾃﾞﾝｺｳ</v>
          </cell>
          <cell r="V51" t="str">
            <v>10</v>
          </cell>
        </row>
        <row r="52">
          <cell r="B52" t="str">
            <v>0046</v>
          </cell>
          <cell r="C52" t="str">
            <v>#</v>
          </cell>
          <cell r="D52" t="str">
            <v>敷島アルミニウム(株)</v>
          </cell>
          <cell r="F52" t="str">
            <v>代表取締役</v>
          </cell>
          <cell r="G52" t="str">
            <v>岡本  彰朗</v>
          </cell>
          <cell r="H52">
            <v>50</v>
          </cell>
          <cell r="J52" t="str">
            <v>573</v>
          </cell>
          <cell r="K52" t="str">
            <v>枚方市出口1-3-5</v>
          </cell>
          <cell r="L52" t="str">
            <v xml:space="preserve"> </v>
          </cell>
          <cell r="M52" t="str">
            <v>0720-32-1121</v>
          </cell>
          <cell r="N52" t="str">
            <v>/</v>
          </cell>
          <cell r="O52" t="str">
            <v>AL-2BW,XD-12(A1合金)</v>
          </cell>
          <cell r="Q52" t="str">
            <v xml:space="preserve"> </v>
          </cell>
          <cell r="T52" t="str">
            <v>ｼｷｼﾏｱﾙﾐﾆｳﾑ</v>
          </cell>
          <cell r="V52" t="str">
            <v>10</v>
          </cell>
        </row>
        <row r="53">
          <cell r="B53" t="str">
            <v>0047</v>
          </cell>
          <cell r="C53" t="str">
            <v>#</v>
          </cell>
          <cell r="D53" t="str">
            <v>(株)大紀ｱﾙﾐﾆｳﾑ工業所</v>
          </cell>
          <cell r="F53" t="str">
            <v>取締役社長</v>
          </cell>
          <cell r="G53" t="str">
            <v>山本  隆章</v>
          </cell>
          <cell r="H53">
            <v>5261</v>
          </cell>
          <cell r="J53" t="str">
            <v>550</v>
          </cell>
          <cell r="K53" t="str">
            <v>大阪市西区土佐堀1-4-8</v>
          </cell>
          <cell r="L53" t="str">
            <v xml:space="preserve"> </v>
          </cell>
          <cell r="M53" t="str">
            <v>06-444-2751</v>
          </cell>
          <cell r="N53" t="str">
            <v>/</v>
          </cell>
          <cell r="O53" t="str">
            <v>ｱﾙﾐﾆｳﾑ地金</v>
          </cell>
          <cell r="Q53" t="str">
            <v xml:space="preserve"> </v>
          </cell>
          <cell r="R53" t="str">
            <v>□</v>
          </cell>
          <cell r="T53" t="str">
            <v>ﾀﾞｲｷｱﾙﾐﾆｳﾑｺｳｷﾞｮｳｼｮ</v>
          </cell>
          <cell r="V53" t="str">
            <v>10</v>
          </cell>
        </row>
        <row r="54">
          <cell r="B54" t="str">
            <v>0047</v>
          </cell>
          <cell r="C54" t="str">
            <v>A</v>
          </cell>
          <cell r="D54" t="str">
            <v>(株)大紀ｱﾙﾐﾆｳﾑ工業所</v>
          </cell>
          <cell r="E54" t="str">
            <v>東京支店</v>
          </cell>
          <cell r="J54" t="str">
            <v>101</v>
          </cell>
          <cell r="K54" t="str">
            <v>千代田区神田東松下町14</v>
          </cell>
          <cell r="L54" t="str">
            <v/>
          </cell>
          <cell r="M54" t="str">
            <v>03-3257-3828</v>
          </cell>
          <cell r="N54" t="str">
            <v>/3257-3868</v>
          </cell>
          <cell r="O54" t="str">
            <v>ｱﾙﾐﾆｳﾑ地金</v>
          </cell>
          <cell r="T54" t="str">
            <v>ﾀﾞｲｷｱﾙﾐﾆｳﾑｺｳｷﾞｮｳｼｮ</v>
          </cell>
          <cell r="V54" t="str">
            <v>10</v>
          </cell>
        </row>
        <row r="55">
          <cell r="B55" t="str">
            <v>0050</v>
          </cell>
          <cell r="C55" t="str">
            <v>#</v>
          </cell>
          <cell r="D55" t="str">
            <v>(株)富士商会</v>
          </cell>
          <cell r="F55" t="str">
            <v>取締役社長</v>
          </cell>
          <cell r="G55" t="str">
            <v>松岡　純一</v>
          </cell>
          <cell r="H55">
            <v>16</v>
          </cell>
          <cell r="I55">
            <v>31</v>
          </cell>
          <cell r="J55" t="str">
            <v>144</v>
          </cell>
          <cell r="K55" t="str">
            <v>大田区蒲田本町2-33-2</v>
          </cell>
          <cell r="L55" t="str">
            <v xml:space="preserve"> </v>
          </cell>
          <cell r="M55" t="str">
            <v>03-3735-2221</v>
          </cell>
          <cell r="N55" t="str">
            <v>/3735-1345</v>
          </cell>
          <cell r="O55" t="str">
            <v>配合用材･切粉収集･焼却炉運転･ｽｸﾗｯﾌﾟ処理</v>
          </cell>
          <cell r="Q55" t="str">
            <v>◎</v>
          </cell>
          <cell r="R55" t="str">
            <v>□</v>
          </cell>
          <cell r="S55" t="str">
            <v>☆</v>
          </cell>
          <cell r="T55" t="str">
            <v>ﾌｼﾞｼｮｳｶｲ</v>
          </cell>
          <cell r="V55" t="str">
            <v>10</v>
          </cell>
        </row>
        <row r="56">
          <cell r="B56" t="str">
            <v>0052</v>
          </cell>
          <cell r="C56" t="str">
            <v>#</v>
          </cell>
          <cell r="D56" t="str">
            <v>(株)矢部商店</v>
          </cell>
          <cell r="F56" t="str">
            <v>取締役社長</v>
          </cell>
          <cell r="G56" t="str">
            <v>矢部　澄江</v>
          </cell>
          <cell r="H56">
            <v>10</v>
          </cell>
          <cell r="I56">
            <v>34</v>
          </cell>
          <cell r="J56" t="str">
            <v>210</v>
          </cell>
          <cell r="K56" t="str">
            <v>川崎市川崎区浅田3-10-11</v>
          </cell>
          <cell r="L56" t="str">
            <v xml:space="preserve"> </v>
          </cell>
          <cell r="M56" t="str">
            <v>044-355-2411</v>
          </cell>
          <cell r="N56" t="str">
            <v>/344-2454</v>
          </cell>
          <cell r="O56" t="str">
            <v>配合用材･切粉収集･割り作業･ｽｸﾗｯﾌﾟ処理</v>
          </cell>
          <cell r="Q56" t="str">
            <v>◎</v>
          </cell>
          <cell r="R56" t="str">
            <v>□</v>
          </cell>
          <cell r="S56" t="str">
            <v>☆</v>
          </cell>
          <cell r="T56" t="str">
            <v>ﾔﾍﾞｼｮｳﾃﾝ</v>
          </cell>
          <cell r="V56" t="str">
            <v>10</v>
          </cell>
        </row>
        <row r="57">
          <cell r="B57" t="str">
            <v>0053</v>
          </cell>
          <cell r="C57" t="str">
            <v>#</v>
          </cell>
          <cell r="D57" t="str">
            <v>鈴丸産業(株)</v>
          </cell>
          <cell r="F57" t="str">
            <v>代表取締役</v>
          </cell>
          <cell r="G57" t="str">
            <v>田中　敏美</v>
          </cell>
          <cell r="H57">
            <v>10</v>
          </cell>
          <cell r="I57">
            <v>15</v>
          </cell>
          <cell r="J57" t="str">
            <v>230</v>
          </cell>
          <cell r="K57" t="str">
            <v>横浜市鶴見区市場富士見町</v>
          </cell>
          <cell r="L57" t="str">
            <v>1-6</v>
          </cell>
          <cell r="M57" t="str">
            <v>045-501-6987</v>
          </cell>
          <cell r="N57" t="str">
            <v>/501-2625</v>
          </cell>
          <cell r="O57" t="str">
            <v>ｽｸﾗｯﾌﾟ処理･鋳ﾊﾞﾘ運搬　</v>
          </cell>
          <cell r="Q57" t="str">
            <v>◎</v>
          </cell>
          <cell r="R57" t="str">
            <v>□</v>
          </cell>
          <cell r="S57" t="str">
            <v>☆</v>
          </cell>
          <cell r="T57" t="str">
            <v>ｽｽﾞﾏﾙｻﾝｷﾞｮｳ</v>
          </cell>
          <cell r="V57" t="str">
            <v>10</v>
          </cell>
        </row>
        <row r="58">
          <cell r="B58" t="str">
            <v>0054</v>
          </cell>
          <cell r="C58" t="str">
            <v>#</v>
          </cell>
          <cell r="D58" t="str">
            <v>相澤建設(株)</v>
          </cell>
          <cell r="F58" t="str">
            <v>代表取締役社長</v>
          </cell>
          <cell r="G58" t="str">
            <v>相澤　弘保</v>
          </cell>
          <cell r="H58">
            <v>15</v>
          </cell>
          <cell r="I58">
            <v>36</v>
          </cell>
          <cell r="J58" t="str">
            <v>210</v>
          </cell>
          <cell r="K58" t="str">
            <v>川崎市川崎区殿町2-14-12</v>
          </cell>
          <cell r="L58" t="str">
            <v xml:space="preserve"> </v>
          </cell>
          <cell r="M58" t="str">
            <v>044-288-3241</v>
          </cell>
          <cell r="N58" t="str">
            <v>/266-1608</v>
          </cell>
          <cell r="O58" t="str">
            <v>建築営繕工事</v>
          </cell>
          <cell r="Q58" t="str">
            <v>◎</v>
          </cell>
          <cell r="R58" t="str">
            <v>□</v>
          </cell>
          <cell r="S58" t="str">
            <v>☆</v>
          </cell>
          <cell r="T58" t="str">
            <v>ｱｲｻﾞﾜｹﾝｾﾂ</v>
          </cell>
          <cell r="V58" t="str">
            <v>30</v>
          </cell>
        </row>
        <row r="59">
          <cell r="B59" t="str">
            <v>0055</v>
          </cell>
          <cell r="C59" t="str">
            <v>#</v>
          </cell>
          <cell r="D59" t="str">
            <v>(株)原田鍛工所</v>
          </cell>
          <cell r="F59" t="str">
            <v>取締役社長</v>
          </cell>
          <cell r="G59" t="str">
            <v>原田　定</v>
          </cell>
          <cell r="H59">
            <v>30</v>
          </cell>
          <cell r="I59">
            <v>64</v>
          </cell>
          <cell r="J59" t="str">
            <v>252</v>
          </cell>
          <cell r="K59" t="str">
            <v>藤沢市葛原1980</v>
          </cell>
          <cell r="L59" t="str">
            <v xml:space="preserve"> </v>
          </cell>
          <cell r="M59" t="str">
            <v>0466-48-1611</v>
          </cell>
          <cell r="N59" t="str">
            <v>/48-1551</v>
          </cell>
          <cell r="O59" t="str">
            <v>ｷﾞﾔ､ｼﾌﾄﾌﾞﾛｯｸ</v>
          </cell>
          <cell r="P59" t="str">
            <v>▽</v>
          </cell>
          <cell r="Q59" t="str">
            <v>◎</v>
          </cell>
          <cell r="R59" t="str">
            <v>□</v>
          </cell>
          <cell r="S59" t="str">
            <v>☆</v>
          </cell>
          <cell r="T59" t="str">
            <v>ﾊﾗﾀﾞﾀﾝｺｳｼｮ</v>
          </cell>
          <cell r="V59" t="str">
            <v>53</v>
          </cell>
        </row>
        <row r="60">
          <cell r="B60" t="str">
            <v>0056</v>
          </cell>
          <cell r="C60" t="str">
            <v>#</v>
          </cell>
          <cell r="D60" t="str">
            <v>谷口運送(株)</v>
          </cell>
          <cell r="F60" t="str">
            <v>取締役社長</v>
          </cell>
          <cell r="G60" t="str">
            <v>安田　汪</v>
          </cell>
          <cell r="H60">
            <v>100</v>
          </cell>
          <cell r="I60">
            <v>378</v>
          </cell>
          <cell r="J60" t="str">
            <v>140</v>
          </cell>
          <cell r="K60" t="str">
            <v>品川区南大井6-28-11</v>
          </cell>
          <cell r="L60" t="str">
            <v xml:space="preserve"> </v>
          </cell>
          <cell r="M60" t="str">
            <v>03-3762-2711</v>
          </cell>
          <cell r="N60" t="str">
            <v>/3762-2716</v>
          </cell>
          <cell r="O60" t="str">
            <v>部品運搬</v>
          </cell>
          <cell r="Q60" t="str">
            <v xml:space="preserve"> </v>
          </cell>
          <cell r="R60" t="str">
            <v>□</v>
          </cell>
          <cell r="T60" t="str">
            <v>ﾀﾆｸﾞﾁｳﾝｿｳ</v>
          </cell>
          <cell r="V60" t="str">
            <v>30</v>
          </cell>
        </row>
        <row r="61">
          <cell r="B61" t="str">
            <v>0058</v>
          </cell>
          <cell r="C61" t="str">
            <v>#</v>
          </cell>
          <cell r="D61" t="str">
            <v>伊藤忠商事(株)</v>
          </cell>
          <cell r="F61" t="str">
            <v>代表取締役社長</v>
          </cell>
          <cell r="G61" t="str">
            <v>室伏　稔</v>
          </cell>
          <cell r="H61">
            <v>174711</v>
          </cell>
          <cell r="I61">
            <v>7262</v>
          </cell>
          <cell r="J61" t="str">
            <v>541</v>
          </cell>
          <cell r="K61" t="str">
            <v>大阪市中央区久太郎町4-1-3</v>
          </cell>
          <cell r="L61" t="str">
            <v xml:space="preserve"> </v>
          </cell>
          <cell r="M61" t="str">
            <v xml:space="preserve">06-241-2121 </v>
          </cell>
          <cell r="N61" t="str">
            <v>/</v>
          </cell>
          <cell r="Q61" t="str">
            <v>◎</v>
          </cell>
          <cell r="R61" t="str">
            <v>□</v>
          </cell>
          <cell r="T61" t="str">
            <v>ｲﾄｳﾁｭｳｼｮｳｼﾞ</v>
          </cell>
          <cell r="V61" t="str">
            <v>10</v>
          </cell>
        </row>
        <row r="62">
          <cell r="B62" t="str">
            <v>0058</v>
          </cell>
          <cell r="C62" t="str">
            <v>A</v>
          </cell>
          <cell r="D62" t="str">
            <v>伊藤忠商事(株)</v>
          </cell>
          <cell r="E62" t="str">
            <v>東京本社</v>
          </cell>
          <cell r="J62" t="str">
            <v>107-77</v>
          </cell>
          <cell r="K62" t="str">
            <v>港区北青山2-5-1</v>
          </cell>
          <cell r="L62" t="str">
            <v xml:space="preserve"> </v>
          </cell>
          <cell r="M62" t="str">
            <v>03-3497-2121</v>
          </cell>
          <cell r="N62" t="str">
            <v>/</v>
          </cell>
          <cell r="Q62" t="str">
            <v xml:space="preserve"> </v>
          </cell>
          <cell r="T62" t="str">
            <v>ｲﾄｳﾁｭｳｼｮｳｼﾞ</v>
          </cell>
          <cell r="V62" t="str">
            <v>10</v>
          </cell>
        </row>
        <row r="63">
          <cell r="B63" t="str">
            <v>0058</v>
          </cell>
          <cell r="C63" t="str">
            <v>B</v>
          </cell>
          <cell r="D63" t="str">
            <v>伊藤忠商事(株)</v>
          </cell>
          <cell r="E63" t="str">
            <v>東京本社</v>
          </cell>
          <cell r="J63" t="str">
            <v>107</v>
          </cell>
          <cell r="K63" t="str">
            <v xml:space="preserve"> </v>
          </cell>
          <cell r="L63" t="str">
            <v xml:space="preserve"> </v>
          </cell>
          <cell r="M63" t="str">
            <v>03-3497-3504</v>
          </cell>
          <cell r="N63" t="str">
            <v>/3497-3555</v>
          </cell>
          <cell r="O63" t="str">
            <v>鋼板･特殊鋼･鋼管　</v>
          </cell>
          <cell r="Q63" t="str">
            <v xml:space="preserve"> </v>
          </cell>
          <cell r="T63" t="str">
            <v>ｲﾄｳﾁｭｳｼｮｳｼﾞ</v>
          </cell>
          <cell r="V63" t="str">
            <v>10</v>
          </cell>
        </row>
        <row r="64">
          <cell r="B64" t="str">
            <v>0058</v>
          </cell>
          <cell r="C64" t="str">
            <v>C</v>
          </cell>
          <cell r="D64" t="str">
            <v>伊藤忠商事(株)</v>
          </cell>
          <cell r="E64" t="str">
            <v>東京本社</v>
          </cell>
          <cell r="J64" t="str">
            <v>107</v>
          </cell>
          <cell r="K64" t="str">
            <v xml:space="preserve"> </v>
          </cell>
          <cell r="L64" t="str">
            <v xml:space="preserve"> </v>
          </cell>
          <cell r="M64" t="str">
            <v>03-3497-3963</v>
          </cell>
          <cell r="N64" t="str">
            <v>/</v>
          </cell>
          <cell r="O64" t="str">
            <v>ｱﾙﾐﾆｳﾑ地金</v>
          </cell>
          <cell r="Q64" t="str">
            <v xml:space="preserve"> </v>
          </cell>
          <cell r="T64" t="str">
            <v>ｲﾄｳﾁｭｳｼｮｳｼﾞ</v>
          </cell>
          <cell r="V64" t="str">
            <v>10</v>
          </cell>
        </row>
        <row r="65">
          <cell r="B65" t="str">
            <v>0058</v>
          </cell>
          <cell r="C65" t="str">
            <v>D</v>
          </cell>
          <cell r="D65" t="str">
            <v>伊藤忠商事(株)</v>
          </cell>
          <cell r="E65" t="str">
            <v>東京本社</v>
          </cell>
          <cell r="J65" t="str">
            <v>107</v>
          </cell>
          <cell r="K65" t="str">
            <v xml:space="preserve"> </v>
          </cell>
          <cell r="L65" t="str">
            <v xml:space="preserve"> </v>
          </cell>
          <cell r="M65" t="str">
            <v>03-3497-3631</v>
          </cell>
          <cell r="N65" t="str">
            <v>/</v>
          </cell>
          <cell r="O65" t="str">
            <v>-6928樹脂</v>
          </cell>
          <cell r="Q65" t="str">
            <v xml:space="preserve"> </v>
          </cell>
          <cell r="T65" t="str">
            <v>ｲﾄｳﾁｭｳｼｮｳｼﾞ</v>
          </cell>
          <cell r="V65" t="str">
            <v>10</v>
          </cell>
        </row>
        <row r="66">
          <cell r="B66" t="str">
            <v>0058</v>
          </cell>
          <cell r="C66" t="str">
            <v>E</v>
          </cell>
          <cell r="D66" t="str">
            <v>伊藤忠商事(株)</v>
          </cell>
          <cell r="E66" t="str">
            <v>東京本社</v>
          </cell>
          <cell r="F66" t="str">
            <v>車両第三部長</v>
          </cell>
          <cell r="G66" t="str">
            <v>津田　忠久</v>
          </cell>
          <cell r="J66" t="str">
            <v>107</v>
          </cell>
          <cell r="K66" t="str">
            <v xml:space="preserve"> </v>
          </cell>
          <cell r="L66" t="str">
            <v xml:space="preserve"> </v>
          </cell>
          <cell r="M66" t="str">
            <v>03-3497-3267</v>
          </cell>
          <cell r="N66" t="str">
            <v>/</v>
          </cell>
          <cell r="O66" t="str">
            <v>業務委託(75G)</v>
          </cell>
          <cell r="Q66" t="str">
            <v xml:space="preserve"> </v>
          </cell>
          <cell r="T66" t="str">
            <v>ｲﾄｳﾁｭｳｼｮｳｼﾞ</v>
          </cell>
          <cell r="V66" t="str">
            <v>10</v>
          </cell>
        </row>
        <row r="67">
          <cell r="B67" t="str">
            <v>0061</v>
          </cell>
          <cell r="C67" t="str">
            <v>#</v>
          </cell>
          <cell r="D67" t="str">
            <v>日綱レックス(株)</v>
          </cell>
          <cell r="F67" t="str">
            <v>取締役社長</v>
          </cell>
          <cell r="G67" t="str">
            <v>角田　泰次郎</v>
          </cell>
          <cell r="H67">
            <v>50</v>
          </cell>
          <cell r="I67">
            <v>90</v>
          </cell>
          <cell r="J67" t="str">
            <v>101</v>
          </cell>
          <cell r="K67" t="str">
            <v>千代田区鍛冶町2-2-2</v>
          </cell>
          <cell r="L67" t="str">
            <v>東京建物神田ビル</v>
          </cell>
          <cell r="M67" t="str">
            <v>03-3252-5986</v>
          </cell>
          <cell r="N67" t="str">
            <v>/</v>
          </cell>
          <cell r="O67" t="str">
            <v>ワイヤーロープ</v>
          </cell>
          <cell r="Q67" t="str">
            <v xml:space="preserve"> </v>
          </cell>
          <cell r="R67" t="str">
            <v>□</v>
          </cell>
          <cell r="T67" t="str">
            <v>ﾆｯｺｳﾚｯｸｽ</v>
          </cell>
          <cell r="V67" t="str">
            <v>15</v>
          </cell>
        </row>
        <row r="68">
          <cell r="B68" t="str">
            <v>0063</v>
          </cell>
          <cell r="C68" t="str">
            <v>#</v>
          </cell>
          <cell r="D68" t="str">
            <v>いすゞﾗｲﾈｯｸｽ(株)</v>
          </cell>
          <cell r="F68" t="str">
            <v>取締役社長</v>
          </cell>
          <cell r="G68" t="str">
            <v>成瀬  祐由</v>
          </cell>
          <cell r="H68">
            <v>800</v>
          </cell>
          <cell r="I68">
            <v>432</v>
          </cell>
          <cell r="J68" t="str">
            <v>210</v>
          </cell>
          <cell r="K68" t="str">
            <v>川崎市川崎区藤崎3-5-1</v>
          </cell>
          <cell r="L68" t="str">
            <v>ﾄｰｸﾋﾟｱ川崎</v>
          </cell>
          <cell r="M68" t="str">
            <v>0466-44-2423</v>
          </cell>
          <cell r="N68" t="str">
            <v>/43-5163</v>
          </cell>
          <cell r="O68" t="str">
            <v>ﾀｲﾔ･ﾃﾞｨｽｸ組付</v>
          </cell>
          <cell r="Q68" t="str">
            <v>◎</v>
          </cell>
          <cell r="R68" t="str">
            <v>□</v>
          </cell>
          <cell r="T68" t="str">
            <v>ｲｽｽﾞﾗｲﾈｯｸｽ</v>
          </cell>
          <cell r="U68" t="str">
            <v xml:space="preserve"> </v>
          </cell>
          <cell r="V68" t="str">
            <v>54</v>
          </cell>
        </row>
        <row r="69">
          <cell r="B69" t="str">
            <v>0064</v>
          </cell>
          <cell r="C69" t="str">
            <v>#</v>
          </cell>
          <cell r="D69" t="str">
            <v>いすゞ陸送(株)</v>
          </cell>
          <cell r="F69" t="str">
            <v>代表取締役社長</v>
          </cell>
          <cell r="G69" t="str">
            <v>小幡  孝之</v>
          </cell>
          <cell r="H69">
            <v>40</v>
          </cell>
          <cell r="I69">
            <v>168</v>
          </cell>
          <cell r="J69" t="str">
            <v>252</v>
          </cell>
          <cell r="K69" t="str">
            <v>藤沢市円行2-19-5</v>
          </cell>
          <cell r="L69" t="str">
            <v xml:space="preserve"> </v>
          </cell>
          <cell r="M69" t="str">
            <v>0466-43-2301</v>
          </cell>
          <cell r="N69" t="str">
            <v>/43-2300</v>
          </cell>
          <cell r="O69" t="str">
            <v>搬送用燃料譲渡･車両搬送･構内ﾌｫｰｸ作業</v>
          </cell>
          <cell r="Q69" t="str">
            <v xml:space="preserve"> </v>
          </cell>
          <cell r="T69" t="str">
            <v>ｲｽｽﾞﾘｸｿｳ</v>
          </cell>
          <cell r="V69" t="str">
            <v>15</v>
          </cell>
        </row>
        <row r="70">
          <cell r="B70" t="str">
            <v>0068</v>
          </cell>
          <cell r="C70" t="str">
            <v>#</v>
          </cell>
          <cell r="D70" t="str">
            <v>キャタラー工業(株)</v>
          </cell>
          <cell r="F70" t="str">
            <v>取締役社長</v>
          </cell>
          <cell r="G70" t="str">
            <v>岩渕　明郎</v>
          </cell>
          <cell r="H70">
            <v>516</v>
          </cell>
          <cell r="I70">
            <v>146</v>
          </cell>
          <cell r="J70" t="str">
            <v>437-14</v>
          </cell>
          <cell r="K70" t="str">
            <v>静岡県小笠郡大東町千浜7800</v>
          </cell>
          <cell r="L70" t="str">
            <v xml:space="preserve"> </v>
          </cell>
          <cell r="M70" t="str">
            <v>0537-72-6721</v>
          </cell>
          <cell r="N70" t="str">
            <v>/72-2829</v>
          </cell>
          <cell r="O70" t="str">
            <v>触媒</v>
          </cell>
          <cell r="Q70" t="str">
            <v xml:space="preserve"> </v>
          </cell>
          <cell r="R70" t="str">
            <v>□</v>
          </cell>
          <cell r="S70" t="str">
            <v>☆</v>
          </cell>
          <cell r="T70" t="str">
            <v>ｷｬﾀﾗｰｺｳｷﾞｮｳ</v>
          </cell>
          <cell r="V70" t="str">
            <v>51</v>
          </cell>
        </row>
        <row r="71">
          <cell r="B71" t="str">
            <v>0070</v>
          </cell>
          <cell r="C71" t="str">
            <v>#</v>
          </cell>
          <cell r="D71" t="str">
            <v>出光石油化学(株)</v>
          </cell>
          <cell r="F71" t="str">
            <v>代表取締役社長</v>
          </cell>
          <cell r="G71" t="str">
            <v>本郷　睦</v>
          </cell>
          <cell r="H71">
            <v>2000</v>
          </cell>
          <cell r="I71">
            <v>2104</v>
          </cell>
          <cell r="J71" t="str">
            <v>100</v>
          </cell>
          <cell r="K71" t="str">
            <v>千代田区丸の内3-1-1</v>
          </cell>
          <cell r="L71" t="str">
            <v xml:space="preserve"> </v>
          </cell>
          <cell r="M71" t="str">
            <v>03-3213-3111</v>
          </cell>
          <cell r="N71" t="str">
            <v>/</v>
          </cell>
          <cell r="O71" t="str">
            <v>樹脂</v>
          </cell>
          <cell r="Q71" t="str">
            <v xml:space="preserve"> </v>
          </cell>
          <cell r="R71" t="str">
            <v>□</v>
          </cell>
          <cell r="T71" t="str">
            <v>ｲﾃﾞﾐﾂﾃｾｷﾕｶｶﾞｸ</v>
          </cell>
          <cell r="V71" t="str">
            <v>10</v>
          </cell>
        </row>
        <row r="72">
          <cell r="B72" t="str">
            <v>0070</v>
          </cell>
          <cell r="C72" t="str">
            <v>A</v>
          </cell>
          <cell r="D72" t="str">
            <v>出光石油化学(株)</v>
          </cell>
          <cell r="E72" t="str">
            <v>東京支店</v>
          </cell>
          <cell r="J72" t="str">
            <v>108</v>
          </cell>
          <cell r="K72" t="str">
            <v>港区芝5-6-1出光三田ビル</v>
          </cell>
          <cell r="L72" t="str">
            <v xml:space="preserve"> </v>
          </cell>
          <cell r="M72" t="str">
            <v>03-3746-4821</v>
          </cell>
          <cell r="N72" t="str">
            <v>/3746-4844</v>
          </cell>
          <cell r="O72" t="str">
            <v>樹脂</v>
          </cell>
          <cell r="Q72" t="str">
            <v xml:space="preserve"> </v>
          </cell>
          <cell r="T72" t="str">
            <v>ｲﾃﾞﾐﾂﾃｾｷﾕｶｶﾞｸ</v>
          </cell>
          <cell r="V72" t="str">
            <v>10</v>
          </cell>
        </row>
        <row r="73">
          <cell r="B73" t="str">
            <v>0071</v>
          </cell>
          <cell r="C73" t="str">
            <v>#</v>
          </cell>
          <cell r="D73" t="str">
            <v>三井石油化学工業(株)</v>
          </cell>
          <cell r="F73" t="str">
            <v>代表取締役社長</v>
          </cell>
          <cell r="G73" t="str">
            <v>幸田  重教</v>
          </cell>
          <cell r="H73">
            <v>15836</v>
          </cell>
          <cell r="I73">
            <v>4292</v>
          </cell>
          <cell r="J73" t="str">
            <v>100</v>
          </cell>
          <cell r="K73" t="str">
            <v>千代田区霞が関3-2-5</v>
          </cell>
          <cell r="L73" t="str">
            <v xml:space="preserve"> </v>
          </cell>
          <cell r="M73" t="str">
            <v>03-3580-4425</v>
          </cell>
          <cell r="N73" t="str">
            <v>/3593-0813</v>
          </cell>
          <cell r="O73" t="str">
            <v>ポリプロピレン</v>
          </cell>
          <cell r="Q73" t="str">
            <v xml:space="preserve"> </v>
          </cell>
          <cell r="R73" t="str">
            <v>□</v>
          </cell>
          <cell r="T73" t="str">
            <v>ﾐﾂｲｾｷﾕｶｶﾞｸｺｳｷﾞｮｳ</v>
          </cell>
          <cell r="V73" t="str">
            <v>10</v>
          </cell>
        </row>
        <row r="74">
          <cell r="B74" t="str">
            <v>0072</v>
          </cell>
          <cell r="C74" t="str">
            <v>#</v>
          </cell>
          <cell r="D74" t="str">
            <v>東レ･デュポン(株)</v>
          </cell>
          <cell r="F74" t="str">
            <v>代表取締役社長</v>
          </cell>
          <cell r="G74" t="str">
            <v>吉田  孝</v>
          </cell>
          <cell r="H74">
            <v>3028</v>
          </cell>
          <cell r="I74">
            <v>762</v>
          </cell>
          <cell r="J74" t="str">
            <v>103</v>
          </cell>
          <cell r="K74" t="str">
            <v>中央区日本橋本町1-5-6</v>
          </cell>
          <cell r="L74" t="str">
            <v xml:space="preserve"> </v>
          </cell>
          <cell r="M74" t="str">
            <v>03-3245-5081</v>
          </cell>
          <cell r="N74" t="str">
            <v>/3245-5050</v>
          </cell>
          <cell r="O74" t="str">
            <v>樹脂</v>
          </cell>
          <cell r="Q74" t="str">
            <v xml:space="preserve"> </v>
          </cell>
          <cell r="T74" t="str">
            <v>ﾄｳﾚ･ﾃﾞｭﾎﾟﾝ</v>
          </cell>
          <cell r="V74" t="str">
            <v>10</v>
          </cell>
        </row>
        <row r="75">
          <cell r="B75" t="str">
            <v>0073</v>
          </cell>
          <cell r="C75" t="str">
            <v>#</v>
          </cell>
          <cell r="D75" t="str">
            <v>日本ユピカ(株)</v>
          </cell>
          <cell r="F75" t="str">
            <v>代表取締役社長</v>
          </cell>
          <cell r="G75" t="str">
            <v>三野  勝美</v>
          </cell>
          <cell r="H75">
            <v>575</v>
          </cell>
          <cell r="I75">
            <v>176</v>
          </cell>
          <cell r="J75" t="str">
            <v>100</v>
          </cell>
          <cell r="K75" t="str">
            <v>千代田区内幸町2-1-1</v>
          </cell>
          <cell r="L75" t="str">
            <v/>
          </cell>
          <cell r="M75" t="str">
            <v>03-3506-3768</v>
          </cell>
          <cell r="N75" t="str">
            <v>/</v>
          </cell>
          <cell r="O75" t="str">
            <v>ﾎﾟﾘｴｽﾃﾙ(BMC用)</v>
          </cell>
          <cell r="Q75" t="str">
            <v xml:space="preserve"> </v>
          </cell>
          <cell r="T75" t="str">
            <v>ﾆﾎﾝﾕﾋﾟｶ</v>
          </cell>
          <cell r="V75" t="str">
            <v>10</v>
          </cell>
        </row>
        <row r="76">
          <cell r="B76" t="str">
            <v>0074</v>
          </cell>
          <cell r="C76" t="str">
            <v>#</v>
          </cell>
          <cell r="D76" t="str">
            <v>長瀬産業(株)</v>
          </cell>
          <cell r="F76" t="str">
            <v>代表取締役社長</v>
          </cell>
          <cell r="G76" t="str">
            <v>長瀬  英男</v>
          </cell>
          <cell r="H76">
            <v>9699</v>
          </cell>
          <cell r="I76">
            <v>1446</v>
          </cell>
          <cell r="J76" t="str">
            <v>103</v>
          </cell>
          <cell r="K76" t="str">
            <v>中央区日本橋小舟町5-1</v>
          </cell>
          <cell r="L76" t="str">
            <v/>
          </cell>
          <cell r="M76" t="str">
            <v>03-3665-3234</v>
          </cell>
          <cell r="N76" t="str">
            <v>/3665-3228</v>
          </cell>
          <cell r="O76" t="str">
            <v>樹脂</v>
          </cell>
          <cell r="Q76" t="str">
            <v xml:space="preserve"> </v>
          </cell>
          <cell r="T76" t="str">
            <v>ﾅｶﾞｾｻﾝｷﾞｮｳ</v>
          </cell>
          <cell r="V76" t="str">
            <v>10</v>
          </cell>
        </row>
        <row r="77">
          <cell r="B77" t="str">
            <v>0075</v>
          </cell>
          <cell r="C77" t="str">
            <v>#</v>
          </cell>
          <cell r="D77" t="str">
            <v>三星ジャパン(株)</v>
          </cell>
          <cell r="F77" t="str">
            <v>代表取締役</v>
          </cell>
          <cell r="G77" t="str">
            <v xml:space="preserve"> 李   洙</v>
          </cell>
          <cell r="H77">
            <v>90</v>
          </cell>
          <cell r="I77">
            <v>188</v>
          </cell>
          <cell r="J77" t="str">
            <v>100</v>
          </cell>
          <cell r="K77" t="str">
            <v>千代田区霞ｹ関3-2-5</v>
          </cell>
          <cell r="L77" t="str">
            <v>霞ｹ関ビル</v>
          </cell>
          <cell r="M77" t="str">
            <v>03-3581-7515</v>
          </cell>
          <cell r="N77" t="str">
            <v>/5641-9719</v>
          </cell>
          <cell r="O77" t="str">
            <v>TF/ｴｱﾀﾞﾑ用複合PP(樹脂材料)</v>
          </cell>
          <cell r="P77" t="str">
            <v xml:space="preserve"> </v>
          </cell>
          <cell r="T77" t="str">
            <v>ｻﾑｿﾝｼﾞｬﾊﾟﾝ</v>
          </cell>
          <cell r="V77" t="str">
            <v>10</v>
          </cell>
        </row>
        <row r="78">
          <cell r="B78" t="str">
            <v>0076</v>
          </cell>
          <cell r="C78" t="str">
            <v>#</v>
          </cell>
          <cell r="D78" t="str">
            <v>旭化成工業(株）</v>
          </cell>
          <cell r="F78" t="str">
            <v>代表取締役社長</v>
          </cell>
          <cell r="G78" t="str">
            <v>弓倉  礼一</v>
          </cell>
          <cell r="H78">
            <v>103388</v>
          </cell>
          <cell r="I78">
            <v>15962</v>
          </cell>
          <cell r="J78">
            <v>100</v>
          </cell>
          <cell r="K78" t="str">
            <v>千代田区有楽町1-1-2</v>
          </cell>
          <cell r="L78" t="str">
            <v>日比谷三井ビル</v>
          </cell>
          <cell r="M78" t="str">
            <v>03-3507-2826</v>
          </cell>
          <cell r="N78" t="str">
            <v>/3507-2419</v>
          </cell>
          <cell r="O78" t="str">
            <v>サラン レジン Ｆ－２１６</v>
          </cell>
          <cell r="P78" t="str">
            <v xml:space="preserve"> </v>
          </cell>
          <cell r="T78" t="str">
            <v>ｱｻﾋｶｾｲｺｳｷﾞｮｳ KK</v>
          </cell>
          <cell r="V78" t="str">
            <v>10</v>
          </cell>
        </row>
        <row r="79">
          <cell r="B79" t="str">
            <v>0500</v>
          </cell>
          <cell r="C79" t="str">
            <v>#</v>
          </cell>
          <cell r="D79" t="str">
            <v>ＴＤＦ(株)</v>
          </cell>
          <cell r="F79" t="str">
            <v>代表取締役社長</v>
          </cell>
          <cell r="G79" t="str">
            <v>笹目  良雄</v>
          </cell>
          <cell r="H79">
            <v>1199</v>
          </cell>
          <cell r="I79">
            <v>330</v>
          </cell>
          <cell r="J79" t="str">
            <v>140</v>
          </cell>
          <cell r="K79" t="str">
            <v>品川区南大井6-26-3</v>
          </cell>
          <cell r="L79" t="str">
            <v>大森ﾍﾞﾙﾎﾟｰﾄD館8F</v>
          </cell>
          <cell r="M79" t="str">
            <v>03-3766-6311</v>
          </cell>
          <cell r="N79" t="str">
            <v>/3764-2510</v>
          </cell>
          <cell r="O79" t="str">
            <v>フロントアクスル</v>
          </cell>
          <cell r="Q79" t="str">
            <v>◎</v>
          </cell>
          <cell r="R79" t="str">
            <v>□</v>
          </cell>
          <cell r="S79" t="str">
            <v>☆</v>
          </cell>
          <cell r="T79" t="str">
            <v>ﾃｨｰﾃﾞｨｰｴﾌ</v>
          </cell>
          <cell r="V79" t="str">
            <v>53</v>
          </cell>
        </row>
        <row r="80">
          <cell r="B80" t="str">
            <v>0500</v>
          </cell>
          <cell r="C80" t="str">
            <v>A</v>
          </cell>
          <cell r="D80" t="str">
            <v>ＴＤＦ(株)</v>
          </cell>
          <cell r="E80" t="str">
            <v>宮城工場</v>
          </cell>
          <cell r="J80" t="str">
            <v>989-12</v>
          </cell>
          <cell r="K80" t="str">
            <v>宮城県柴田郡村田町</v>
          </cell>
          <cell r="L80" t="str">
            <v>大字沼辺字方作39</v>
          </cell>
          <cell r="M80" t="str">
            <v>02245-2-5411</v>
          </cell>
          <cell r="N80" t="str">
            <v>/</v>
          </cell>
          <cell r="O80" t="str">
            <v>ナックル</v>
          </cell>
          <cell r="Q80" t="str">
            <v xml:space="preserve"> </v>
          </cell>
          <cell r="T80" t="str">
            <v>ﾃｨｰﾃﾞｨｰｴﾌ</v>
          </cell>
          <cell r="V80" t="str">
            <v>53</v>
          </cell>
        </row>
        <row r="81">
          <cell r="B81" t="str">
            <v>0501</v>
          </cell>
          <cell r="C81" t="str">
            <v>#</v>
          </cell>
          <cell r="D81" t="str">
            <v>川崎鍛工(株)</v>
          </cell>
          <cell r="F81" t="str">
            <v>取締役社長</v>
          </cell>
          <cell r="G81" t="str">
            <v>小田川　譲</v>
          </cell>
          <cell r="H81">
            <v>93</v>
          </cell>
          <cell r="I81">
            <v>110</v>
          </cell>
          <cell r="J81" t="str">
            <v>210</v>
          </cell>
          <cell r="K81" t="str">
            <v>川崎市川崎区日出町2-2-4</v>
          </cell>
          <cell r="L81" t="str">
            <v xml:space="preserve"> </v>
          </cell>
          <cell r="M81" t="str">
            <v>044-277-2511</v>
          </cell>
          <cell r="N81" t="str">
            <v>/299-3558</v>
          </cell>
          <cell r="O81" t="str">
            <v>ｼﾌﾄｱｰﾑ､ﾊﾟｯﾄﾞ</v>
          </cell>
          <cell r="P81" t="str">
            <v>▽</v>
          </cell>
          <cell r="Q81" t="str">
            <v>◎</v>
          </cell>
          <cell r="R81" t="str">
            <v>□</v>
          </cell>
          <cell r="S81" t="str">
            <v>☆</v>
          </cell>
          <cell r="T81" t="str">
            <v>ｶﾜｻｷﾀﾝｺｳ</v>
          </cell>
          <cell r="V81" t="str">
            <v>53</v>
          </cell>
        </row>
        <row r="82">
          <cell r="B82" t="str">
            <v>0501</v>
          </cell>
          <cell r="C82" t="str">
            <v>A</v>
          </cell>
          <cell r="D82" t="str">
            <v>川崎鍛工(株)</v>
          </cell>
          <cell r="E82" t="str">
            <v>茨城工場</v>
          </cell>
          <cell r="J82" t="str">
            <v>360-01</v>
          </cell>
          <cell r="K82" t="str">
            <v>茨城県猿島郡三和町下片田</v>
          </cell>
          <cell r="L82" t="str">
            <v>881</v>
          </cell>
          <cell r="M82" t="str">
            <v>0280-76-1771</v>
          </cell>
          <cell r="N82" t="str">
            <v>/76-3301</v>
          </cell>
          <cell r="O82" t="str">
            <v>フック</v>
          </cell>
          <cell r="P82" t="str">
            <v>▽</v>
          </cell>
          <cell r="Q82" t="str">
            <v xml:space="preserve"> </v>
          </cell>
          <cell r="T82" t="str">
            <v>ｶﾜｻｷﾀﾝｺｳ</v>
          </cell>
          <cell r="V82" t="str">
            <v>53</v>
          </cell>
        </row>
        <row r="83">
          <cell r="B83" t="str">
            <v>0507</v>
          </cell>
          <cell r="C83" t="str">
            <v>#</v>
          </cell>
          <cell r="D83" t="str">
            <v>(株)太田鉄工所</v>
          </cell>
          <cell r="F83" t="str">
            <v>取締役社長</v>
          </cell>
          <cell r="G83" t="str">
            <v>太田　喬</v>
          </cell>
          <cell r="H83">
            <v>100</v>
          </cell>
          <cell r="I83">
            <v>165</v>
          </cell>
          <cell r="J83" t="str">
            <v>144</v>
          </cell>
          <cell r="K83" t="str">
            <v>大田区北糀谷1-9-7</v>
          </cell>
          <cell r="L83" t="str">
            <v xml:space="preserve"> </v>
          </cell>
          <cell r="M83" t="str">
            <v>03-3741-2165</v>
          </cell>
          <cell r="N83" t="str">
            <v>/</v>
          </cell>
          <cell r="O83" t="str">
            <v>ｼﾌﾄﾌﾞﾛｯｸ</v>
          </cell>
          <cell r="P83" t="str">
            <v>▽</v>
          </cell>
          <cell r="Q83" t="str">
            <v>◎</v>
          </cell>
          <cell r="R83" t="str">
            <v>□</v>
          </cell>
          <cell r="S83" t="str">
            <v>☆</v>
          </cell>
          <cell r="T83" t="str">
            <v>ｵｵﾀﾃｯｺｳｼｮ</v>
          </cell>
          <cell r="V83" t="str">
            <v>53</v>
          </cell>
        </row>
        <row r="84">
          <cell r="B84" t="str">
            <v>0507</v>
          </cell>
          <cell r="C84" t="str">
            <v>A</v>
          </cell>
          <cell r="D84" t="str">
            <v>(株)太田鉄工所</v>
          </cell>
          <cell r="E84" t="str">
            <v>伊勢原工場</v>
          </cell>
          <cell r="J84" t="str">
            <v>259-11</v>
          </cell>
          <cell r="K84" t="str">
            <v>伊勢原市石田100</v>
          </cell>
          <cell r="L84" t="str">
            <v xml:space="preserve"> </v>
          </cell>
          <cell r="M84" t="str">
            <v>0463-93-2111</v>
          </cell>
          <cell r="N84" t="str">
            <v>/93-3955</v>
          </cell>
          <cell r="O84" t="str">
            <v>ｷﾞﾔ</v>
          </cell>
          <cell r="P84" t="str">
            <v>▽</v>
          </cell>
          <cell r="Q84" t="str">
            <v xml:space="preserve"> </v>
          </cell>
          <cell r="T84" t="str">
            <v>ｵｵﾀﾃｯｺｳｼｮ</v>
          </cell>
          <cell r="V84" t="str">
            <v>53</v>
          </cell>
        </row>
        <row r="85">
          <cell r="B85" t="str">
            <v>0510</v>
          </cell>
          <cell r="C85" t="str">
            <v>#</v>
          </cell>
          <cell r="D85" t="str">
            <v>イズミ工業(株)</v>
          </cell>
          <cell r="F85" t="str">
            <v>取締役社長</v>
          </cell>
          <cell r="G85" t="str">
            <v>泉  　知明</v>
          </cell>
          <cell r="H85">
            <v>2898</v>
          </cell>
          <cell r="I85">
            <v>1044</v>
          </cell>
          <cell r="J85" t="str">
            <v>363</v>
          </cell>
          <cell r="K85" t="str">
            <v>桶川市赤堀2-17</v>
          </cell>
          <cell r="L85" t="str">
            <v>ﾃｸﾆｶﾙｾﾝﾀｰ</v>
          </cell>
          <cell r="M85" t="str">
            <v>048-772-5611</v>
          </cell>
          <cell r="N85" t="str">
            <v>/</v>
          </cell>
          <cell r="O85" t="str">
            <v>鋳鉄ライナー</v>
          </cell>
          <cell r="Q85" t="str">
            <v>◎</v>
          </cell>
          <cell r="R85" t="str">
            <v>□</v>
          </cell>
          <cell r="S85" t="str">
            <v>☆</v>
          </cell>
          <cell r="T85" t="str">
            <v>ｲｽﾞﾐｺｳｷﾞｮｳ</v>
          </cell>
          <cell r="V85" t="str">
            <v>51</v>
          </cell>
        </row>
        <row r="86">
          <cell r="B86" t="str">
            <v>0510</v>
          </cell>
          <cell r="C86" t="str">
            <v>A</v>
          </cell>
          <cell r="D86" t="str">
            <v>イズミ工業(株)</v>
          </cell>
          <cell r="E86" t="str">
            <v>東京営業所</v>
          </cell>
          <cell r="J86" t="str">
            <v>101</v>
          </cell>
          <cell r="K86" t="str">
            <v>千代田区神田美土代町3</v>
          </cell>
          <cell r="L86" t="str">
            <v xml:space="preserve">泉国際産業ビル </v>
          </cell>
          <cell r="M86" t="str">
            <v>03-3292-3881</v>
          </cell>
          <cell r="N86" t="str">
            <v>/3292-3886</v>
          </cell>
          <cell r="O86" t="str">
            <v>ｸﾛﾏｰﾄﾞﾗｲﾅｰ</v>
          </cell>
          <cell r="Q86" t="str">
            <v xml:space="preserve"> </v>
          </cell>
          <cell r="T86" t="str">
            <v>ｲｽﾞﾐｺｳｷﾞｮｳ</v>
          </cell>
          <cell r="V86" t="str">
            <v>51</v>
          </cell>
        </row>
        <row r="87">
          <cell r="B87" t="str">
            <v>0510</v>
          </cell>
          <cell r="C87" t="str">
            <v>B</v>
          </cell>
          <cell r="D87" t="str">
            <v>イズミ工業(株)</v>
          </cell>
          <cell r="E87" t="str">
            <v>鶴岡工場</v>
          </cell>
          <cell r="J87" t="str">
            <v>997</v>
          </cell>
          <cell r="K87" t="str">
            <v>鶴岡市大宝寺字東道田42-5</v>
          </cell>
          <cell r="L87" t="str">
            <v xml:space="preserve"> </v>
          </cell>
          <cell r="M87" t="str">
            <v>0235-23-9111</v>
          </cell>
          <cell r="N87" t="str">
            <v>/</v>
          </cell>
          <cell r="Q87" t="str">
            <v xml:space="preserve"> </v>
          </cell>
          <cell r="T87" t="str">
            <v>ｲｽﾞﾐｺｳｷﾞｮｳ</v>
          </cell>
          <cell r="V87" t="str">
            <v>51</v>
          </cell>
        </row>
        <row r="88">
          <cell r="B88" t="str">
            <v>0513</v>
          </cell>
          <cell r="C88" t="str">
            <v>#</v>
          </cell>
          <cell r="D88" t="str">
            <v>ＳＰＲ(株)</v>
          </cell>
          <cell r="F88" t="str">
            <v>代表取締役</v>
          </cell>
          <cell r="G88" t="str">
            <v>中村　友治</v>
          </cell>
          <cell r="H88">
            <v>101</v>
          </cell>
          <cell r="I88">
            <v>173</v>
          </cell>
          <cell r="J88" t="str">
            <v>332</v>
          </cell>
          <cell r="K88" t="str">
            <v>川口市川口2-14-1</v>
          </cell>
          <cell r="L88" t="str">
            <v xml:space="preserve"> </v>
          </cell>
          <cell r="M88" t="str">
            <v>048-253-0373</v>
          </cell>
          <cell r="N88" t="str">
            <v>/258-6565</v>
          </cell>
          <cell r="O88" t="str">
            <v>ブレーキシュー・タペット</v>
          </cell>
          <cell r="Q88" t="str">
            <v>◎</v>
          </cell>
          <cell r="R88" t="str">
            <v>□</v>
          </cell>
          <cell r="S88" t="str">
            <v>☆</v>
          </cell>
          <cell r="T88" t="str">
            <v>ｴｽﾋﾟｰｱｰﾙ</v>
          </cell>
          <cell r="V88" t="str">
            <v>53</v>
          </cell>
        </row>
        <row r="89">
          <cell r="B89" t="str">
            <v>0515</v>
          </cell>
          <cell r="C89" t="str">
            <v>#</v>
          </cell>
          <cell r="D89" t="str">
            <v>(自動車鋳物(株))</v>
          </cell>
          <cell r="K89" t="str">
            <v xml:space="preserve"> </v>
          </cell>
          <cell r="L89" t="str">
            <v xml:space="preserve"> </v>
          </cell>
          <cell r="N89" t="str">
            <v>/</v>
          </cell>
          <cell r="Q89" t="str">
            <v>◎</v>
          </cell>
          <cell r="R89" t="str">
            <v>□</v>
          </cell>
          <cell r="T89" t="str">
            <v>ｼﾞﾄﾞｳｼｬｲﾓﾉ</v>
          </cell>
          <cell r="V89" t="str">
            <v>53</v>
          </cell>
        </row>
        <row r="90">
          <cell r="B90" t="str">
            <v>0518</v>
          </cell>
          <cell r="C90" t="str">
            <v>#</v>
          </cell>
          <cell r="D90" t="str">
            <v>日鍛バルブ(株)</v>
          </cell>
          <cell r="F90" t="str">
            <v>代表取締役社長</v>
          </cell>
          <cell r="G90" t="str">
            <v>山本  貞夫</v>
          </cell>
          <cell r="H90">
            <v>3791</v>
          </cell>
          <cell r="I90">
            <v>937</v>
          </cell>
          <cell r="J90" t="str">
            <v>104</v>
          </cell>
          <cell r="K90" t="str">
            <v>中央区八重洲2-7-2</v>
          </cell>
          <cell r="L90" t="str">
            <v>八重洲三井ビル</v>
          </cell>
          <cell r="M90" t="str">
            <v>03-3271-4821</v>
          </cell>
          <cell r="N90" t="str">
            <v>/3273-5900</v>
          </cell>
          <cell r="O90" t="str">
            <v>ｻｲﾄﾞｷﾞﾔ</v>
          </cell>
          <cell r="Q90" t="str">
            <v>◎</v>
          </cell>
          <cell r="R90" t="str">
            <v>□</v>
          </cell>
          <cell r="S90" t="str">
            <v>☆</v>
          </cell>
          <cell r="T90" t="str">
            <v>ﾆｯﾀﾝﾊﾞﾙﾌﾞ</v>
          </cell>
          <cell r="V90" t="str">
            <v>51</v>
          </cell>
        </row>
        <row r="91">
          <cell r="B91" t="str">
            <v>0518</v>
          </cell>
          <cell r="C91" t="str">
            <v>A</v>
          </cell>
          <cell r="D91" t="str">
            <v>日鍛バルブ(株)</v>
          </cell>
          <cell r="E91" t="str">
            <v>第一バルブ工場</v>
          </cell>
          <cell r="J91" t="str">
            <v>257</v>
          </cell>
          <cell r="K91" t="str">
            <v>秦野市曽屋518</v>
          </cell>
          <cell r="L91" t="str">
            <v xml:space="preserve"> </v>
          </cell>
          <cell r="M91" t="str">
            <v>0463-82-1313</v>
          </cell>
          <cell r="N91" t="str">
            <v>/</v>
          </cell>
          <cell r="O91" t="str">
            <v>ﾋﾟﾆｵﾝｷﾞｱ</v>
          </cell>
          <cell r="Q91" t="str">
            <v xml:space="preserve"> </v>
          </cell>
          <cell r="T91" t="str">
            <v>ﾆｯﾀﾝﾊﾞﾙﾌﾞ</v>
          </cell>
          <cell r="V91" t="str">
            <v>51</v>
          </cell>
        </row>
        <row r="92">
          <cell r="B92" t="str">
            <v>0520</v>
          </cell>
          <cell r="C92" t="str">
            <v>#</v>
          </cell>
          <cell r="D92" t="str">
            <v>滝沢工業(株)</v>
          </cell>
          <cell r="F92" t="str">
            <v>取締役社長</v>
          </cell>
          <cell r="G92" t="str">
            <v>滝沢　尚久</v>
          </cell>
          <cell r="H92">
            <v>96</v>
          </cell>
          <cell r="I92">
            <v>50</v>
          </cell>
          <cell r="J92" t="str">
            <v>130</v>
          </cell>
          <cell r="K92" t="str">
            <v>墨田区江東橋1-15-5</v>
          </cell>
          <cell r="L92" t="str">
            <v xml:space="preserve"> </v>
          </cell>
          <cell r="M92" t="str">
            <v>03-3631-2012</v>
          </cell>
          <cell r="N92" t="str">
            <v>/</v>
          </cell>
          <cell r="O92" t="str">
            <v>ニップル</v>
          </cell>
          <cell r="P92" t="str">
            <v>▽</v>
          </cell>
          <cell r="Q92" t="str">
            <v xml:space="preserve"> </v>
          </cell>
          <cell r="T92" t="str">
            <v>ﾀｷｻﾞﾜｺｳｷﾞｮｳ</v>
          </cell>
          <cell r="V92" t="str">
            <v>53</v>
          </cell>
        </row>
        <row r="93">
          <cell r="B93" t="str">
            <v>0520</v>
          </cell>
          <cell r="C93" t="str">
            <v>A</v>
          </cell>
          <cell r="D93" t="str">
            <v>滝沢工業(株)</v>
          </cell>
          <cell r="E93" t="str">
            <v>大月工場</v>
          </cell>
          <cell r="J93" t="str">
            <v>401</v>
          </cell>
          <cell r="K93" t="str">
            <v>大月市初狩町中初狩600</v>
          </cell>
          <cell r="L93" t="str">
            <v xml:space="preserve"> </v>
          </cell>
          <cell r="M93" t="str">
            <v>0554-25-6911</v>
          </cell>
          <cell r="N93" t="str">
            <v>/</v>
          </cell>
          <cell r="O93" t="str">
            <v>ｱｼﾞｬｽﾃｨﾝｸﾞﾅｯﾄ</v>
          </cell>
          <cell r="P93" t="str">
            <v>▽</v>
          </cell>
          <cell r="Q93" t="str">
            <v xml:space="preserve"> </v>
          </cell>
          <cell r="T93" t="str">
            <v>ﾀｷｻﾞﾜｺｳｷﾞｮｳ</v>
          </cell>
          <cell r="V93" t="str">
            <v>53</v>
          </cell>
        </row>
        <row r="94">
          <cell r="B94" t="str">
            <v>0521</v>
          </cell>
          <cell r="C94" t="str">
            <v>#</v>
          </cell>
          <cell r="D94" t="str">
            <v>自動車鋳物(株)</v>
          </cell>
          <cell r="F94" t="str">
            <v>代表取締役社長</v>
          </cell>
          <cell r="G94" t="str">
            <v>篠田  起之</v>
          </cell>
          <cell r="H94">
            <v>1480</v>
          </cell>
          <cell r="I94">
            <v>1350</v>
          </cell>
          <cell r="J94" t="str">
            <v>230</v>
          </cell>
          <cell r="K94" t="str">
            <v>横浜市鶴見区江ヶ崎25-25</v>
          </cell>
          <cell r="L94" t="str">
            <v xml:space="preserve"> </v>
          </cell>
          <cell r="M94" t="str">
            <v>045-575-2525</v>
          </cell>
          <cell r="N94" t="str">
            <v>/575-2530</v>
          </cell>
          <cell r="O94" t="str">
            <v>ハブ・キャリア</v>
          </cell>
          <cell r="Q94" t="str">
            <v>◎</v>
          </cell>
          <cell r="R94" t="str">
            <v>□</v>
          </cell>
          <cell r="S94" t="str">
            <v>☆</v>
          </cell>
          <cell r="T94" t="str">
            <v>ｼﾞﾄﾞｳｼｬｲﾓﾉ</v>
          </cell>
          <cell r="V94" t="str">
            <v>53</v>
          </cell>
        </row>
        <row r="95">
          <cell r="B95" t="str">
            <v>0521</v>
          </cell>
          <cell r="C95" t="str">
            <v>A</v>
          </cell>
          <cell r="D95" t="str">
            <v>自動車鋳物(株)</v>
          </cell>
          <cell r="E95" t="str">
            <v>土浦工場</v>
          </cell>
          <cell r="J95" t="str">
            <v>300</v>
          </cell>
          <cell r="K95" t="str">
            <v>土浦市北神立町4-2</v>
          </cell>
          <cell r="L95" t="str">
            <v xml:space="preserve"> </v>
          </cell>
          <cell r="M95" t="str">
            <v>0298-31-1788</v>
          </cell>
          <cell r="N95" t="str">
            <v>/</v>
          </cell>
          <cell r="O95" t="str">
            <v>デフゲージ・ブラケット</v>
          </cell>
          <cell r="Q95" t="str">
            <v xml:space="preserve"> </v>
          </cell>
          <cell r="T95" t="str">
            <v>ｼﾞﾄﾞｳｼｬｲﾓﾉ</v>
          </cell>
          <cell r="V95" t="str">
            <v>53</v>
          </cell>
        </row>
        <row r="96">
          <cell r="B96" t="str">
            <v>0521</v>
          </cell>
          <cell r="C96" t="str">
            <v>B</v>
          </cell>
          <cell r="D96" t="str">
            <v>自動車鋳物(株)</v>
          </cell>
          <cell r="E96" t="str">
            <v>海老名工場</v>
          </cell>
          <cell r="J96" t="str">
            <v>243-04</v>
          </cell>
          <cell r="K96" t="str">
            <v>海老名市下今泉1150</v>
          </cell>
          <cell r="L96" t="str">
            <v xml:space="preserve"> </v>
          </cell>
          <cell r="M96" t="str">
            <v>0462-35-8586</v>
          </cell>
          <cell r="N96" t="str">
            <v>/</v>
          </cell>
          <cell r="O96" t="str">
            <v>ブレーキドラム・ミッションケース</v>
          </cell>
          <cell r="Q96" t="str">
            <v xml:space="preserve"> </v>
          </cell>
          <cell r="T96" t="str">
            <v>ｼﾞﾄﾞｳｼｬｲﾓﾉ</v>
          </cell>
          <cell r="V96" t="str">
            <v>53</v>
          </cell>
        </row>
        <row r="97">
          <cell r="B97" t="str">
            <v>0521</v>
          </cell>
          <cell r="C97" t="str">
            <v>C</v>
          </cell>
          <cell r="D97" t="str">
            <v>自動車鋳物(株)</v>
          </cell>
          <cell r="E97" t="str">
            <v>川口工場</v>
          </cell>
          <cell r="J97" t="str">
            <v>332</v>
          </cell>
          <cell r="K97" t="str">
            <v>川口市領家町5-5-24</v>
          </cell>
          <cell r="L97" t="str">
            <v xml:space="preserve"> </v>
          </cell>
          <cell r="M97" t="str">
            <v>0482-22-1251</v>
          </cell>
          <cell r="N97" t="str">
            <v>/</v>
          </cell>
          <cell r="O97" t="str">
            <v>マニホールド</v>
          </cell>
          <cell r="Q97" t="str">
            <v xml:space="preserve"> </v>
          </cell>
          <cell r="T97" t="str">
            <v>ｼﾞﾄﾞｳｼｬｲﾓﾉ</v>
          </cell>
          <cell r="V97" t="str">
            <v>53</v>
          </cell>
        </row>
        <row r="98">
          <cell r="B98" t="str">
            <v>0521</v>
          </cell>
          <cell r="C98" t="str">
            <v>D</v>
          </cell>
          <cell r="D98" t="str">
            <v>自動車鋳物(株)</v>
          </cell>
          <cell r="E98" t="str">
            <v>綾瀬工場</v>
          </cell>
          <cell r="J98" t="str">
            <v>252</v>
          </cell>
          <cell r="K98" t="str">
            <v>綾瀬市深谷2349</v>
          </cell>
          <cell r="L98" t="str">
            <v xml:space="preserve"> </v>
          </cell>
          <cell r="M98" t="str">
            <v>0467-78-0121</v>
          </cell>
          <cell r="N98" t="str">
            <v>/</v>
          </cell>
          <cell r="O98" t="str">
            <v>ドラックリングブーリ</v>
          </cell>
          <cell r="Q98" t="str">
            <v xml:space="preserve"> </v>
          </cell>
          <cell r="T98" t="str">
            <v>ｼﾞﾄﾞｳｼｬｲﾓﾉ</v>
          </cell>
          <cell r="V98" t="str">
            <v>53</v>
          </cell>
        </row>
        <row r="99">
          <cell r="B99" t="str">
            <v>0521</v>
          </cell>
          <cell r="C99" t="str">
            <v>E</v>
          </cell>
          <cell r="D99" t="str">
            <v>自動車鋳物(株)</v>
          </cell>
          <cell r="E99" t="str">
            <v>栃木工場</v>
          </cell>
          <cell r="J99" t="str">
            <v>329-44</v>
          </cell>
          <cell r="K99" t="str">
            <v>栃木県下都賀郡岩船町</v>
          </cell>
          <cell r="L99" t="str">
            <v>大字曲ヶ島字愛宕1973-3</v>
          </cell>
          <cell r="M99" t="str">
            <v>0282-55-3833</v>
          </cell>
          <cell r="N99" t="str">
            <v>/</v>
          </cell>
          <cell r="Q99" t="str">
            <v xml:space="preserve"> </v>
          </cell>
          <cell r="T99" t="str">
            <v>ｼﾞﾄﾞｳｼｬｲﾓﾉ</v>
          </cell>
          <cell r="V99" t="str">
            <v>53</v>
          </cell>
        </row>
        <row r="100">
          <cell r="B100" t="str">
            <v>0521</v>
          </cell>
          <cell r="C100" t="str">
            <v>F</v>
          </cell>
          <cell r="D100" t="str">
            <v>自動車鋳物(株)</v>
          </cell>
          <cell r="E100" t="str">
            <v>北茨城工場</v>
          </cell>
          <cell r="J100" t="str">
            <v>319-15</v>
          </cell>
          <cell r="K100" t="str">
            <v>北茨城磯原町1130-6</v>
          </cell>
          <cell r="L100" t="str">
            <v xml:space="preserve"> </v>
          </cell>
          <cell r="M100" t="str">
            <v>0293-43-2500</v>
          </cell>
          <cell r="N100" t="str">
            <v>/</v>
          </cell>
          <cell r="Q100" t="str">
            <v xml:space="preserve"> </v>
          </cell>
          <cell r="T100" t="str">
            <v>ｼﾞﾄﾞｳｼｬｲﾓﾉ</v>
          </cell>
          <cell r="V100" t="str">
            <v>53</v>
          </cell>
        </row>
        <row r="101">
          <cell r="B101" t="str">
            <v>0523</v>
          </cell>
          <cell r="C101" t="str">
            <v>#</v>
          </cell>
          <cell r="D101" t="str">
            <v>日立金属(株)</v>
          </cell>
          <cell r="F101" t="str">
            <v>取締役社長</v>
          </cell>
          <cell r="G101" t="str">
            <v>枝     徹也</v>
          </cell>
          <cell r="H101">
            <v>15326</v>
          </cell>
          <cell r="I101">
            <v>9294</v>
          </cell>
          <cell r="J101" t="str">
            <v>100</v>
          </cell>
          <cell r="K101" t="str">
            <v>千代田区丸の内2-1-2</v>
          </cell>
          <cell r="L101" t="str">
            <v>千代田ビル</v>
          </cell>
          <cell r="M101" t="str">
            <v>03-3284-4511</v>
          </cell>
          <cell r="N101" t="str">
            <v>/</v>
          </cell>
          <cell r="O101" t="str">
            <v>ｷｬﾘｱｰ</v>
          </cell>
          <cell r="Q101" t="str">
            <v>◎</v>
          </cell>
          <cell r="R101" t="str">
            <v>□</v>
          </cell>
          <cell r="S101" t="str">
            <v>☆</v>
          </cell>
          <cell r="T101" t="str">
            <v>ﾋﾀﾁｷﾝｿﾞｸ</v>
          </cell>
          <cell r="V101" t="str">
            <v>53</v>
          </cell>
        </row>
        <row r="102">
          <cell r="B102" t="str">
            <v>0523</v>
          </cell>
          <cell r="C102" t="str">
            <v>A</v>
          </cell>
          <cell r="D102" t="str">
            <v>日立金属(株)</v>
          </cell>
          <cell r="E102" t="str">
            <v>自動車機器事業部</v>
          </cell>
          <cell r="J102" t="str">
            <v>100</v>
          </cell>
          <cell r="K102" t="str">
            <v>千代田区丸の内2-2-1</v>
          </cell>
          <cell r="L102" t="str">
            <v>岸本ビル</v>
          </cell>
          <cell r="M102" t="str">
            <v>03-3284-4982</v>
          </cell>
          <cell r="N102" t="str">
            <v>/3287-1793</v>
          </cell>
          <cell r="O102" t="str">
            <v>ｱﾙﾐﾐｯｼｮﾝｹｰｽ</v>
          </cell>
          <cell r="Q102" t="str">
            <v xml:space="preserve"> </v>
          </cell>
          <cell r="T102" t="str">
            <v>ﾋﾀﾁｷﾝｿﾞｸ</v>
          </cell>
          <cell r="V102" t="str">
            <v>53</v>
          </cell>
        </row>
        <row r="103">
          <cell r="B103" t="str">
            <v>0523</v>
          </cell>
          <cell r="C103" t="str">
            <v>B</v>
          </cell>
          <cell r="D103" t="str">
            <v>日立金属(株)</v>
          </cell>
          <cell r="E103" t="str">
            <v>熊谷工場</v>
          </cell>
          <cell r="J103" t="str">
            <v>360</v>
          </cell>
          <cell r="K103" t="str">
            <v>熊谷市三ケ尻5200</v>
          </cell>
          <cell r="L103" t="str">
            <v xml:space="preserve"> </v>
          </cell>
          <cell r="M103" t="str">
            <v>0452-32-2211</v>
          </cell>
          <cell r="N103" t="str">
            <v>/</v>
          </cell>
          <cell r="O103" t="str">
            <v>ｱﾙﾐｵｲﾙﾊﾟﾝ</v>
          </cell>
          <cell r="Q103" t="str">
            <v xml:space="preserve"> </v>
          </cell>
          <cell r="T103" t="str">
            <v>ﾋﾀﾁｷﾝｿﾞｸ</v>
          </cell>
          <cell r="V103" t="str">
            <v>53</v>
          </cell>
        </row>
        <row r="104">
          <cell r="B104" t="str">
            <v>0523</v>
          </cell>
          <cell r="C104" t="str">
            <v>C</v>
          </cell>
          <cell r="D104" t="str">
            <v>日立金属(株)</v>
          </cell>
          <cell r="E104" t="str">
            <v>九州工場</v>
          </cell>
          <cell r="J104" t="str">
            <v>800-03</v>
          </cell>
          <cell r="K104" t="str">
            <v>福岡県京都群借苅田町長浜町</v>
          </cell>
          <cell r="L104" t="str">
            <v>35</v>
          </cell>
          <cell r="M104" t="str">
            <v>093-436-2700</v>
          </cell>
          <cell r="N104" t="str">
            <v>/</v>
          </cell>
          <cell r="Q104" t="str">
            <v xml:space="preserve"> </v>
          </cell>
          <cell r="T104" t="str">
            <v>ﾋﾀﾁｷﾝｿﾞｸ</v>
          </cell>
          <cell r="U104" t="str">
            <v xml:space="preserve"> </v>
          </cell>
          <cell r="V104" t="str">
            <v>53</v>
          </cell>
        </row>
        <row r="105">
          <cell r="B105" t="str">
            <v>0523</v>
          </cell>
          <cell r="C105" t="str">
            <v>D</v>
          </cell>
          <cell r="D105" t="str">
            <v>日立金属(株)</v>
          </cell>
          <cell r="E105" t="str">
            <v>真岡工場</v>
          </cell>
          <cell r="J105" t="str">
            <v>321-43</v>
          </cell>
          <cell r="K105" t="str">
            <v>真岡市鬼怒ケ丘13</v>
          </cell>
          <cell r="L105" t="str">
            <v xml:space="preserve"> </v>
          </cell>
          <cell r="M105" t="str">
            <v>02858-2-8111</v>
          </cell>
          <cell r="N105" t="str">
            <v>/</v>
          </cell>
          <cell r="Q105" t="str">
            <v xml:space="preserve"> </v>
          </cell>
          <cell r="T105" t="str">
            <v>ﾋﾀﾁｷﾝｿﾞｸ</v>
          </cell>
          <cell r="V105" t="str">
            <v>53</v>
          </cell>
        </row>
        <row r="106">
          <cell r="B106" t="str">
            <v>0525</v>
          </cell>
          <cell r="C106" t="str">
            <v>#</v>
          </cell>
          <cell r="D106" t="str">
            <v>北陸工業(株)</v>
          </cell>
          <cell r="F106" t="str">
            <v>代表取締役</v>
          </cell>
          <cell r="G106" t="str">
            <v>加藤　政次郎</v>
          </cell>
          <cell r="H106">
            <v>34</v>
          </cell>
          <cell r="I106">
            <v>108</v>
          </cell>
          <cell r="J106" t="str">
            <v>959-11</v>
          </cell>
          <cell r="K106" t="str">
            <v>新潟県南蒲原郡栄町</v>
          </cell>
          <cell r="L106" t="str">
            <v>大字吉野屋甲445</v>
          </cell>
          <cell r="M106" t="str">
            <v>02563-4-3121</v>
          </cell>
          <cell r="N106" t="str">
            <v>/</v>
          </cell>
          <cell r="O106" t="str">
            <v>ｷﾞﾔ</v>
          </cell>
          <cell r="P106" t="str">
            <v>▽</v>
          </cell>
          <cell r="Q106" t="str">
            <v xml:space="preserve"> </v>
          </cell>
          <cell r="T106" t="str">
            <v>ﾎｸﾘｸｺｳｷﾞｮｳ</v>
          </cell>
          <cell r="V106" t="str">
            <v>53</v>
          </cell>
        </row>
        <row r="107">
          <cell r="B107" t="str">
            <v>0525</v>
          </cell>
          <cell r="C107" t="str">
            <v>A</v>
          </cell>
          <cell r="D107" t="str">
            <v>北陸工業(株)</v>
          </cell>
          <cell r="J107" t="str">
            <v>955</v>
          </cell>
          <cell r="K107" t="str">
            <v>三条市三条郵便局私書箱</v>
          </cell>
          <cell r="L107" t="str">
            <v>第85号</v>
          </cell>
          <cell r="N107" t="str">
            <v>/</v>
          </cell>
          <cell r="O107" t="str">
            <v>ｷﾞﾔ</v>
          </cell>
          <cell r="P107" t="str">
            <v>▽</v>
          </cell>
          <cell r="Q107" t="str">
            <v xml:space="preserve"> </v>
          </cell>
          <cell r="T107" t="str">
            <v>ﾎｸﾘｸｺｳｷﾞｮｳ</v>
          </cell>
          <cell r="U107" t="str">
            <v xml:space="preserve"> </v>
          </cell>
          <cell r="V107" t="str">
            <v>53</v>
          </cell>
        </row>
        <row r="108">
          <cell r="B108" t="str">
            <v>0527</v>
          </cell>
          <cell r="C108" t="str">
            <v>#</v>
          </cell>
          <cell r="D108" t="str">
            <v>八木工業(株)</v>
          </cell>
          <cell r="F108" t="str">
            <v>代表取締役社長</v>
          </cell>
          <cell r="G108" t="str">
            <v>八木　議廣</v>
          </cell>
          <cell r="H108">
            <v>88</v>
          </cell>
          <cell r="I108">
            <v>260</v>
          </cell>
          <cell r="J108" t="str">
            <v>370-12</v>
          </cell>
          <cell r="K108" t="str">
            <v>高崎市倉賀野町3121</v>
          </cell>
          <cell r="L108" t="str">
            <v xml:space="preserve"> </v>
          </cell>
          <cell r="M108" t="str">
            <v>0273-47-2856</v>
          </cell>
          <cell r="N108" t="str">
            <v>/47-2856</v>
          </cell>
          <cell r="O108" t="str">
            <v>ｷﾞﾔ</v>
          </cell>
          <cell r="P108" t="str">
            <v>▽</v>
          </cell>
          <cell r="Q108" t="str">
            <v xml:space="preserve"> </v>
          </cell>
          <cell r="S108" t="str">
            <v>☆</v>
          </cell>
          <cell r="T108" t="str">
            <v>ﾔｷﾞｺｳｷﾞｮｳ</v>
          </cell>
          <cell r="V108" t="str">
            <v>53</v>
          </cell>
        </row>
        <row r="109">
          <cell r="B109" t="str">
            <v>0528</v>
          </cell>
          <cell r="C109" t="str">
            <v>#</v>
          </cell>
          <cell r="D109" t="str">
            <v>近江鍛工(株)</v>
          </cell>
          <cell r="F109" t="str">
            <v>代表取締役社長</v>
          </cell>
          <cell r="G109" t="str">
            <v>坂口　康一</v>
          </cell>
          <cell r="H109">
            <v>99</v>
          </cell>
          <cell r="I109">
            <v>155</v>
          </cell>
          <cell r="J109" t="str">
            <v>520-21</v>
          </cell>
          <cell r="K109" t="str">
            <v>大津市月輪1-4-6</v>
          </cell>
          <cell r="L109" t="str">
            <v xml:space="preserve"> </v>
          </cell>
          <cell r="M109" t="str">
            <v>0775-45-3281</v>
          </cell>
          <cell r="N109" t="str">
            <v>/45-8802</v>
          </cell>
          <cell r="O109" t="str">
            <v>ファイナルギヤー</v>
          </cell>
          <cell r="P109" t="str">
            <v>▽</v>
          </cell>
          <cell r="Q109" t="str">
            <v xml:space="preserve"> </v>
          </cell>
          <cell r="S109" t="str">
            <v>☆</v>
          </cell>
          <cell r="T109" t="str">
            <v>ｵｳﾐﾀﾝｺｳ</v>
          </cell>
          <cell r="V109" t="str">
            <v>53</v>
          </cell>
        </row>
        <row r="110">
          <cell r="B110" t="str">
            <v>0529</v>
          </cell>
          <cell r="C110" t="str">
            <v>#</v>
          </cell>
          <cell r="D110" t="str">
            <v>(株)庄和</v>
          </cell>
          <cell r="F110" t="str">
            <v>代表取締役社長</v>
          </cell>
          <cell r="G110" t="str">
            <v>千葉　乙郎</v>
          </cell>
          <cell r="H110">
            <v>300</v>
          </cell>
          <cell r="I110">
            <v>75</v>
          </cell>
          <cell r="J110" t="str">
            <v>344-01</v>
          </cell>
          <cell r="K110" t="str">
            <v>埼玉県北葛飾郡庄和町</v>
          </cell>
          <cell r="L110" t="str">
            <v>新宿新田14</v>
          </cell>
          <cell r="M110" t="str">
            <v>0487-46-3221</v>
          </cell>
          <cell r="N110" t="str">
            <v>/46-3210</v>
          </cell>
          <cell r="O110" t="str">
            <v>フライホイールハウジング</v>
          </cell>
          <cell r="Q110" t="str">
            <v>◎</v>
          </cell>
          <cell r="R110" t="str">
            <v>□</v>
          </cell>
          <cell r="S110" t="str">
            <v>☆</v>
          </cell>
          <cell r="T110" t="str">
            <v>ｼｮｳﾜ</v>
          </cell>
          <cell r="V110" t="str">
            <v>53</v>
          </cell>
        </row>
        <row r="111">
          <cell r="B111" t="str">
            <v>0530</v>
          </cell>
          <cell r="C111" t="str">
            <v>#</v>
          </cell>
          <cell r="D111" t="str">
            <v>古河電気工業(株)</v>
          </cell>
          <cell r="F111" t="str">
            <v>取締役社長</v>
          </cell>
          <cell r="G111" t="str">
            <v>古河  潤之助</v>
          </cell>
          <cell r="H111">
            <v>25182</v>
          </cell>
          <cell r="I111">
            <v>7709</v>
          </cell>
          <cell r="J111" t="str">
            <v>100</v>
          </cell>
          <cell r="K111" t="str">
            <v>千代田区丸の内2-6-1</v>
          </cell>
          <cell r="L111" t="str">
            <v xml:space="preserve"> </v>
          </cell>
          <cell r="M111" t="str">
            <v>03-3286-3354</v>
          </cell>
          <cell r="N111" t="str">
            <v>/</v>
          </cell>
          <cell r="O111" t="str">
            <v>ｹｰﾌﾞﾙﾊｰﾈｽ</v>
          </cell>
          <cell r="Q111" t="str">
            <v>◎</v>
          </cell>
          <cell r="R111" t="str">
            <v>□</v>
          </cell>
          <cell r="S111" t="str">
            <v>☆</v>
          </cell>
          <cell r="T111" t="str">
            <v>ﾌﾙｶﾜﾃﾞﾝｷｺｳｷﾞｮｳ</v>
          </cell>
          <cell r="V111" t="str">
            <v>62</v>
          </cell>
        </row>
        <row r="112">
          <cell r="B112" t="str">
            <v>0530</v>
          </cell>
          <cell r="C112" t="str">
            <v>A</v>
          </cell>
          <cell r="D112" t="str">
            <v>古河電気工業(株)</v>
          </cell>
          <cell r="E112" t="str">
            <v>自動車部品事業本部</v>
          </cell>
          <cell r="F112" t="str">
            <v>第二事業統括部長</v>
          </cell>
          <cell r="G112" t="str">
            <v>加治  義之</v>
          </cell>
          <cell r="K112" t="str">
            <v xml:space="preserve"> </v>
          </cell>
          <cell r="L112" t="str">
            <v xml:space="preserve"> </v>
          </cell>
          <cell r="M112" t="str">
            <v>0463-24-8567</v>
          </cell>
          <cell r="N112" t="str">
            <v>/24-8491</v>
          </cell>
          <cell r="O112" t="str">
            <v>ｹｰﾌﾞﾙﾊｰﾈｽ</v>
          </cell>
          <cell r="Q112" t="str">
            <v xml:space="preserve"> </v>
          </cell>
          <cell r="T112" t="str">
            <v>ﾌﾙｶﾜﾃﾞﾝｷｺｳｷﾞｮｳ</v>
          </cell>
          <cell r="V112" t="str">
            <v>62</v>
          </cell>
        </row>
        <row r="113">
          <cell r="B113" t="str">
            <v>0531</v>
          </cell>
          <cell r="C113" t="str">
            <v>#</v>
          </cell>
          <cell r="D113" t="str">
            <v>古河鋳造(株)</v>
          </cell>
          <cell r="F113" t="str">
            <v>代表取締役社長</v>
          </cell>
          <cell r="G113" t="str">
            <v>工藤  公三　</v>
          </cell>
          <cell r="H113">
            <v>352</v>
          </cell>
          <cell r="I113">
            <v>361</v>
          </cell>
          <cell r="J113" t="str">
            <v>210</v>
          </cell>
          <cell r="K113" t="str">
            <v>川崎市幸区塚越4-345</v>
          </cell>
          <cell r="L113" t="str">
            <v xml:space="preserve"> </v>
          </cell>
          <cell r="M113" t="str">
            <v>044-522-5172</v>
          </cell>
          <cell r="N113" t="str">
            <v>/522-5170</v>
          </cell>
          <cell r="O113" t="str">
            <v>ｶﾊﾞｰ､ｸﾗﾝｸｹｰｽ</v>
          </cell>
          <cell r="Q113" t="str">
            <v>◎</v>
          </cell>
          <cell r="R113" t="str">
            <v>□</v>
          </cell>
          <cell r="S113" t="str">
            <v>☆</v>
          </cell>
          <cell r="T113" t="str">
            <v>ﾌﾙｶﾜﾁｭｳｿﾞｳ</v>
          </cell>
          <cell r="V113" t="str">
            <v>53</v>
          </cell>
        </row>
        <row r="114">
          <cell r="B114" t="str">
            <v>0534</v>
          </cell>
          <cell r="C114" t="str">
            <v>#</v>
          </cell>
          <cell r="D114" t="str">
            <v>石川島芝浦機械(株)</v>
          </cell>
          <cell r="F114" t="str">
            <v>取締役社長</v>
          </cell>
          <cell r="G114" t="str">
            <v>若井　宏文</v>
          </cell>
          <cell r="H114">
            <v>4207</v>
          </cell>
          <cell r="I114">
            <v>1164</v>
          </cell>
          <cell r="J114" t="str">
            <v>151</v>
          </cell>
          <cell r="K114" t="str">
            <v>渋谷区千駄ヶ谷5-32-7</v>
          </cell>
          <cell r="L114" t="str">
            <v>星和新宿ビル</v>
          </cell>
          <cell r="M114" t="str">
            <v>03-3358-4215</v>
          </cell>
          <cell r="N114" t="str">
            <v>/3358-4222</v>
          </cell>
          <cell r="O114" t="str">
            <v>ハウジング・産業エンジン</v>
          </cell>
          <cell r="Q114" t="str">
            <v xml:space="preserve"> </v>
          </cell>
          <cell r="R114" t="str">
            <v>□</v>
          </cell>
          <cell r="S114" t="str">
            <v>☆</v>
          </cell>
          <cell r="T114" t="str">
            <v>ｲｼｶﾜｼﾞﾏｼﾊﾞｳﾗｷｶｲ</v>
          </cell>
          <cell r="V114" t="str">
            <v>53</v>
          </cell>
        </row>
        <row r="115">
          <cell r="B115" t="str">
            <v>0534</v>
          </cell>
          <cell r="C115" t="str">
            <v>A</v>
          </cell>
          <cell r="D115" t="str">
            <v>石川島芝浦機械(株)</v>
          </cell>
          <cell r="E115" t="str">
            <v>松本工場</v>
          </cell>
          <cell r="J115" t="str">
            <v>390</v>
          </cell>
          <cell r="K115" t="str">
            <v>松本市石芝1-1-1</v>
          </cell>
          <cell r="L115" t="str">
            <v xml:space="preserve"> </v>
          </cell>
          <cell r="M115" t="str">
            <v>0263-25-4511</v>
          </cell>
          <cell r="N115" t="str">
            <v>/</v>
          </cell>
          <cell r="O115" t="str">
            <v>ハウジング・産業エンジン</v>
          </cell>
          <cell r="Q115" t="str">
            <v xml:space="preserve"> </v>
          </cell>
          <cell r="T115" t="str">
            <v>ｲｼｶﾜｼﾞﾏｼﾊﾞｳﾗｷｶｲ</v>
          </cell>
          <cell r="V115" t="str">
            <v>53</v>
          </cell>
        </row>
        <row r="116">
          <cell r="B116" t="str">
            <v>0536</v>
          </cell>
          <cell r="C116" t="str">
            <v>#</v>
          </cell>
          <cell r="D116" t="str">
            <v>石川島精密鋳造(株)</v>
          </cell>
          <cell r="F116" t="str">
            <v>代表取締役社長</v>
          </cell>
          <cell r="G116" t="str">
            <v>堀    利光</v>
          </cell>
          <cell r="H116">
            <v>450</v>
          </cell>
          <cell r="I116">
            <v>50</v>
          </cell>
          <cell r="J116" t="str">
            <v>188</v>
          </cell>
          <cell r="K116" t="str">
            <v>田無市向台町3-5-1</v>
          </cell>
          <cell r="L116" t="str">
            <v xml:space="preserve"> </v>
          </cell>
          <cell r="M116" t="str">
            <v>0424-66-1382</v>
          </cell>
          <cell r="N116" t="str">
            <v>/</v>
          </cell>
          <cell r="O116" t="str">
            <v>プレチャンバー</v>
          </cell>
          <cell r="Q116" t="str">
            <v xml:space="preserve"> </v>
          </cell>
          <cell r="T116" t="str">
            <v>ｲｼｶﾜｼﾞﾏｾｲﾐﾂﾁｭｳｿﾞｳ</v>
          </cell>
          <cell r="V116" t="str">
            <v>53</v>
          </cell>
        </row>
        <row r="117">
          <cell r="B117" t="str">
            <v>0536</v>
          </cell>
          <cell r="C117" t="str">
            <v>A</v>
          </cell>
          <cell r="D117" t="str">
            <v>石川島精密鋳造(株)</v>
          </cell>
          <cell r="E117" t="str">
            <v>松本分室</v>
          </cell>
          <cell r="J117" t="str">
            <v>390</v>
          </cell>
          <cell r="K117" t="str">
            <v>松本市石芝1-1-1</v>
          </cell>
          <cell r="L117" t="str">
            <v xml:space="preserve"> </v>
          </cell>
          <cell r="M117" t="str">
            <v>0263-26-8704</v>
          </cell>
          <cell r="N117" t="str">
            <v>/</v>
          </cell>
          <cell r="O117" t="str">
            <v>プレチャンバー</v>
          </cell>
          <cell r="Q117" t="str">
            <v xml:space="preserve"> </v>
          </cell>
          <cell r="T117" t="str">
            <v>ｲｼｶﾜｼﾞﾏｾｲﾐﾂﾁｭｳｿﾞｳ</v>
          </cell>
          <cell r="V117" t="str">
            <v>53</v>
          </cell>
        </row>
        <row r="118">
          <cell r="B118" t="str">
            <v>0537</v>
          </cell>
          <cell r="C118" t="str">
            <v>#</v>
          </cell>
          <cell r="D118" t="str">
            <v>アイシン高丘(株)</v>
          </cell>
          <cell r="F118" t="str">
            <v>取締役社長</v>
          </cell>
          <cell r="G118" t="str">
            <v>加藤  喜久雄</v>
          </cell>
          <cell r="H118">
            <v>1000</v>
          </cell>
          <cell r="I118">
            <v>1929</v>
          </cell>
          <cell r="J118" t="str">
            <v>473</v>
          </cell>
          <cell r="K118" t="str">
            <v>豊田市高丘新町天王1</v>
          </cell>
          <cell r="L118" t="str">
            <v xml:space="preserve"> </v>
          </cell>
          <cell r="M118" t="str">
            <v>0565-54-1132</v>
          </cell>
          <cell r="N118" t="str">
            <v>/</v>
          </cell>
          <cell r="O118" t="str">
            <v>ブレーキディスク</v>
          </cell>
          <cell r="Q118" t="str">
            <v xml:space="preserve"> </v>
          </cell>
          <cell r="R118" t="str">
            <v>□</v>
          </cell>
          <cell r="S118" t="str">
            <v>☆</v>
          </cell>
          <cell r="T118" t="str">
            <v>ｱｲｼﾝﾀｶｵｶ</v>
          </cell>
          <cell r="V118" t="str">
            <v>53</v>
          </cell>
        </row>
        <row r="119">
          <cell r="B119" t="str">
            <v>0537</v>
          </cell>
          <cell r="C119" t="str">
            <v>A</v>
          </cell>
          <cell r="D119" t="str">
            <v>アイシン高丘(株)</v>
          </cell>
          <cell r="E119" t="str">
            <v>東京連絡所</v>
          </cell>
          <cell r="J119" t="str">
            <v>105</v>
          </cell>
          <cell r="K119" t="str">
            <v>港区虎ノ門1-18-1</v>
          </cell>
          <cell r="L119" t="str">
            <v>第十森ビル</v>
          </cell>
          <cell r="M119" t="str">
            <v>03-3595-2764</v>
          </cell>
          <cell r="N119" t="str">
            <v>/3508-1003</v>
          </cell>
          <cell r="O119" t="str">
            <v>ブレーキディスク</v>
          </cell>
          <cell r="Q119" t="str">
            <v xml:space="preserve"> </v>
          </cell>
          <cell r="T119" t="str">
            <v>ｱｲｼﾝﾀｶｵｶ</v>
          </cell>
          <cell r="V119" t="str">
            <v>53</v>
          </cell>
        </row>
        <row r="120">
          <cell r="B120" t="str">
            <v>0542</v>
          </cell>
          <cell r="C120" t="str">
            <v>#</v>
          </cell>
          <cell r="D120" t="str">
            <v>高周波熱錬(株)</v>
          </cell>
          <cell r="F120" t="str">
            <v>代表取締役社長</v>
          </cell>
          <cell r="G120" t="str">
            <v>大谷  茂久</v>
          </cell>
          <cell r="H120">
            <v>3200</v>
          </cell>
          <cell r="I120">
            <v>600</v>
          </cell>
          <cell r="J120" t="str">
            <v>141</v>
          </cell>
          <cell r="K120" t="str">
            <v>品川区東五反田2-16-21</v>
          </cell>
          <cell r="L120" t="str">
            <v xml:space="preserve"> </v>
          </cell>
          <cell r="M120" t="str">
            <v>03-3443-5441</v>
          </cell>
          <cell r="N120" t="str">
            <v>/</v>
          </cell>
          <cell r="O120" t="str">
            <v>高周波焼入</v>
          </cell>
          <cell r="Q120" t="str">
            <v>◎</v>
          </cell>
          <cell r="R120" t="str">
            <v>□</v>
          </cell>
          <cell r="S120" t="str">
            <v>☆</v>
          </cell>
          <cell r="T120" t="str">
            <v>ｺｳｼｭｳﾊﾈﾂﾚﾝ</v>
          </cell>
          <cell r="V120" t="str">
            <v>53</v>
          </cell>
        </row>
        <row r="121">
          <cell r="B121" t="str">
            <v>0542</v>
          </cell>
          <cell r="C121" t="str">
            <v>A</v>
          </cell>
          <cell r="D121" t="str">
            <v>高周波熱錬(株)</v>
          </cell>
          <cell r="E121" t="str">
            <v>寒川工場</v>
          </cell>
          <cell r="J121" t="str">
            <v>253-01</v>
          </cell>
          <cell r="K121" t="str">
            <v>神奈川県高座郡寒川町</v>
          </cell>
          <cell r="L121" t="str">
            <v>一之宮7-8-41</v>
          </cell>
          <cell r="M121" t="str">
            <v>0467-74-2525</v>
          </cell>
          <cell r="N121" t="str">
            <v>/74-5267</v>
          </cell>
          <cell r="O121" t="str">
            <v>高周波焼入加工</v>
          </cell>
          <cell r="Q121" t="str">
            <v xml:space="preserve"> </v>
          </cell>
          <cell r="T121" t="str">
            <v>ｺｳｼｭｳﾊﾈﾂﾚﾝ</v>
          </cell>
          <cell r="V121" t="str">
            <v>53</v>
          </cell>
        </row>
        <row r="122">
          <cell r="B122" t="str">
            <v>0543</v>
          </cell>
          <cell r="C122" t="str">
            <v>#</v>
          </cell>
          <cell r="D122" t="str">
            <v>電気興業(株)</v>
          </cell>
          <cell r="F122" t="str">
            <v>取締役事業部長</v>
          </cell>
          <cell r="G122" t="str">
            <v>伊能  日出男</v>
          </cell>
          <cell r="H122">
            <v>8774</v>
          </cell>
          <cell r="I122">
            <v>885</v>
          </cell>
          <cell r="J122" t="str">
            <v>194</v>
          </cell>
          <cell r="K122" t="str">
            <v>町田市南成瀬1-2-2</v>
          </cell>
          <cell r="L122" t="str">
            <v>MSセンタービル3階</v>
          </cell>
          <cell r="M122" t="str">
            <v>0427-20-4020</v>
          </cell>
          <cell r="N122" t="str">
            <v>/20-4040</v>
          </cell>
          <cell r="Q122" t="str">
            <v xml:space="preserve"> </v>
          </cell>
          <cell r="T122" t="str">
            <v>ﾃﾞﾝｷｺｳｷﾞｮｳ</v>
          </cell>
          <cell r="V122" t="str">
            <v>30</v>
          </cell>
        </row>
        <row r="123">
          <cell r="B123" t="str">
            <v>0545</v>
          </cell>
          <cell r="C123" t="str">
            <v>#</v>
          </cell>
          <cell r="D123" t="str">
            <v>同和鉱業(株)</v>
          </cell>
          <cell r="F123" t="str">
            <v>取締役社長</v>
          </cell>
          <cell r="G123" t="str">
            <v>原田  謙三　</v>
          </cell>
          <cell r="H123">
            <v>22206</v>
          </cell>
          <cell r="I123">
            <v>1197</v>
          </cell>
          <cell r="J123" t="str">
            <v>100</v>
          </cell>
          <cell r="K123" t="str">
            <v>千代田区丸の内1-8-2</v>
          </cell>
          <cell r="L123" t="str">
            <v xml:space="preserve"> </v>
          </cell>
          <cell r="M123" t="str">
            <v>03-3201-2821</v>
          </cell>
          <cell r="N123" t="str">
            <v>/</v>
          </cell>
          <cell r="O123" t="str">
            <v>熱処理</v>
          </cell>
          <cell r="Q123" t="str">
            <v xml:space="preserve"> </v>
          </cell>
          <cell r="R123" t="str">
            <v>□</v>
          </cell>
          <cell r="S123" t="str">
            <v>☆</v>
          </cell>
          <cell r="T123" t="str">
            <v>ﾄﾞｳﾜｺｳｷﾞｮｳ</v>
          </cell>
          <cell r="V123" t="str">
            <v>53</v>
          </cell>
        </row>
        <row r="124">
          <cell r="B124" t="str">
            <v>0545</v>
          </cell>
          <cell r="C124" t="str">
            <v>A</v>
          </cell>
          <cell r="D124" t="str">
            <v>同和鉱業(株)</v>
          </cell>
          <cell r="E124" t="str">
            <v>ｻｰﾓﾃｯｸ事業本部</v>
          </cell>
          <cell r="J124" t="str">
            <v>223</v>
          </cell>
          <cell r="K124" t="str">
            <v>横浜市港北区箕輪町2-6-26</v>
          </cell>
          <cell r="L124" t="str">
            <v xml:space="preserve"> </v>
          </cell>
          <cell r="M124" t="str">
            <v>045-562-1711</v>
          </cell>
          <cell r="N124" t="str">
            <v>/562-1242</v>
          </cell>
          <cell r="O124" t="str">
            <v>熱処理</v>
          </cell>
          <cell r="Q124" t="str">
            <v xml:space="preserve"> </v>
          </cell>
          <cell r="T124" t="str">
            <v>ﾄﾞｳﾜｺｳｷﾞｮｳ</v>
          </cell>
          <cell r="V124" t="str">
            <v>53</v>
          </cell>
        </row>
        <row r="125">
          <cell r="B125" t="str">
            <v>0545</v>
          </cell>
          <cell r="C125" t="str">
            <v>B</v>
          </cell>
          <cell r="D125" t="str">
            <v>同和鉱業(株)</v>
          </cell>
          <cell r="E125" t="str">
            <v>横浜工場</v>
          </cell>
          <cell r="K125" t="str">
            <v xml:space="preserve"> </v>
          </cell>
          <cell r="L125" t="str">
            <v xml:space="preserve"> </v>
          </cell>
          <cell r="N125" t="str">
            <v>/</v>
          </cell>
          <cell r="Q125" t="str">
            <v xml:space="preserve"> </v>
          </cell>
          <cell r="T125" t="str">
            <v>ﾄﾞｳﾜｺｳｷﾞｮｳ</v>
          </cell>
          <cell r="V125" t="str">
            <v>53</v>
          </cell>
        </row>
        <row r="126">
          <cell r="B126" t="str">
            <v>0545</v>
          </cell>
          <cell r="C126" t="str">
            <v>C</v>
          </cell>
          <cell r="D126" t="str">
            <v>同和鉱業(株)</v>
          </cell>
          <cell r="E126" t="str">
            <v xml:space="preserve">       真岡工場</v>
          </cell>
          <cell r="J126" t="str">
            <v>321-43</v>
          </cell>
          <cell r="K126" t="str">
            <v>真岡市鬼怒ｹ丘17</v>
          </cell>
          <cell r="L126" t="str">
            <v xml:space="preserve"> </v>
          </cell>
          <cell r="M126" t="str">
            <v>0285-82-7131</v>
          </cell>
          <cell r="N126" t="str">
            <v>/84-2029</v>
          </cell>
          <cell r="O126" t="str">
            <v>熱処理</v>
          </cell>
          <cell r="Q126" t="str">
            <v xml:space="preserve"> </v>
          </cell>
          <cell r="T126" t="str">
            <v>ﾄﾞｳﾜｺｳｷﾞｮｳ</v>
          </cell>
          <cell r="V126" t="str">
            <v>53</v>
          </cell>
        </row>
        <row r="127">
          <cell r="B127" t="str">
            <v>0546</v>
          </cell>
          <cell r="C127" t="str">
            <v>#</v>
          </cell>
          <cell r="D127" t="str">
            <v>ﾊﾟｰｶｰ熱処理工業(株)</v>
          </cell>
          <cell r="F127" t="str">
            <v>取締役社長</v>
          </cell>
          <cell r="G127" t="str">
            <v>里見　彰彦</v>
          </cell>
          <cell r="H127">
            <v>270</v>
          </cell>
          <cell r="I127">
            <v>145</v>
          </cell>
          <cell r="J127" t="str">
            <v>103</v>
          </cell>
          <cell r="K127" t="str">
            <v>中央区日本橋2-16-8</v>
          </cell>
          <cell r="L127" t="str">
            <v>第二パーカービル</v>
          </cell>
          <cell r="M127" t="str">
            <v>03-3278-4536</v>
          </cell>
          <cell r="N127" t="str">
            <v>/</v>
          </cell>
          <cell r="O127" t="str">
            <v>熱処理</v>
          </cell>
          <cell r="Q127" t="str">
            <v xml:space="preserve"> </v>
          </cell>
          <cell r="R127" t="str">
            <v>□</v>
          </cell>
          <cell r="T127" t="str">
            <v>ﾊﾟｰｶｰﾈﾂｼｮﾘｺｳｷﾞｮｳ</v>
          </cell>
          <cell r="V127" t="str">
            <v>53</v>
          </cell>
        </row>
        <row r="128">
          <cell r="B128" t="str">
            <v>0546</v>
          </cell>
          <cell r="C128" t="str">
            <v>A</v>
          </cell>
          <cell r="D128" t="str">
            <v>ﾊﾟｰｶｰ熱処理工業(株)</v>
          </cell>
          <cell r="E128" t="str">
            <v>川崎工場</v>
          </cell>
          <cell r="J128" t="str">
            <v>210</v>
          </cell>
          <cell r="K128" t="str">
            <v>川崎市川崎区白石町4-4</v>
          </cell>
          <cell r="L128" t="str">
            <v xml:space="preserve"> </v>
          </cell>
          <cell r="M128" t="str">
            <v>044-355-2671</v>
          </cell>
          <cell r="N128" t="str">
            <v>/355-2673</v>
          </cell>
          <cell r="O128" t="str">
            <v>熱処理</v>
          </cell>
          <cell r="Q128" t="str">
            <v xml:space="preserve"> </v>
          </cell>
          <cell r="T128" t="str">
            <v>ﾊﾟｰｶｰﾈﾂｼｮﾘｺｳｷﾞｮｳ</v>
          </cell>
          <cell r="V128" t="str">
            <v>53</v>
          </cell>
        </row>
        <row r="129">
          <cell r="B129" t="str">
            <v>0547</v>
          </cell>
          <cell r="C129" t="str">
            <v>#</v>
          </cell>
          <cell r="D129" t="str">
            <v>田村工業(株)</v>
          </cell>
          <cell r="F129" t="str">
            <v>取締役社長</v>
          </cell>
          <cell r="G129" t="str">
            <v>田村　捷也</v>
          </cell>
          <cell r="H129">
            <v>49</v>
          </cell>
          <cell r="I129">
            <v>90</v>
          </cell>
          <cell r="J129" t="str">
            <v>230</v>
          </cell>
          <cell r="K129" t="str">
            <v>横浜市鶴見区元宮2-3-20</v>
          </cell>
          <cell r="L129" t="str">
            <v xml:space="preserve"> </v>
          </cell>
          <cell r="M129" t="str">
            <v>045-581-1301</v>
          </cell>
          <cell r="N129" t="str">
            <v>/581-1307</v>
          </cell>
          <cell r="O129" t="str">
            <v>熱処理</v>
          </cell>
          <cell r="P129" t="str">
            <v>▽</v>
          </cell>
          <cell r="Q129" t="str">
            <v xml:space="preserve"> </v>
          </cell>
          <cell r="R129" t="str">
            <v>□</v>
          </cell>
          <cell r="S129" t="str">
            <v>☆</v>
          </cell>
          <cell r="T129" t="str">
            <v>ﾀﾑﾗｺｳｷﾞｮｳ</v>
          </cell>
          <cell r="V129" t="str">
            <v>53</v>
          </cell>
        </row>
        <row r="130">
          <cell r="B130" t="str">
            <v>0548</v>
          </cell>
          <cell r="C130" t="str">
            <v>#</v>
          </cell>
          <cell r="D130" t="str">
            <v>(株)中村鍛造所</v>
          </cell>
          <cell r="F130" t="str">
            <v>代表取締役</v>
          </cell>
          <cell r="G130" t="str">
            <v>中村　明</v>
          </cell>
          <cell r="H130">
            <v>77</v>
          </cell>
          <cell r="I130">
            <v>192</v>
          </cell>
          <cell r="J130" t="str">
            <v>433</v>
          </cell>
          <cell r="K130" t="str">
            <v>浜松市高丘西1-1-14</v>
          </cell>
          <cell r="L130" t="str">
            <v xml:space="preserve"> </v>
          </cell>
          <cell r="M130" t="str">
            <v>0534-36-2341</v>
          </cell>
          <cell r="N130" t="str">
            <v>/36-1275</v>
          </cell>
          <cell r="O130" t="str">
            <v>ｸﾗｽﾀｰｷﾞﾔ</v>
          </cell>
          <cell r="P130" t="str">
            <v>▽</v>
          </cell>
          <cell r="Q130" t="str">
            <v xml:space="preserve"> </v>
          </cell>
          <cell r="T130" t="str">
            <v>ﾅｶﾑﾗﾀﾝｿﾞｳｼｮ</v>
          </cell>
          <cell r="V130" t="str">
            <v>53</v>
          </cell>
        </row>
        <row r="131">
          <cell r="B131" t="str">
            <v>0549</v>
          </cell>
          <cell r="C131" t="str">
            <v>#</v>
          </cell>
          <cell r="D131" t="str">
            <v>桐生機械(株)</v>
          </cell>
          <cell r="F131" t="str">
            <v>取締役社長</v>
          </cell>
          <cell r="G131" t="str">
            <v>小高　弘三</v>
          </cell>
          <cell r="H131">
            <v>585</v>
          </cell>
          <cell r="I131">
            <v>875</v>
          </cell>
          <cell r="J131" t="str">
            <v>329-41</v>
          </cell>
          <cell r="K131" t="str">
            <v>足利市小俣南町2</v>
          </cell>
          <cell r="L131" t="str">
            <v xml:space="preserve"> </v>
          </cell>
          <cell r="M131" t="str">
            <v>0284-62-2323</v>
          </cell>
          <cell r="N131" t="str">
            <v>/62-5200</v>
          </cell>
          <cell r="O131" t="str">
            <v>鋳造品(アクスル・ブレーキ)</v>
          </cell>
          <cell r="Q131" t="str">
            <v xml:space="preserve"> </v>
          </cell>
          <cell r="R131" t="str">
            <v>□</v>
          </cell>
          <cell r="S131" t="str">
            <v>☆</v>
          </cell>
          <cell r="T131" t="str">
            <v>ｷﾘｭｳｷｶｲ</v>
          </cell>
          <cell r="V131" t="str">
            <v>53</v>
          </cell>
        </row>
        <row r="132">
          <cell r="B132" t="str">
            <v>0550</v>
          </cell>
          <cell r="C132" t="str">
            <v>#</v>
          </cell>
          <cell r="D132" t="str">
            <v>プレス工業(株)</v>
          </cell>
          <cell r="F132" t="str">
            <v>取締役社長</v>
          </cell>
          <cell r="G132" t="str">
            <v>片桐  利朗</v>
          </cell>
          <cell r="H132">
            <v>5977</v>
          </cell>
          <cell r="I132">
            <v>2900</v>
          </cell>
          <cell r="J132" t="str">
            <v>210</v>
          </cell>
          <cell r="K132" t="str">
            <v>川崎市川崎区塩浜1-1-1</v>
          </cell>
          <cell r="L132" t="str">
            <v xml:space="preserve"> </v>
          </cell>
          <cell r="M132" t="str">
            <v>044-276-3911</v>
          </cell>
          <cell r="N132" t="str">
            <v>/276-3943</v>
          </cell>
          <cell r="O132" t="str">
            <v>フレーム・アクスルケース</v>
          </cell>
          <cell r="Q132" t="str">
            <v>◎</v>
          </cell>
          <cell r="R132" t="str">
            <v>□</v>
          </cell>
          <cell r="S132" t="str">
            <v>☆</v>
          </cell>
          <cell r="T132" t="str">
            <v>ﾌﾟﾚｽｺｳｷﾞｮｳ</v>
          </cell>
          <cell r="V132" t="str">
            <v>64</v>
          </cell>
        </row>
        <row r="133">
          <cell r="B133" t="str">
            <v>0550</v>
          </cell>
          <cell r="C133" t="str">
            <v>A</v>
          </cell>
          <cell r="D133" t="str">
            <v>プレス工業(株)</v>
          </cell>
          <cell r="E133" t="str">
            <v>藤沢工場</v>
          </cell>
          <cell r="J133" t="str">
            <v>252</v>
          </cell>
          <cell r="K133" t="str">
            <v>藤沢市遠藤2100</v>
          </cell>
          <cell r="L133" t="str">
            <v xml:space="preserve"> </v>
          </cell>
          <cell r="M133" t="str">
            <v>0466-87-2111</v>
          </cell>
          <cell r="N133" t="str">
            <v>/</v>
          </cell>
          <cell r="O133" t="str">
            <v>フロントサスペンション・パネル 金型</v>
          </cell>
          <cell r="Q133" t="str">
            <v xml:space="preserve"> </v>
          </cell>
          <cell r="T133" t="str">
            <v>ﾌﾟﾚｽｺｳｷﾞｮｳ</v>
          </cell>
          <cell r="V133" t="str">
            <v>64</v>
          </cell>
        </row>
        <row r="134">
          <cell r="B134" t="str">
            <v>0552</v>
          </cell>
          <cell r="C134" t="str">
            <v>#</v>
          </cell>
          <cell r="D134" t="str">
            <v>(株)アーレスティ</v>
          </cell>
          <cell r="F134" t="str">
            <v>取締役社長</v>
          </cell>
          <cell r="G134" t="str">
            <v>高橋　克彦</v>
          </cell>
          <cell r="H134">
            <v>1237</v>
          </cell>
          <cell r="I134">
            <v>722</v>
          </cell>
          <cell r="J134" t="str">
            <v>174</v>
          </cell>
          <cell r="K134" t="str">
            <v>板橋区坂下2-3-9</v>
          </cell>
          <cell r="L134" t="str">
            <v xml:space="preserve"> </v>
          </cell>
          <cell r="M134" t="str">
            <v>03-3966-6111</v>
          </cell>
          <cell r="N134" t="str">
            <v>/3967-3647</v>
          </cell>
          <cell r="O134" t="str">
            <v>ｼﾘﾝﾀﾞｰﾍｯﾄﾞｶﾊﾞｰ､ｶﾑﾌﾞﾗｹｯﾄ</v>
          </cell>
          <cell r="Q134" t="str">
            <v>◎</v>
          </cell>
          <cell r="R134" t="str">
            <v>□</v>
          </cell>
          <cell r="S134" t="str">
            <v>☆</v>
          </cell>
          <cell r="T134" t="str">
            <v>ｱｰﾚｽﾃｨ</v>
          </cell>
          <cell r="V134" t="str">
            <v>53</v>
          </cell>
        </row>
        <row r="135">
          <cell r="B135" t="str">
            <v>0553</v>
          </cell>
          <cell r="C135" t="str">
            <v>#</v>
          </cell>
          <cell r="D135" t="str">
            <v>アイコクアルファ(株)</v>
          </cell>
          <cell r="F135" t="str">
            <v>取締役社長</v>
          </cell>
          <cell r="G135" t="str">
            <v>樋田  誠</v>
          </cell>
          <cell r="H135">
            <v>1200</v>
          </cell>
          <cell r="I135">
            <v>855</v>
          </cell>
          <cell r="J135" t="str">
            <v>495</v>
          </cell>
          <cell r="K135" t="str">
            <v>愛知県中島郡祖父江町</v>
          </cell>
          <cell r="L135" t="str">
            <v>大字森上字本郷11-4-1</v>
          </cell>
          <cell r="M135" t="str">
            <v>0587-97-1117</v>
          </cell>
          <cell r="N135" t="str">
            <v>/97-7161</v>
          </cell>
          <cell r="Q135" t="str">
            <v xml:space="preserve"> </v>
          </cell>
          <cell r="S135" t="str">
            <v>☆</v>
          </cell>
          <cell r="T135" t="str">
            <v>ｱｲｺｸｱﾙﾌｧ</v>
          </cell>
          <cell r="V135" t="str">
            <v>53</v>
          </cell>
        </row>
        <row r="136">
          <cell r="B136" t="str">
            <v>0554</v>
          </cell>
          <cell r="C136" t="str">
            <v>#</v>
          </cell>
          <cell r="D136" t="str">
            <v>大岡技研(株)</v>
          </cell>
          <cell r="F136" t="str">
            <v>代表取締役</v>
          </cell>
          <cell r="G136" t="str">
            <v>大岡　登</v>
          </cell>
          <cell r="H136">
            <v>98</v>
          </cell>
          <cell r="J136" t="str">
            <v>473</v>
          </cell>
          <cell r="K136" t="str">
            <v>豊田市高岡町秋葉山1-1</v>
          </cell>
          <cell r="L136" t="str">
            <v xml:space="preserve"> </v>
          </cell>
          <cell r="M136" t="str">
            <v>0565-52-3441</v>
          </cell>
          <cell r="N136" t="str">
            <v>/</v>
          </cell>
          <cell r="O136" t="str">
            <v>ｷﾞﾔｱｲﾄﾞﾙ</v>
          </cell>
          <cell r="P136" t="str">
            <v>▽</v>
          </cell>
          <cell r="Q136" t="str">
            <v xml:space="preserve"> </v>
          </cell>
          <cell r="T136" t="str">
            <v>ｵｵｵｶｷﾞｹﾝ</v>
          </cell>
          <cell r="V136" t="str">
            <v>53</v>
          </cell>
        </row>
        <row r="137">
          <cell r="B137" t="str">
            <v>0555</v>
          </cell>
          <cell r="C137" t="str">
            <v>#</v>
          </cell>
          <cell r="D137" t="str">
            <v>(株)東京軽合金製作所</v>
          </cell>
          <cell r="F137" t="str">
            <v>代表取締役社長</v>
          </cell>
          <cell r="G137" t="str">
            <v>藤田  雅人</v>
          </cell>
          <cell r="H137">
            <v>320</v>
          </cell>
          <cell r="I137">
            <v>302</v>
          </cell>
          <cell r="J137" t="str">
            <v>361</v>
          </cell>
          <cell r="K137" t="str">
            <v>行田市富士見町1-21-1</v>
          </cell>
          <cell r="L137" t="str">
            <v xml:space="preserve"> </v>
          </cell>
          <cell r="M137" t="str">
            <v>0485-54-3331</v>
          </cell>
          <cell r="N137" t="str">
            <v>/55-1460</v>
          </cell>
          <cell r="O137" t="str">
            <v>ｼﾘﾝﾀﾞｰﾍｯﾄﾞ､ﾏﾆﾎｰﾙﾄﾞ</v>
          </cell>
          <cell r="Q137" t="str">
            <v>◎</v>
          </cell>
          <cell r="R137" t="str">
            <v>□</v>
          </cell>
          <cell r="S137" t="str">
            <v>☆</v>
          </cell>
          <cell r="T137" t="str">
            <v>ﾄｳｷｮｳｹｲｺﾞｳｷﾝｾｲｻｸｼｮ</v>
          </cell>
          <cell r="V137" t="str">
            <v>51</v>
          </cell>
        </row>
        <row r="138">
          <cell r="B138" t="str">
            <v>0556</v>
          </cell>
          <cell r="C138" t="str">
            <v>#</v>
          </cell>
          <cell r="D138" t="str">
            <v>川口内燃機鋳造(株)</v>
          </cell>
          <cell r="F138" t="str">
            <v>取締役社長</v>
          </cell>
          <cell r="G138" t="str">
            <v>吉武　珠實</v>
          </cell>
          <cell r="H138">
            <v>100</v>
          </cell>
          <cell r="I138">
            <v>281</v>
          </cell>
          <cell r="J138" t="str">
            <v>332</v>
          </cell>
          <cell r="K138" t="str">
            <v>川口市朝日1-3-30</v>
          </cell>
          <cell r="L138" t="str">
            <v xml:space="preserve"> </v>
          </cell>
          <cell r="M138" t="str">
            <v>0482-22-5101</v>
          </cell>
          <cell r="N138" t="str">
            <v>/22-5106</v>
          </cell>
          <cell r="O138" t="str">
            <v>ｼﾘﾝﾀﾞｰﾍｯﾄﾞ､ｸﾗﾝｸｹｰｽ</v>
          </cell>
          <cell r="P138" t="str">
            <v>▽</v>
          </cell>
          <cell r="Q138" t="str">
            <v xml:space="preserve"> </v>
          </cell>
          <cell r="R138" t="str">
            <v>□</v>
          </cell>
          <cell r="S138" t="str">
            <v>☆</v>
          </cell>
          <cell r="T138" t="str">
            <v>ｶﾜｸﾞﾁﾅｲﾈﾝｷﾁｭｳｿﾞｳ</v>
          </cell>
          <cell r="V138" t="str">
            <v>53</v>
          </cell>
        </row>
        <row r="139">
          <cell r="B139" t="str">
            <v>0557</v>
          </cell>
          <cell r="C139" t="str">
            <v>#</v>
          </cell>
          <cell r="D139" t="str">
            <v>旭テック(株)</v>
          </cell>
          <cell r="F139" t="str">
            <v>代表取締役社長</v>
          </cell>
          <cell r="G139" t="str">
            <v>塚田  浩史</v>
          </cell>
          <cell r="H139">
            <v>4669</v>
          </cell>
          <cell r="I139">
            <v>1535</v>
          </cell>
          <cell r="J139" t="str">
            <v>439</v>
          </cell>
          <cell r="K139" t="str">
            <v>静岡県小笠郡菊川町堀之内</v>
          </cell>
          <cell r="L139" t="str">
            <v>547-1</v>
          </cell>
          <cell r="M139" t="str">
            <v>0537-36-3111</v>
          </cell>
          <cell r="N139" t="str">
            <v>/36-4160</v>
          </cell>
          <cell r="O139" t="str">
            <v>ﾊｳｼﾞﾝｸﾞ</v>
          </cell>
          <cell r="Q139" t="str">
            <v xml:space="preserve"> </v>
          </cell>
          <cell r="R139" t="str">
            <v>□</v>
          </cell>
          <cell r="S139" t="str">
            <v>☆</v>
          </cell>
          <cell r="T139" t="str">
            <v>ｱｻﾋﾃｯｸ</v>
          </cell>
          <cell r="V139" t="str">
            <v>53</v>
          </cell>
        </row>
        <row r="140">
          <cell r="B140" t="str">
            <v>0557</v>
          </cell>
          <cell r="C140" t="str">
            <v>A</v>
          </cell>
          <cell r="D140" t="str">
            <v>旭テック(株)</v>
          </cell>
          <cell r="E140" t="str">
            <v>営業部</v>
          </cell>
          <cell r="J140" t="str">
            <v>100</v>
          </cell>
          <cell r="K140" t="str">
            <v>千代田区丸ノ内1-5-1</v>
          </cell>
          <cell r="L140" t="str">
            <v>新丸ビル</v>
          </cell>
          <cell r="M140" t="str">
            <v>03-3216-6411</v>
          </cell>
          <cell r="N140" t="str">
            <v>/3287-1384</v>
          </cell>
          <cell r="Q140" t="str">
            <v xml:space="preserve"> </v>
          </cell>
          <cell r="T140" t="str">
            <v>ｱｻﾋﾃｯｸ</v>
          </cell>
          <cell r="V140" t="str">
            <v>53</v>
          </cell>
        </row>
        <row r="141">
          <cell r="B141" t="str">
            <v>0558</v>
          </cell>
          <cell r="C141" t="str">
            <v>#</v>
          </cell>
          <cell r="D141" t="str">
            <v>(株)いすゞキャステック</v>
          </cell>
          <cell r="F141" t="str">
            <v>代表取締役社長</v>
          </cell>
          <cell r="G141" t="str">
            <v>中村  登志夫</v>
          </cell>
          <cell r="H141">
            <v>1000</v>
          </cell>
          <cell r="I141">
            <v>197</v>
          </cell>
          <cell r="J141" t="str">
            <v>024</v>
          </cell>
          <cell r="K141" t="str">
            <v>北上市和賀町後藤2-106-6</v>
          </cell>
          <cell r="L141" t="str">
            <v xml:space="preserve"> </v>
          </cell>
          <cell r="M141" t="str">
            <v>0197-73-8100</v>
          </cell>
          <cell r="N141" t="str">
            <v>/</v>
          </cell>
          <cell r="O141" t="str">
            <v>ｼﾘﾝﾀﾞｰﾌﾞﾛｯｸ</v>
          </cell>
          <cell r="Q141" t="str">
            <v xml:space="preserve"> </v>
          </cell>
          <cell r="R141" t="str">
            <v>□</v>
          </cell>
          <cell r="S141" t="str">
            <v>☆</v>
          </cell>
          <cell r="T141" t="str">
            <v>ｲｽｽﾞｷｬｽﾃｯｸ</v>
          </cell>
          <cell r="V141" t="str">
            <v>51</v>
          </cell>
        </row>
        <row r="142">
          <cell r="B142" t="str">
            <v>0559</v>
          </cell>
          <cell r="C142" t="str">
            <v>#</v>
          </cell>
          <cell r="D142" t="str">
            <v xml:space="preserve">協和合金(株)　  </v>
          </cell>
          <cell r="F142" t="str">
            <v>代表取締役社長</v>
          </cell>
          <cell r="G142" t="str">
            <v>山口  武夫</v>
          </cell>
          <cell r="H142">
            <v>120</v>
          </cell>
          <cell r="I142">
            <v>289</v>
          </cell>
          <cell r="J142" t="str">
            <v>236</v>
          </cell>
          <cell r="K142" t="str">
            <v>横浜市金沢区鳥浜町17-4</v>
          </cell>
          <cell r="L142" t="str">
            <v xml:space="preserve"> </v>
          </cell>
          <cell r="M142" t="str">
            <v>045-772-1331</v>
          </cell>
          <cell r="N142" t="str">
            <v>/772-1338</v>
          </cell>
          <cell r="O142" t="str">
            <v>ｼﾝｸﾛﾘﾝｸﾞ(Assy)</v>
          </cell>
          <cell r="Q142" t="str">
            <v xml:space="preserve"> </v>
          </cell>
          <cell r="R142" t="str">
            <v>□</v>
          </cell>
          <cell r="S142" t="str">
            <v>☆</v>
          </cell>
          <cell r="T142" t="str">
            <v xml:space="preserve">ｷｮｳﾜｺﾞｳｷﾝ </v>
          </cell>
          <cell r="V142" t="str">
            <v>56</v>
          </cell>
        </row>
        <row r="143">
          <cell r="B143" t="str">
            <v>0566</v>
          </cell>
          <cell r="C143" t="str">
            <v>#</v>
          </cell>
          <cell r="D143" t="str">
            <v>(株)ヤサカ研工</v>
          </cell>
          <cell r="F143" t="str">
            <v>代表取締役</v>
          </cell>
          <cell r="G143" t="str">
            <v>杉本　新</v>
          </cell>
          <cell r="H143">
            <v>12</v>
          </cell>
          <cell r="I143">
            <v>115</v>
          </cell>
          <cell r="J143" t="str">
            <v>210</v>
          </cell>
          <cell r="K143" t="str">
            <v>川崎市川崎区中島3-5-11</v>
          </cell>
          <cell r="L143" t="str">
            <v>松英ビル</v>
          </cell>
          <cell r="M143" t="str">
            <v>044-244-0021</v>
          </cell>
          <cell r="N143" t="str">
            <v>/222-7032</v>
          </cell>
          <cell r="O143" t="str">
            <v>ﾊﾞﾗｼ･ﾊﾂﾘ･運搬</v>
          </cell>
          <cell r="P143" t="str">
            <v>▽</v>
          </cell>
          <cell r="Q143" t="str">
            <v>◎</v>
          </cell>
          <cell r="R143" t="str">
            <v>□</v>
          </cell>
          <cell r="S143" t="str">
            <v>☆</v>
          </cell>
          <cell r="T143" t="str">
            <v>ﾔｻｶｹﾝｺｳ</v>
          </cell>
          <cell r="V143" t="str">
            <v>15</v>
          </cell>
        </row>
        <row r="144">
          <cell r="B144" t="str">
            <v>0571</v>
          </cell>
          <cell r="C144" t="str">
            <v>#</v>
          </cell>
          <cell r="D144" t="str">
            <v>鼎興業(有)</v>
          </cell>
          <cell r="F144" t="str">
            <v>代表取締役</v>
          </cell>
          <cell r="G144" t="str">
            <v>青木　翼</v>
          </cell>
          <cell r="H144">
            <v>8</v>
          </cell>
          <cell r="I144">
            <v>51</v>
          </cell>
          <cell r="J144" t="str">
            <v>230</v>
          </cell>
          <cell r="K144" t="str">
            <v>横浜市鶴見区浜町2-10</v>
          </cell>
          <cell r="L144" t="str">
            <v xml:space="preserve"> </v>
          </cell>
          <cell r="M144" t="str">
            <v>045-501-1595</v>
          </cell>
          <cell r="N144" t="str">
            <v>/</v>
          </cell>
          <cell r="O144" t="str">
            <v>ハツリ</v>
          </cell>
          <cell r="P144" t="str">
            <v>▽</v>
          </cell>
          <cell r="Q144" t="str">
            <v xml:space="preserve"> </v>
          </cell>
          <cell r="R144" t="str">
            <v>□</v>
          </cell>
          <cell r="T144" t="str">
            <v>ｶﾅｴｺｳｷﾞｮｳ</v>
          </cell>
          <cell r="V144" t="str">
            <v>15</v>
          </cell>
        </row>
        <row r="145">
          <cell r="B145" t="str">
            <v>0573</v>
          </cell>
          <cell r="C145" t="str">
            <v>#</v>
          </cell>
          <cell r="D145" t="str">
            <v>鋼鈴機工(株)</v>
          </cell>
          <cell r="F145" t="str">
            <v>代表取締役</v>
          </cell>
          <cell r="G145" t="str">
            <v>梶川　脩二</v>
          </cell>
          <cell r="H145">
            <v>30</v>
          </cell>
          <cell r="I145">
            <v>160</v>
          </cell>
          <cell r="J145" t="str">
            <v>210</v>
          </cell>
          <cell r="K145" t="str">
            <v>川崎市川崎区浜町2-12-8</v>
          </cell>
          <cell r="L145" t="str">
            <v xml:space="preserve"> </v>
          </cell>
          <cell r="M145" t="str">
            <v>044-277-8689</v>
          </cell>
          <cell r="N145" t="str">
            <v>/277-7338</v>
          </cell>
          <cell r="O145" t="str">
            <v>鋼材切断・運搬</v>
          </cell>
          <cell r="P145" t="str">
            <v>▽</v>
          </cell>
          <cell r="Q145" t="str">
            <v xml:space="preserve"> </v>
          </cell>
          <cell r="R145" t="str">
            <v>□</v>
          </cell>
          <cell r="T145" t="str">
            <v>ｺｳﾚｲｷｺｳ</v>
          </cell>
          <cell r="V145" t="str">
            <v>15</v>
          </cell>
        </row>
        <row r="146">
          <cell r="B146" t="str">
            <v>0574</v>
          </cell>
          <cell r="C146" t="str">
            <v>#</v>
          </cell>
          <cell r="D146" t="str">
            <v>尾張精機(株)</v>
          </cell>
          <cell r="F146" t="str">
            <v>取締役社長</v>
          </cell>
          <cell r="G146" t="str">
            <v>大見　道夫</v>
          </cell>
          <cell r="H146">
            <v>360</v>
          </cell>
          <cell r="I146">
            <v>434</v>
          </cell>
          <cell r="J146" t="str">
            <v>461</v>
          </cell>
          <cell r="K146" t="str">
            <v>名古屋市東区矢田町2-148</v>
          </cell>
          <cell r="L146" t="str">
            <v xml:space="preserve"> </v>
          </cell>
          <cell r="M146" t="str">
            <v>052-721-7131</v>
          </cell>
          <cell r="N146" t="str">
            <v>/723-2966</v>
          </cell>
          <cell r="O146" t="str">
            <v>ｱﾙﾐ鍛造品</v>
          </cell>
          <cell r="Q146" t="str">
            <v xml:space="preserve"> </v>
          </cell>
          <cell r="R146" t="str">
            <v>□</v>
          </cell>
          <cell r="T146" t="str">
            <v>ｵﾜﾘｾｲｷ</v>
          </cell>
          <cell r="V146" t="str">
            <v>64</v>
          </cell>
        </row>
        <row r="147">
          <cell r="B147" t="str">
            <v>0574</v>
          </cell>
          <cell r="C147" t="str">
            <v>A</v>
          </cell>
          <cell r="D147" t="str">
            <v>尾張精機(株)</v>
          </cell>
          <cell r="E147" t="str">
            <v>東京営業所</v>
          </cell>
          <cell r="J147" t="str">
            <v>160</v>
          </cell>
          <cell r="K147" t="str">
            <v>新宿区新宿1-2-5</v>
          </cell>
          <cell r="L147" t="str">
            <v>第二岡野屋ビル</v>
          </cell>
          <cell r="M147" t="str">
            <v>03-3352-8451</v>
          </cell>
          <cell r="N147" t="str">
            <v>/3352-8453</v>
          </cell>
          <cell r="O147" t="str">
            <v>ｱﾙﾐ鍛造品</v>
          </cell>
          <cell r="Q147" t="str">
            <v xml:space="preserve"> </v>
          </cell>
          <cell r="T147" t="str">
            <v>ｵﾜﾘｾｲｷ</v>
          </cell>
          <cell r="V147" t="str">
            <v>64</v>
          </cell>
        </row>
        <row r="148">
          <cell r="B148" t="str">
            <v>0575</v>
          </cell>
          <cell r="C148" t="str">
            <v>#</v>
          </cell>
          <cell r="D148" t="str">
            <v>理研鍛造(株)</v>
          </cell>
          <cell r="F148" t="str">
            <v>代表取締役</v>
          </cell>
          <cell r="G148" t="str">
            <v>岡田  信近</v>
          </cell>
          <cell r="H148" t="str">
            <v>400</v>
          </cell>
          <cell r="I148" t="str">
            <v>257</v>
          </cell>
          <cell r="J148" t="str">
            <v>371</v>
          </cell>
          <cell r="K148" t="str">
            <v>前橋市元総社町395-3</v>
          </cell>
          <cell r="L148" t="str">
            <v xml:space="preserve"> </v>
          </cell>
          <cell r="M148" t="str">
            <v>03-5820-9835</v>
          </cell>
          <cell r="N148" t="str">
            <v>/5820-9838</v>
          </cell>
          <cell r="O148" t="str">
            <v>カムシャフト</v>
          </cell>
          <cell r="R148" t="str">
            <v>□</v>
          </cell>
          <cell r="T148" t="str">
            <v>ﾘｹﾝﾀﾝｿﾞｳ</v>
          </cell>
          <cell r="V148" t="str">
            <v>51</v>
          </cell>
        </row>
        <row r="149">
          <cell r="B149" t="str">
            <v>0576</v>
          </cell>
          <cell r="C149" t="str">
            <v>#</v>
          </cell>
          <cell r="D149" t="str">
            <v>(株)シンニッタン</v>
          </cell>
          <cell r="F149" t="str">
            <v>取締役社長</v>
          </cell>
          <cell r="G149" t="str">
            <v>府内  泰生</v>
          </cell>
          <cell r="H149" t="str">
            <v>4645</v>
          </cell>
          <cell r="I149" t="str">
            <v>271</v>
          </cell>
          <cell r="J149" t="str">
            <v>318</v>
          </cell>
          <cell r="K149" t="str">
            <v>高萩市大字上手鋼字朝山3333</v>
          </cell>
          <cell r="L149" t="str">
            <v xml:space="preserve"> </v>
          </cell>
          <cell r="M149" t="str">
            <v>044-200-7821</v>
          </cell>
          <cell r="N149" t="str">
            <v>/200-7820</v>
          </cell>
          <cell r="O149" t="str">
            <v>ﾘﾔｰｼｬﾌﾄ･ｱｸｽﾙﾁｭｰﾌﾞ</v>
          </cell>
          <cell r="R149" t="str">
            <v>□</v>
          </cell>
          <cell r="T149" t="str">
            <v>ｼﾝﾆｯﾀﾝ</v>
          </cell>
          <cell r="V149" t="str">
            <v>53</v>
          </cell>
        </row>
        <row r="150">
          <cell r="B150" t="str">
            <v>0577</v>
          </cell>
          <cell r="C150" t="str">
            <v>#</v>
          </cell>
          <cell r="D150" t="str">
            <v>図南鍛工(株)</v>
          </cell>
          <cell r="F150" t="str">
            <v>取締役社長</v>
          </cell>
          <cell r="G150" t="str">
            <v>南條  裕</v>
          </cell>
          <cell r="H150" t="str">
            <v>90</v>
          </cell>
          <cell r="I150" t="str">
            <v>206</v>
          </cell>
          <cell r="J150" t="str">
            <v>210</v>
          </cell>
          <cell r="K150" t="str">
            <v>川崎市川崎区渡田新町3-3-18</v>
          </cell>
          <cell r="L150" t="str">
            <v xml:space="preserve"> </v>
          </cell>
          <cell r="M150" t="str">
            <v>0462-67-3511</v>
          </cell>
          <cell r="N150" t="str">
            <v>/69-8737</v>
          </cell>
          <cell r="O150" t="str">
            <v>ﾁｭｰﾌﾞｴﾝﾄﾞ</v>
          </cell>
          <cell r="P150" t="str">
            <v>▽</v>
          </cell>
          <cell r="T150" t="str">
            <v>ﾄﾅﾝﾀﾝｺｳ</v>
          </cell>
          <cell r="V150" t="str">
            <v>53</v>
          </cell>
        </row>
        <row r="151">
          <cell r="B151" t="str">
            <v>0578</v>
          </cell>
          <cell r="C151" t="str">
            <v>#</v>
          </cell>
          <cell r="D151" t="str">
            <v>(株)メタルアート</v>
          </cell>
          <cell r="F151" t="str">
            <v>取締役社長</v>
          </cell>
          <cell r="G151" t="str">
            <v>柳井  則雄</v>
          </cell>
          <cell r="H151" t="str">
            <v>1609</v>
          </cell>
          <cell r="I151" t="str">
            <v>278</v>
          </cell>
          <cell r="J151" t="str">
            <v>525</v>
          </cell>
          <cell r="K151" t="str">
            <v>草津市野路町1350</v>
          </cell>
          <cell r="L151" t="str">
            <v xml:space="preserve"> </v>
          </cell>
          <cell r="M151" t="str">
            <v>03-5294-2191</v>
          </cell>
          <cell r="N151" t="str">
            <v>/5294-2195</v>
          </cell>
          <cell r="O151" t="str">
            <v>ﾄﾗﾝｽﾐｯｼｮﾝｷﾞﾔ</v>
          </cell>
          <cell r="T151" t="str">
            <v>ﾒﾀﾙｱｰﾄ</v>
          </cell>
          <cell r="V151" t="str">
            <v>53</v>
          </cell>
        </row>
        <row r="152">
          <cell r="B152" t="str">
            <v>0579</v>
          </cell>
          <cell r="C152" t="str">
            <v>#</v>
          </cell>
          <cell r="D152" t="str">
            <v>大塚鉄工(株)</v>
          </cell>
          <cell r="F152" t="str">
            <v>代表取締役</v>
          </cell>
          <cell r="G152" t="str">
            <v>大塚  恭弘</v>
          </cell>
          <cell r="H152">
            <v>60</v>
          </cell>
          <cell r="I152">
            <v>108</v>
          </cell>
          <cell r="J152">
            <v>143</v>
          </cell>
          <cell r="K152" t="str">
            <v>大田区昭和島1-6-7</v>
          </cell>
          <cell r="L152" t="str">
            <v xml:space="preserve"> </v>
          </cell>
          <cell r="M152" t="str">
            <v>0248-46-2396</v>
          </cell>
          <cell r="N152" t="str">
            <v>/46-2394</v>
          </cell>
          <cell r="O152" t="str">
            <v>ﾌｧｲﾅﾙｷﾞｱ</v>
          </cell>
          <cell r="P152" t="str">
            <v>▽</v>
          </cell>
          <cell r="Q152" t="str">
            <v xml:space="preserve"> </v>
          </cell>
          <cell r="R152" t="str">
            <v xml:space="preserve"> </v>
          </cell>
          <cell r="S152" t="str">
            <v xml:space="preserve"> </v>
          </cell>
          <cell r="T152" t="str">
            <v>ｵｵﾂｶﾃｯｺｳ KK</v>
          </cell>
          <cell r="V152" t="str">
            <v>67</v>
          </cell>
        </row>
        <row r="153">
          <cell r="B153" t="str">
            <v>2000</v>
          </cell>
          <cell r="C153" t="str">
            <v>#</v>
          </cell>
          <cell r="D153" t="str">
            <v>(株)ゼクセル</v>
          </cell>
          <cell r="F153" t="str">
            <v>取締役社長</v>
          </cell>
          <cell r="G153" t="str">
            <v>太田  穰</v>
          </cell>
          <cell r="H153">
            <v>21131</v>
          </cell>
          <cell r="I153">
            <v>5955</v>
          </cell>
          <cell r="J153" t="str">
            <v>150</v>
          </cell>
          <cell r="K153" t="str">
            <v>渋谷区渋谷3-6-7</v>
          </cell>
          <cell r="L153" t="str">
            <v>ゼクセルビル渋谷</v>
          </cell>
          <cell r="M153" t="str">
            <v>03-5485-4120</v>
          </cell>
          <cell r="N153" t="str">
            <v>/3499-4117</v>
          </cell>
          <cell r="O153" t="str">
            <v>噴射ポンプ</v>
          </cell>
          <cell r="Q153" t="str">
            <v>◎</v>
          </cell>
          <cell r="R153" t="str">
            <v>□</v>
          </cell>
          <cell r="S153" t="str">
            <v>☆</v>
          </cell>
          <cell r="T153" t="str">
            <v>ｾﾞｸｾﾙ</v>
          </cell>
          <cell r="V153" t="str">
            <v>51</v>
          </cell>
        </row>
        <row r="154">
          <cell r="B154" t="str">
            <v>2000</v>
          </cell>
          <cell r="C154" t="str">
            <v>A</v>
          </cell>
          <cell r="D154" t="str">
            <v>(株)ゼクセル</v>
          </cell>
          <cell r="E154" t="str">
            <v>東松山工場</v>
          </cell>
          <cell r="J154" t="str">
            <v>355</v>
          </cell>
          <cell r="K154" t="str">
            <v>東松山市箭弓町3-13-26</v>
          </cell>
          <cell r="L154" t="str">
            <v xml:space="preserve"> </v>
          </cell>
          <cell r="M154" t="str">
            <v>0493-22-1551</v>
          </cell>
          <cell r="N154" t="str">
            <v>/</v>
          </cell>
          <cell r="O154" t="str">
            <v>ｶｰﾋｰﾀｰ</v>
          </cell>
          <cell r="Q154" t="str">
            <v xml:space="preserve"> </v>
          </cell>
          <cell r="T154" t="str">
            <v>ｾﾞｸｾﾙ</v>
          </cell>
          <cell r="V154" t="str">
            <v>51</v>
          </cell>
        </row>
        <row r="155">
          <cell r="B155" t="str">
            <v>2000</v>
          </cell>
          <cell r="C155" t="str">
            <v>B</v>
          </cell>
          <cell r="D155" t="str">
            <v>(株)ゼクセル</v>
          </cell>
          <cell r="E155" t="str">
            <v>狭山工場</v>
          </cell>
          <cell r="J155" t="str">
            <v>350-13</v>
          </cell>
          <cell r="K155" t="str">
            <v>狭山市新狭山1-5-14</v>
          </cell>
          <cell r="L155" t="str">
            <v xml:space="preserve"> </v>
          </cell>
          <cell r="M155" t="str">
            <v>0429-53-5217</v>
          </cell>
          <cell r="N155" t="str">
            <v>/</v>
          </cell>
          <cell r="O155" t="str">
            <v>ｶｰｴｱｺﾝ</v>
          </cell>
          <cell r="Q155" t="str">
            <v xml:space="preserve"> </v>
          </cell>
          <cell r="T155" t="str">
            <v>ｾﾞｸｾﾙ</v>
          </cell>
          <cell r="V155" t="str">
            <v>51</v>
          </cell>
        </row>
        <row r="156">
          <cell r="B156" t="str">
            <v>2000</v>
          </cell>
          <cell r="C156" t="str">
            <v>C</v>
          </cell>
          <cell r="D156" t="str">
            <v>(株)ゼクセル</v>
          </cell>
          <cell r="E156" t="str">
            <v>江南工場</v>
          </cell>
          <cell r="J156" t="str">
            <v>360-01</v>
          </cell>
          <cell r="K156" t="str">
            <v>埼玉県大里郡江南村</v>
          </cell>
          <cell r="L156" t="str">
            <v>大字千代字東原39</v>
          </cell>
          <cell r="M156" t="str">
            <v>0485-36-1121</v>
          </cell>
          <cell r="N156" t="str">
            <v>/</v>
          </cell>
          <cell r="O156" t="str">
            <v>ｽﾛｯﾄﾙﾊﾞﾙﾌﾞ</v>
          </cell>
          <cell r="Q156" t="str">
            <v xml:space="preserve"> </v>
          </cell>
          <cell r="T156" t="str">
            <v>ｾﾞｸｾﾙ</v>
          </cell>
          <cell r="V156" t="str">
            <v>51</v>
          </cell>
        </row>
        <row r="157">
          <cell r="B157" t="str">
            <v>2001</v>
          </cell>
          <cell r="C157" t="str">
            <v>#</v>
          </cell>
          <cell r="D157" t="str">
            <v>(株)日本気化器製作所</v>
          </cell>
          <cell r="F157" t="str">
            <v>取締役社長</v>
          </cell>
          <cell r="G157" t="str">
            <v>出口　不二彦</v>
          </cell>
          <cell r="H157">
            <v>500</v>
          </cell>
          <cell r="I157">
            <v>452</v>
          </cell>
          <cell r="J157" t="str">
            <v>243</v>
          </cell>
          <cell r="K157" t="str">
            <v>厚木市上依知上の原3029</v>
          </cell>
          <cell r="L157" t="str">
            <v xml:space="preserve"> </v>
          </cell>
          <cell r="M157" t="str">
            <v>0462-85-0229</v>
          </cell>
          <cell r="N157" t="str">
            <v>/85-4755</v>
          </cell>
          <cell r="O157" t="str">
            <v>気化器 燃料ポンプ</v>
          </cell>
          <cell r="Q157" t="str">
            <v>◎</v>
          </cell>
          <cell r="R157" t="str">
            <v>□</v>
          </cell>
          <cell r="S157" t="str">
            <v>☆</v>
          </cell>
          <cell r="T157" t="str">
            <v>ﾆﾎﾝｷｶｷｾｲｻｸｼｮ</v>
          </cell>
          <cell r="V157" t="str">
            <v>51</v>
          </cell>
        </row>
        <row r="158">
          <cell r="B158" t="str">
            <v>2002</v>
          </cell>
          <cell r="C158" t="str">
            <v>#</v>
          </cell>
          <cell r="D158" t="str">
            <v>トキコ(株)</v>
          </cell>
          <cell r="F158" t="str">
            <v>取締役社長</v>
          </cell>
          <cell r="G158" t="str">
            <v>石田　孝三</v>
          </cell>
          <cell r="H158">
            <v>8162</v>
          </cell>
          <cell r="I158">
            <v>2761</v>
          </cell>
          <cell r="J158" t="str">
            <v>210</v>
          </cell>
          <cell r="K158" t="str">
            <v>川崎市川崎区東田町8</v>
          </cell>
          <cell r="L158" t="str">
            <v xml:space="preserve"> </v>
          </cell>
          <cell r="M158" t="str">
            <v>044-244-3124</v>
          </cell>
          <cell r="N158" t="str">
            <v>/245-0605</v>
          </cell>
          <cell r="O158" t="str">
            <v>ｼｮｯｸｱﾌﾞｿｰﾊﾞｰ</v>
          </cell>
          <cell r="Q158" t="str">
            <v>◎</v>
          </cell>
          <cell r="R158" t="str">
            <v>□</v>
          </cell>
          <cell r="T158" t="str">
            <v>ﾄｷｺ</v>
          </cell>
          <cell r="V158" t="str">
            <v>54</v>
          </cell>
        </row>
        <row r="159">
          <cell r="B159" t="str">
            <v>2002</v>
          </cell>
          <cell r="C159" t="str">
            <v>A</v>
          </cell>
          <cell r="D159" t="str">
            <v>トキコ(株)</v>
          </cell>
          <cell r="E159" t="str">
            <v>自動車営業本部</v>
          </cell>
          <cell r="F159" t="str">
            <v>取締役</v>
          </cell>
          <cell r="G159" t="str">
            <v>山岡  繁夫</v>
          </cell>
          <cell r="J159" t="str">
            <v>210</v>
          </cell>
          <cell r="K159" t="str">
            <v>川崎市川崎区東田町8</v>
          </cell>
          <cell r="L159" t="str">
            <v>ﾊﾟﾚｰﾙ三井ﾋﾞﾙ13･14階</v>
          </cell>
          <cell r="M159" t="str">
            <v>044-200-0245</v>
          </cell>
          <cell r="N159" t="str">
            <v>/200-0269</v>
          </cell>
          <cell r="O159" t="str">
            <v>ｼｮｯｸｱﾌﾞｿｰﾊﾞｰ</v>
          </cell>
          <cell r="Q159" t="str">
            <v xml:space="preserve"> </v>
          </cell>
          <cell r="T159" t="str">
            <v>ﾄｷｺ</v>
          </cell>
          <cell r="V159" t="str">
            <v>54</v>
          </cell>
        </row>
        <row r="160">
          <cell r="B160" t="str">
            <v>2004</v>
          </cell>
          <cell r="C160" t="str">
            <v>#</v>
          </cell>
          <cell r="D160" t="str">
            <v>辰栄工業(株)</v>
          </cell>
          <cell r="F160" t="str">
            <v>代表取締役社長</v>
          </cell>
          <cell r="G160" t="str">
            <v>望月  澄男</v>
          </cell>
          <cell r="H160">
            <v>180</v>
          </cell>
          <cell r="I160">
            <v>309</v>
          </cell>
          <cell r="J160" t="str">
            <v>739-21</v>
          </cell>
          <cell r="K160" t="str">
            <v>東広島市高屋町高屋東116-31</v>
          </cell>
          <cell r="L160" t="str">
            <v xml:space="preserve"> </v>
          </cell>
          <cell r="M160" t="str">
            <v>0824-34-5511</v>
          </cell>
          <cell r="N160" t="str">
            <v>/34-5560</v>
          </cell>
          <cell r="O160" t="str">
            <v>クラッチシリンダー</v>
          </cell>
          <cell r="T160" t="str">
            <v>ｼﾝｴｲｺｳｷﾞｮｳ</v>
          </cell>
          <cell r="V160" t="str">
            <v>56</v>
          </cell>
        </row>
        <row r="161">
          <cell r="B161" t="str">
            <v>2005</v>
          </cell>
          <cell r="C161" t="str">
            <v>#</v>
          </cell>
          <cell r="D161" t="str">
            <v>自動車部品工業(株)</v>
          </cell>
          <cell r="F161" t="str">
            <v>取締役社長</v>
          </cell>
          <cell r="G161" t="str">
            <v>和田  正之</v>
          </cell>
          <cell r="H161">
            <v>1114</v>
          </cell>
          <cell r="I161">
            <v>1157</v>
          </cell>
          <cell r="J161" t="str">
            <v>243-04</v>
          </cell>
          <cell r="K161" t="str">
            <v>海老名市上郷2400</v>
          </cell>
          <cell r="L161" t="str">
            <v xml:space="preserve"> </v>
          </cell>
          <cell r="M161" t="str">
            <v>0462-31-3111</v>
          </cell>
          <cell r="N161" t="str">
            <v>/32-3036</v>
          </cell>
          <cell r="O161" t="str">
            <v>フロントアクスル・リヤーアクスル プロペラシャフト・ロッアー</v>
          </cell>
          <cell r="Q161" t="str">
            <v>◎</v>
          </cell>
          <cell r="R161" t="str">
            <v>□</v>
          </cell>
          <cell r="S161" t="str">
            <v>☆</v>
          </cell>
          <cell r="T161" t="str">
            <v>ｼﾞﾄﾞｳｼｬﾌﾞﾋﾝｺｳｷﾞｮｳ</v>
          </cell>
          <cell r="V161" t="str">
            <v>53</v>
          </cell>
        </row>
        <row r="162">
          <cell r="B162" t="str">
            <v>2005</v>
          </cell>
          <cell r="C162" t="str">
            <v>A</v>
          </cell>
          <cell r="D162" t="str">
            <v>自動車部品工業(株)</v>
          </cell>
          <cell r="E162" t="str">
            <v>真岡工場</v>
          </cell>
          <cell r="J162" t="str">
            <v>321-43</v>
          </cell>
          <cell r="K162" t="str">
            <v>真岡市松山町21-2</v>
          </cell>
          <cell r="L162" t="str">
            <v xml:space="preserve"> </v>
          </cell>
          <cell r="M162" t="str">
            <v>0285-82-1151</v>
          </cell>
          <cell r="N162" t="str">
            <v>/</v>
          </cell>
          <cell r="O162" t="str">
            <v>ボルト全般・ナット</v>
          </cell>
          <cell r="Q162" t="str">
            <v xml:space="preserve"> </v>
          </cell>
          <cell r="T162" t="str">
            <v>ｼﾞﾄﾞｳｼｬﾌﾞﾋﾝｺｳｷﾞｮｳ</v>
          </cell>
          <cell r="V162" t="str">
            <v>53</v>
          </cell>
        </row>
        <row r="163">
          <cell r="B163" t="str">
            <v>2006</v>
          </cell>
          <cell r="C163" t="str">
            <v>#</v>
          </cell>
          <cell r="D163" t="str">
            <v>東京部品工業(株)</v>
          </cell>
          <cell r="F163" t="str">
            <v>代表取締役社長</v>
          </cell>
          <cell r="G163" t="str">
            <v>西内  靖</v>
          </cell>
          <cell r="H163">
            <v>4367</v>
          </cell>
          <cell r="I163">
            <v>532</v>
          </cell>
          <cell r="J163" t="str">
            <v>242</v>
          </cell>
          <cell r="K163" t="str">
            <v>大和市つきみ野1-6-1</v>
          </cell>
          <cell r="L163" t="str">
            <v xml:space="preserve"> </v>
          </cell>
          <cell r="M163" t="str">
            <v>0462-73-8820</v>
          </cell>
          <cell r="N163" t="str">
            <v>/76-5119</v>
          </cell>
          <cell r="O163" t="str">
            <v>ブレーキ装置・油ポンプ 水ポンプ</v>
          </cell>
          <cell r="Q163" t="str">
            <v>◎</v>
          </cell>
          <cell r="R163" t="str">
            <v>□</v>
          </cell>
          <cell r="S163" t="str">
            <v>☆</v>
          </cell>
          <cell r="T163" t="str">
            <v>ﾄｳｷｮｳﾌﾞﾋﾝｺｳｷﾞｮｳ</v>
          </cell>
          <cell r="V163" t="str">
            <v>54</v>
          </cell>
        </row>
        <row r="164">
          <cell r="B164" t="str">
            <v>2007</v>
          </cell>
          <cell r="C164" t="str">
            <v>#</v>
          </cell>
          <cell r="D164" t="str">
            <v>(株)クゼー</v>
          </cell>
          <cell r="F164" t="str">
            <v>取締役社長</v>
          </cell>
          <cell r="G164" t="str">
            <v>久世　義一</v>
          </cell>
          <cell r="H164">
            <v>12</v>
          </cell>
          <cell r="I164">
            <v>50</v>
          </cell>
          <cell r="J164" t="str">
            <v>146</v>
          </cell>
          <cell r="K164" t="str">
            <v>大田区千鳥2-2-19</v>
          </cell>
          <cell r="L164" t="str">
            <v xml:space="preserve"> </v>
          </cell>
          <cell r="M164" t="str">
            <v>03-3750-6127</v>
          </cell>
          <cell r="N164" t="str">
            <v>/3750-6175</v>
          </cell>
          <cell r="O164" t="str">
            <v>ｵｰﾄﾏﾁｯｸｽｲｯﾁ</v>
          </cell>
          <cell r="P164" t="str">
            <v>▽</v>
          </cell>
          <cell r="Q164" t="str">
            <v xml:space="preserve"> </v>
          </cell>
          <cell r="T164" t="str">
            <v>ｸｾﾞｰ</v>
          </cell>
          <cell r="V164" t="str">
            <v>62</v>
          </cell>
        </row>
        <row r="165">
          <cell r="B165" t="str">
            <v>2008</v>
          </cell>
          <cell r="C165" t="str">
            <v>#</v>
          </cell>
          <cell r="D165" t="str">
            <v>自動車機器(株)</v>
          </cell>
          <cell r="F165" t="str">
            <v>代表取締役社長</v>
          </cell>
          <cell r="G165" t="str">
            <v>吉田  敏雄</v>
          </cell>
          <cell r="H165">
            <v>8538</v>
          </cell>
          <cell r="I165">
            <v>2284</v>
          </cell>
          <cell r="J165" t="str">
            <v>150</v>
          </cell>
          <cell r="K165" t="str">
            <v>渋谷区渋谷3-6-7</v>
          </cell>
          <cell r="L165" t="str">
            <v>ゼクセルビル渋谷</v>
          </cell>
          <cell r="M165" t="str">
            <v>03-3375-9111</v>
          </cell>
          <cell r="N165" t="str">
            <v>/3370-0109</v>
          </cell>
          <cell r="O165" t="str">
            <v>制動力装置</v>
          </cell>
          <cell r="Q165" t="str">
            <v>◎</v>
          </cell>
          <cell r="R165" t="str">
            <v>□</v>
          </cell>
          <cell r="S165" t="str">
            <v>☆</v>
          </cell>
          <cell r="T165" t="str">
            <v>ｼﾞﾄﾞｳｼｬｷｷ</v>
          </cell>
          <cell r="V165" t="str">
            <v>54</v>
          </cell>
        </row>
        <row r="166">
          <cell r="B166" t="str">
            <v>2008</v>
          </cell>
          <cell r="C166" t="str">
            <v>A</v>
          </cell>
          <cell r="D166" t="str">
            <v>自動車機器(株)</v>
          </cell>
          <cell r="E166" t="str">
            <v>松山工場</v>
          </cell>
          <cell r="J166" t="str">
            <v>355</v>
          </cell>
          <cell r="K166" t="str">
            <v>東松山市神明町2-11-6</v>
          </cell>
          <cell r="L166" t="str">
            <v xml:space="preserve"> </v>
          </cell>
          <cell r="M166" t="str">
            <v>0493-22-2650</v>
          </cell>
          <cell r="N166" t="str">
            <v>/</v>
          </cell>
          <cell r="O166" t="str">
            <v>パワーステアリング・グロープラグ</v>
          </cell>
          <cell r="Q166" t="str">
            <v xml:space="preserve"> </v>
          </cell>
          <cell r="T166" t="str">
            <v>ｼﾞﾄﾞｳｼｬｷｷ</v>
          </cell>
          <cell r="V166" t="str">
            <v>54</v>
          </cell>
        </row>
        <row r="167">
          <cell r="B167" t="str">
            <v>2010</v>
          </cell>
          <cell r="C167" t="str">
            <v>#</v>
          </cell>
          <cell r="D167" t="str">
            <v>伊藤忠テック(株)</v>
          </cell>
          <cell r="F167" t="str">
            <v>代表取締役</v>
          </cell>
          <cell r="G167" t="str">
            <v>坪田  尉史</v>
          </cell>
          <cell r="H167">
            <v>100</v>
          </cell>
          <cell r="I167">
            <v>35</v>
          </cell>
          <cell r="J167" t="str">
            <v>108</v>
          </cell>
          <cell r="K167" t="str">
            <v>港区芝浦2-14-5</v>
          </cell>
          <cell r="L167" t="str">
            <v xml:space="preserve"> </v>
          </cell>
          <cell r="M167" t="str">
            <v>03-3769-7233</v>
          </cell>
          <cell r="N167" t="str">
            <v>/3769-7240</v>
          </cell>
          <cell r="O167" t="str">
            <v>平面研削盤･転造盤</v>
          </cell>
          <cell r="Q167" t="str">
            <v xml:space="preserve"> </v>
          </cell>
          <cell r="T167" t="str">
            <v>ｲﾄｳﾁｭｳﾃｯｸ</v>
          </cell>
          <cell r="V167" t="str">
            <v>30</v>
          </cell>
        </row>
        <row r="168">
          <cell r="B168" t="str">
            <v>2011</v>
          </cell>
          <cell r="C168" t="str">
            <v>#</v>
          </cell>
          <cell r="D168" t="str">
            <v>日本特殊部品(有)</v>
          </cell>
          <cell r="F168" t="str">
            <v>代表取締役社長</v>
          </cell>
          <cell r="G168" t="str">
            <v>中村　直人</v>
          </cell>
          <cell r="H168">
            <v>10</v>
          </cell>
          <cell r="I168">
            <v>7</v>
          </cell>
          <cell r="J168" t="str">
            <v>780</v>
          </cell>
          <cell r="K168" t="str">
            <v>高知市北基町1-7-26</v>
          </cell>
          <cell r="L168" t="str">
            <v>通運ビル4F</v>
          </cell>
          <cell r="M168" t="str">
            <v>0488-72-9554</v>
          </cell>
          <cell r="N168" t="str">
            <v>/</v>
          </cell>
          <cell r="O168" t="str">
            <v>ｾｰﾌﾃｨﾊﾞﾙﾌﾞ</v>
          </cell>
          <cell r="P168" t="str">
            <v>▽</v>
          </cell>
          <cell r="Q168" t="str">
            <v xml:space="preserve"> </v>
          </cell>
          <cell r="R168" t="str">
            <v>□</v>
          </cell>
          <cell r="T168" t="str">
            <v>ﾆﾎﾝﾄｸｼｭﾌﾞﾋﾝ</v>
          </cell>
          <cell r="V168" t="str">
            <v>54</v>
          </cell>
        </row>
        <row r="169">
          <cell r="B169" t="str">
            <v>2011</v>
          </cell>
          <cell r="C169" t="str">
            <v>A</v>
          </cell>
          <cell r="D169" t="str">
            <v>日本特殊部品(有)</v>
          </cell>
          <cell r="E169" t="str">
            <v>東京営業所</v>
          </cell>
          <cell r="J169" t="str">
            <v>101</v>
          </cell>
          <cell r="K169" t="str">
            <v>千代田区神田美倉町10</v>
          </cell>
          <cell r="L169" t="str">
            <v>共同ビル</v>
          </cell>
          <cell r="M169" t="str">
            <v>03-3256-9941</v>
          </cell>
          <cell r="N169" t="str">
            <v>/3256-9259</v>
          </cell>
          <cell r="O169" t="str">
            <v>ﾌﾞﾚｰｷ安全装置</v>
          </cell>
          <cell r="P169" t="str">
            <v>▽</v>
          </cell>
          <cell r="Q169" t="str">
            <v xml:space="preserve"> </v>
          </cell>
          <cell r="T169" t="str">
            <v>ﾆﾎﾝﾄｸｼｭﾌﾞﾋﾝ</v>
          </cell>
          <cell r="V169" t="str">
            <v>54</v>
          </cell>
        </row>
        <row r="170">
          <cell r="B170" t="str">
            <v>2012</v>
          </cell>
          <cell r="C170" t="str">
            <v>#</v>
          </cell>
          <cell r="D170" t="str">
            <v>埼玉機器(株)</v>
          </cell>
          <cell r="F170" t="str">
            <v>取締役社長</v>
          </cell>
          <cell r="G170" t="str">
            <v>野口  通雄</v>
          </cell>
          <cell r="H170">
            <v>100</v>
          </cell>
          <cell r="I170">
            <v>340</v>
          </cell>
          <cell r="J170" t="str">
            <v>338</v>
          </cell>
          <cell r="K170" t="str">
            <v>与野市下落合7-1-3</v>
          </cell>
          <cell r="L170" t="str">
            <v xml:space="preserve"> </v>
          </cell>
          <cell r="M170" t="str">
            <v>0488-31-4801</v>
          </cell>
          <cell r="N170" t="str">
            <v>/31-4809</v>
          </cell>
          <cell r="O170" t="str">
            <v>ブレーキマスター・シリンダー</v>
          </cell>
          <cell r="P170" t="str">
            <v>▽</v>
          </cell>
          <cell r="Q170" t="str">
            <v>◎</v>
          </cell>
          <cell r="R170" t="str">
            <v>□</v>
          </cell>
          <cell r="S170" t="str">
            <v>☆</v>
          </cell>
          <cell r="T170" t="str">
            <v>ｻｲﾀﾏｷｷ</v>
          </cell>
          <cell r="V170" t="str">
            <v>54</v>
          </cell>
        </row>
        <row r="171">
          <cell r="B171" t="str">
            <v>2014</v>
          </cell>
          <cell r="C171" t="str">
            <v>#</v>
          </cell>
          <cell r="D171" t="str">
            <v>(株)ミクニ</v>
          </cell>
          <cell r="F171" t="str">
            <v>取締役社長</v>
          </cell>
          <cell r="G171" t="str">
            <v>生田　允紀</v>
          </cell>
          <cell r="H171">
            <v>2215</v>
          </cell>
          <cell r="I171">
            <v>1370</v>
          </cell>
          <cell r="J171" t="str">
            <v>101</v>
          </cell>
          <cell r="K171" t="str">
            <v>千代田区外神田6-13-11</v>
          </cell>
          <cell r="L171" t="str">
            <v xml:space="preserve"> </v>
          </cell>
          <cell r="M171" t="str">
            <v>03-3833-2731</v>
          </cell>
          <cell r="N171" t="str">
            <v>/</v>
          </cell>
          <cell r="O171" t="str">
            <v>ﾌﾟﾚﾋｰﾀｰ</v>
          </cell>
          <cell r="Q171" t="str">
            <v xml:space="preserve"> </v>
          </cell>
          <cell r="S171" t="str">
            <v>☆</v>
          </cell>
          <cell r="T171" t="str">
            <v>ﾐｸﾆ</v>
          </cell>
          <cell r="V171" t="str">
            <v>62</v>
          </cell>
        </row>
        <row r="172">
          <cell r="B172" t="str">
            <v>2014</v>
          </cell>
          <cell r="C172" t="str">
            <v>A</v>
          </cell>
          <cell r="D172" t="str">
            <v>(株)ミクニ</v>
          </cell>
          <cell r="E172" t="str">
            <v>東京第2営業所</v>
          </cell>
          <cell r="F172" t="str">
            <v>所長</v>
          </cell>
          <cell r="G172" t="str">
            <v>草野  喜行</v>
          </cell>
          <cell r="J172" t="str">
            <v>101</v>
          </cell>
          <cell r="K172" t="str">
            <v>千代田区外神田6-13-11</v>
          </cell>
          <cell r="L172" t="str">
            <v>ミクニビル</v>
          </cell>
          <cell r="M172" t="str">
            <v>03-3833-9545</v>
          </cell>
          <cell r="N172" t="str">
            <v>/3833-9540</v>
          </cell>
          <cell r="O172" t="str">
            <v>ﾌﾟﾚﾋｰﾀｰ</v>
          </cell>
          <cell r="Q172" t="str">
            <v xml:space="preserve"> </v>
          </cell>
          <cell r="T172" t="str">
            <v>ﾐｸﾆ</v>
          </cell>
          <cell r="V172" t="str">
            <v>62</v>
          </cell>
        </row>
        <row r="173">
          <cell r="B173" t="str">
            <v>2014</v>
          </cell>
          <cell r="C173" t="str">
            <v>B</v>
          </cell>
          <cell r="D173" t="str">
            <v>(株)ミクニ</v>
          </cell>
          <cell r="E173" t="str">
            <v>小田原工場</v>
          </cell>
          <cell r="F173" t="str">
            <v>取締役工場長</v>
          </cell>
          <cell r="G173" t="str">
            <v>原田　茂</v>
          </cell>
          <cell r="J173" t="str">
            <v>250</v>
          </cell>
          <cell r="K173" t="str">
            <v>小田原市久野2480</v>
          </cell>
          <cell r="L173" t="str">
            <v xml:space="preserve"> </v>
          </cell>
          <cell r="M173" t="str">
            <v>0465-35-1111</v>
          </cell>
          <cell r="N173" t="str">
            <v>/</v>
          </cell>
          <cell r="O173" t="str">
            <v>ﾌﾟﾚﾋｰﾀｰ</v>
          </cell>
          <cell r="Q173" t="str">
            <v xml:space="preserve"> </v>
          </cell>
          <cell r="T173" t="str">
            <v>ﾐｸﾆ</v>
          </cell>
          <cell r="V173" t="str">
            <v>62</v>
          </cell>
        </row>
        <row r="174">
          <cell r="B174" t="str">
            <v>2017</v>
          </cell>
          <cell r="C174" t="str">
            <v>#</v>
          </cell>
          <cell r="D174" t="str">
            <v>(株)ケーヒン</v>
          </cell>
          <cell r="F174" t="str">
            <v>代表取締役社長</v>
          </cell>
          <cell r="G174" t="str">
            <v>大塚  伸之</v>
          </cell>
          <cell r="H174">
            <v>6932</v>
          </cell>
          <cell r="I174">
            <v>1535</v>
          </cell>
          <cell r="J174">
            <v>160</v>
          </cell>
          <cell r="K174" t="str">
            <v>新宿区新宿4-3-17</v>
          </cell>
          <cell r="L174" t="str">
            <v xml:space="preserve"> </v>
          </cell>
          <cell r="M174" t="str">
            <v>044-411-6381</v>
          </cell>
          <cell r="N174" t="str">
            <v>/433-5593</v>
          </cell>
          <cell r="O174" t="str">
            <v>ｺﾝﾄﾛｰﾙ ﾌﾞﾚｰｷﾛｯｸ</v>
          </cell>
          <cell r="P174" t="str">
            <v xml:space="preserve"> </v>
          </cell>
          <cell r="Q174" t="str">
            <v xml:space="preserve"> </v>
          </cell>
          <cell r="R174" t="str">
            <v xml:space="preserve"> </v>
          </cell>
          <cell r="S174" t="str">
            <v xml:space="preserve"> </v>
          </cell>
          <cell r="T174" t="str">
            <v>KK ｹｰﾋﾝ</v>
          </cell>
          <cell r="V174" t="str">
            <v>64</v>
          </cell>
        </row>
        <row r="175">
          <cell r="B175" t="str">
            <v>2018</v>
          </cell>
          <cell r="C175" t="str">
            <v>#</v>
          </cell>
          <cell r="D175" t="str">
            <v>愛三工業(株)</v>
          </cell>
          <cell r="F175" t="str">
            <v>取締役社長</v>
          </cell>
          <cell r="G175" t="str">
            <v>伊東　博巳</v>
          </cell>
          <cell r="H175">
            <v>5244</v>
          </cell>
          <cell r="I175">
            <v>3088</v>
          </cell>
          <cell r="J175" t="str">
            <v>474</v>
          </cell>
          <cell r="K175" t="str">
            <v>大府市共和町1-1-1</v>
          </cell>
          <cell r="L175" t="str">
            <v xml:space="preserve"> </v>
          </cell>
          <cell r="M175" t="str">
            <v>0562-47-1131</v>
          </cell>
          <cell r="N175" t="str">
            <v>/</v>
          </cell>
          <cell r="O175" t="str">
            <v>ｷｬﾌﾞﾚﾀｰ､吸排気弁</v>
          </cell>
          <cell r="Q175" t="str">
            <v>◎</v>
          </cell>
          <cell r="R175" t="str">
            <v>□</v>
          </cell>
          <cell r="S175" t="str">
            <v>☆</v>
          </cell>
          <cell r="T175" t="str">
            <v>ｱｲｻﾝｺｳｷﾞｮｳ</v>
          </cell>
          <cell r="V175" t="str">
            <v>51</v>
          </cell>
        </row>
        <row r="176">
          <cell r="B176" t="str">
            <v>2018</v>
          </cell>
          <cell r="C176" t="str">
            <v>A</v>
          </cell>
          <cell r="D176" t="str">
            <v>愛三工業(株)</v>
          </cell>
          <cell r="E176" t="str">
            <v>東京事務所</v>
          </cell>
          <cell r="F176" t="str">
            <v>所長</v>
          </cell>
          <cell r="G176" t="str">
            <v>栗原  浩二</v>
          </cell>
          <cell r="J176" t="str">
            <v>104</v>
          </cell>
          <cell r="K176" t="str">
            <v>中央区八重洲2-7-2</v>
          </cell>
          <cell r="L176" t="str">
            <v>八重洲三井ビル</v>
          </cell>
          <cell r="M176" t="str">
            <v>03-3271-5321</v>
          </cell>
          <cell r="N176" t="str">
            <v>/3271-5359</v>
          </cell>
          <cell r="O176" t="str">
            <v>ｷｬﾌﾞﾚﾀｰ､吸排気弁</v>
          </cell>
          <cell r="Q176" t="str">
            <v xml:space="preserve"> </v>
          </cell>
          <cell r="T176" t="str">
            <v>ｱｲｻﾝｺｳｷﾞｮｳ</v>
          </cell>
          <cell r="V176" t="str">
            <v>51</v>
          </cell>
        </row>
        <row r="177">
          <cell r="B177" t="str">
            <v>2020</v>
          </cell>
          <cell r="C177" t="str">
            <v>#</v>
          </cell>
          <cell r="D177" t="str">
            <v>日本エービーエス(株)</v>
          </cell>
          <cell r="F177" t="str">
            <v>代表取締役社長</v>
          </cell>
          <cell r="G177" t="str">
            <v>岩垂  重雄</v>
          </cell>
          <cell r="H177">
            <v>7500</v>
          </cell>
          <cell r="I177">
            <v>1023</v>
          </cell>
          <cell r="J177" t="str">
            <v>237</v>
          </cell>
          <cell r="K177" t="str">
            <v>横須賀市浦郷町5-2931</v>
          </cell>
          <cell r="L177" t="str">
            <v/>
          </cell>
          <cell r="M177" t="str">
            <v>0468-67-4620</v>
          </cell>
          <cell r="N177" t="str">
            <v>/67-4625</v>
          </cell>
          <cell r="O177" t="str">
            <v>滑走防止装置</v>
          </cell>
          <cell r="Q177" t="str">
            <v>◎</v>
          </cell>
          <cell r="R177" t="str">
            <v>□</v>
          </cell>
          <cell r="S177" t="str">
            <v>☆</v>
          </cell>
          <cell r="T177" t="str">
            <v>ﾆﾎﾝｴｰﾋﾞｰｴｽ</v>
          </cell>
          <cell r="V177" t="str">
            <v>54</v>
          </cell>
        </row>
        <row r="178">
          <cell r="B178" t="str">
            <v>2021</v>
          </cell>
          <cell r="C178" t="str">
            <v>#</v>
          </cell>
          <cell r="D178" t="str">
            <v>(株)リズム</v>
          </cell>
          <cell r="F178" t="str">
            <v>取締役社長</v>
          </cell>
          <cell r="G178" t="str">
            <v>佐藤  市郎</v>
          </cell>
          <cell r="H178">
            <v>400</v>
          </cell>
          <cell r="I178">
            <v>928</v>
          </cell>
          <cell r="J178" t="str">
            <v>430</v>
          </cell>
          <cell r="K178" t="str">
            <v>浜松市御給町283-3</v>
          </cell>
          <cell r="L178" t="str">
            <v xml:space="preserve"> </v>
          </cell>
          <cell r="M178" t="str">
            <v>053-462-2141</v>
          </cell>
          <cell r="N178" t="str">
            <v>/425-5450</v>
          </cell>
          <cell r="O178" t="str">
            <v>ﾏｽﾀｰ ｼﾘﾝﾀﾞｰ</v>
          </cell>
          <cell r="Q178" t="str">
            <v xml:space="preserve"> </v>
          </cell>
          <cell r="R178" t="str">
            <v>□</v>
          </cell>
          <cell r="S178" t="str">
            <v>☆</v>
          </cell>
          <cell r="T178" t="str">
            <v>ﾘｽﾞﾑ</v>
          </cell>
          <cell r="V178" t="str">
            <v>54</v>
          </cell>
        </row>
        <row r="179">
          <cell r="B179" t="str">
            <v>2022</v>
          </cell>
          <cell r="C179" t="str">
            <v>#</v>
          </cell>
          <cell r="D179" t="str">
            <v>(株)JKCﾄﾗｯｸﾌﾞﾚｰｷｼｽﾃﾑｽﾞ</v>
          </cell>
          <cell r="F179" t="str">
            <v>取締役社長</v>
          </cell>
          <cell r="G179" t="str">
            <v>今井  靖士</v>
          </cell>
          <cell r="H179">
            <v>200</v>
          </cell>
          <cell r="I179">
            <v>34</v>
          </cell>
          <cell r="J179" t="str">
            <v>151</v>
          </cell>
          <cell r="K179" t="str">
            <v>渋谷区代々木2-10-12</v>
          </cell>
          <cell r="L179" t="str">
            <v xml:space="preserve"> </v>
          </cell>
          <cell r="M179" t="str">
            <v>03-3379-2248</v>
          </cell>
          <cell r="N179" t="str">
            <v>/3379-2313</v>
          </cell>
          <cell r="O179" t="str">
            <v>ABS(SENSOR,MODULATOR)</v>
          </cell>
          <cell r="P179" t="str">
            <v xml:space="preserve"> </v>
          </cell>
          <cell r="R179" t="str">
            <v>□</v>
          </cell>
          <cell r="T179" t="str">
            <v>ｼﾞｪｰｹｰｼｰﾄﾗｯｸﾌﾞﾚｰｷｼｽﾃﾑｽﾞ</v>
          </cell>
          <cell r="V179" t="str">
            <v>54</v>
          </cell>
        </row>
        <row r="180">
          <cell r="B180" t="str">
            <v>2100</v>
          </cell>
          <cell r="C180" t="str">
            <v>#</v>
          </cell>
          <cell r="D180" t="str">
            <v>横浜ゴム(株)</v>
          </cell>
          <cell r="F180" t="str">
            <v>代表取締役社長</v>
          </cell>
          <cell r="G180" t="str">
            <v>萩原  晴二</v>
          </cell>
          <cell r="H180">
            <v>9597</v>
          </cell>
          <cell r="I180">
            <v>6968</v>
          </cell>
          <cell r="J180" t="str">
            <v>105</v>
          </cell>
          <cell r="K180" t="str">
            <v>港区新橋5-36-11</v>
          </cell>
          <cell r="L180" t="str">
            <v xml:space="preserve"> </v>
          </cell>
          <cell r="M180" t="str">
            <v>03-5400-4629</v>
          </cell>
          <cell r="N180" t="str">
            <v>/3432-5587</v>
          </cell>
          <cell r="O180" t="str">
            <v>ﾀｲﾔ</v>
          </cell>
          <cell r="Q180" t="str">
            <v>◎</v>
          </cell>
          <cell r="R180" t="str">
            <v>□</v>
          </cell>
          <cell r="S180" t="str">
            <v>☆</v>
          </cell>
          <cell r="T180" t="str">
            <v>ﾖｺﾊﾏｺﾞﾑ</v>
          </cell>
          <cell r="V180" t="str">
            <v>54</v>
          </cell>
        </row>
        <row r="181">
          <cell r="B181" t="str">
            <v>2100</v>
          </cell>
          <cell r="C181" t="str">
            <v>A</v>
          </cell>
          <cell r="D181" t="str">
            <v>横浜ゴム(株)</v>
          </cell>
          <cell r="E181" t="str">
            <v>平塚製造所</v>
          </cell>
          <cell r="J181" t="str">
            <v>254</v>
          </cell>
          <cell r="K181" t="str">
            <v>平塚市追分2-1</v>
          </cell>
          <cell r="L181" t="str">
            <v xml:space="preserve"> </v>
          </cell>
          <cell r="M181" t="str">
            <v>0463-32-2700</v>
          </cell>
          <cell r="N181" t="str">
            <v>/</v>
          </cell>
          <cell r="O181" t="str">
            <v>ﾀｲﾔ</v>
          </cell>
          <cell r="Q181" t="str">
            <v xml:space="preserve"> </v>
          </cell>
          <cell r="T181" t="str">
            <v>ﾖｺﾊﾏｺﾞﾑ</v>
          </cell>
          <cell r="V181" t="str">
            <v>54</v>
          </cell>
        </row>
        <row r="182">
          <cell r="B182" t="str">
            <v>2100</v>
          </cell>
          <cell r="C182" t="str">
            <v>B</v>
          </cell>
          <cell r="D182" t="str">
            <v>横浜ゴム(株)</v>
          </cell>
          <cell r="E182" t="str">
            <v>三重工場</v>
          </cell>
          <cell r="J182" t="str">
            <v>516</v>
          </cell>
          <cell r="K182" t="str">
            <v>三重県度会郡御薗村高向1038</v>
          </cell>
          <cell r="L182" t="str">
            <v xml:space="preserve"> </v>
          </cell>
          <cell r="M182" t="str">
            <v>05963-8-3151</v>
          </cell>
          <cell r="N182" t="str">
            <v>/</v>
          </cell>
          <cell r="O182" t="str">
            <v>ﾀｲﾔ</v>
          </cell>
          <cell r="Q182" t="str">
            <v xml:space="preserve"> </v>
          </cell>
          <cell r="T182" t="str">
            <v>ﾖｺﾊﾏｺﾞﾑ</v>
          </cell>
          <cell r="V182" t="str">
            <v>54</v>
          </cell>
        </row>
        <row r="183">
          <cell r="B183" t="str">
            <v>2100</v>
          </cell>
          <cell r="C183" t="str">
            <v>C</v>
          </cell>
          <cell r="D183" t="str">
            <v>横浜ゴム(株)</v>
          </cell>
          <cell r="E183" t="str">
            <v>三島工場</v>
          </cell>
          <cell r="J183" t="str">
            <v>411</v>
          </cell>
          <cell r="K183" t="str">
            <v>三島市南二日町8-1</v>
          </cell>
          <cell r="L183" t="str">
            <v xml:space="preserve"> </v>
          </cell>
          <cell r="M183" t="str">
            <v>0559-75-0800</v>
          </cell>
          <cell r="N183" t="str">
            <v>/</v>
          </cell>
          <cell r="O183" t="str">
            <v>ﾀｲﾔ</v>
          </cell>
          <cell r="Q183" t="str">
            <v xml:space="preserve"> </v>
          </cell>
          <cell r="T183" t="str">
            <v>ﾖｺﾊﾏｺﾞﾑ</v>
          </cell>
          <cell r="V183" t="str">
            <v>54</v>
          </cell>
        </row>
        <row r="184">
          <cell r="B184" t="str">
            <v>2100</v>
          </cell>
          <cell r="C184" t="str">
            <v>D</v>
          </cell>
          <cell r="D184" t="str">
            <v>横浜ゴム(株)</v>
          </cell>
          <cell r="E184" t="str">
            <v>新城工場</v>
          </cell>
          <cell r="J184" t="str">
            <v>441-13</v>
          </cell>
          <cell r="K184" t="str">
            <v>新城市野田字古屋敷1</v>
          </cell>
          <cell r="L184" t="str">
            <v xml:space="preserve"> </v>
          </cell>
          <cell r="M184" t="str">
            <v>05362-2-2251</v>
          </cell>
          <cell r="N184" t="str">
            <v>/</v>
          </cell>
          <cell r="O184" t="str">
            <v>ﾀｲﾔ</v>
          </cell>
          <cell r="Q184" t="str">
            <v xml:space="preserve"> </v>
          </cell>
          <cell r="T184" t="str">
            <v>ﾖｺﾊﾏｺﾞﾑ</v>
          </cell>
          <cell r="V184" t="str">
            <v>54</v>
          </cell>
        </row>
        <row r="185">
          <cell r="B185" t="str">
            <v>2101</v>
          </cell>
          <cell r="C185" t="str">
            <v>#</v>
          </cell>
          <cell r="D185" t="str">
            <v>(株)ブリヂストン</v>
          </cell>
          <cell r="F185" t="str">
            <v>代表取締役社長</v>
          </cell>
          <cell r="G185" t="str">
            <v>海崎  洋一郎</v>
          </cell>
          <cell r="H185">
            <v>27139</v>
          </cell>
          <cell r="I185">
            <v>16969</v>
          </cell>
          <cell r="J185" t="str">
            <v>104</v>
          </cell>
          <cell r="K185" t="str">
            <v>中央区京橋1-10-1</v>
          </cell>
          <cell r="L185" t="str">
            <v xml:space="preserve"> </v>
          </cell>
          <cell r="M185" t="str">
            <v>03-3563-6964</v>
          </cell>
          <cell r="N185" t="str">
            <v>/3567-7986</v>
          </cell>
          <cell r="O185" t="str">
            <v>ﾀｲﾔ直需第２部03-3563-6964</v>
          </cell>
          <cell r="Q185" t="str">
            <v>◎</v>
          </cell>
          <cell r="R185" t="str">
            <v>□</v>
          </cell>
          <cell r="S185" t="str">
            <v>☆</v>
          </cell>
          <cell r="T185" t="str">
            <v>ﾌﾞﾘﾁﾞｽﾄﾝ</v>
          </cell>
          <cell r="V185" t="str">
            <v>54</v>
          </cell>
        </row>
        <row r="186">
          <cell r="B186" t="str">
            <v>2101</v>
          </cell>
          <cell r="C186" t="str">
            <v>A</v>
          </cell>
          <cell r="D186" t="str">
            <v>(株)ブリヂストン</v>
          </cell>
          <cell r="E186" t="str">
            <v>東京工場</v>
          </cell>
          <cell r="J186" t="str">
            <v>187</v>
          </cell>
          <cell r="K186" t="str">
            <v>小平市小川東町2800-1</v>
          </cell>
          <cell r="L186" t="str">
            <v xml:space="preserve"> </v>
          </cell>
          <cell r="M186" t="str">
            <v>0423-41-1111</v>
          </cell>
          <cell r="N186" t="str">
            <v>/</v>
          </cell>
          <cell r="O186" t="str">
            <v>ﾀｲﾔ､防振ｺﾞﾑ</v>
          </cell>
          <cell r="Q186" t="str">
            <v xml:space="preserve"> </v>
          </cell>
          <cell r="T186" t="str">
            <v>ﾌﾞﾘﾁﾞｽﾄﾝ</v>
          </cell>
          <cell r="V186" t="str">
            <v>54</v>
          </cell>
        </row>
        <row r="187">
          <cell r="B187" t="str">
            <v>2101</v>
          </cell>
          <cell r="C187" t="str">
            <v>B</v>
          </cell>
          <cell r="D187" t="str">
            <v>(株)ブリヂストン</v>
          </cell>
          <cell r="E187" t="str">
            <v>久留米工場</v>
          </cell>
          <cell r="J187" t="str">
            <v>830</v>
          </cell>
          <cell r="K187" t="str">
            <v>久留米市京町105</v>
          </cell>
          <cell r="L187" t="str">
            <v xml:space="preserve"> </v>
          </cell>
          <cell r="M187" t="str">
            <v>0942-33-0111</v>
          </cell>
          <cell r="N187" t="str">
            <v>/</v>
          </cell>
          <cell r="O187" t="str">
            <v>ﾀｲﾔ､防振ｺﾞﾑ</v>
          </cell>
          <cell r="Q187" t="str">
            <v xml:space="preserve"> </v>
          </cell>
          <cell r="T187" t="str">
            <v>ﾌﾞﾘﾁﾞｽﾄﾝ</v>
          </cell>
          <cell r="V187" t="str">
            <v>54</v>
          </cell>
        </row>
        <row r="188">
          <cell r="B188" t="str">
            <v>2101</v>
          </cell>
          <cell r="C188" t="str">
            <v>C</v>
          </cell>
          <cell r="D188" t="str">
            <v>(株)ブリヂストン</v>
          </cell>
          <cell r="E188" t="str">
            <v>彦根工場</v>
          </cell>
          <cell r="J188" t="str">
            <v>522-02</v>
          </cell>
          <cell r="K188" t="str">
            <v>彦根市高宮町211</v>
          </cell>
          <cell r="L188" t="str">
            <v xml:space="preserve"> </v>
          </cell>
          <cell r="M188" t="str">
            <v>07492-2-8111</v>
          </cell>
          <cell r="N188" t="str">
            <v>/</v>
          </cell>
          <cell r="O188" t="str">
            <v>ﾀｲﾔ､防振ｺﾞﾑ</v>
          </cell>
          <cell r="Q188" t="str">
            <v xml:space="preserve"> </v>
          </cell>
          <cell r="T188" t="str">
            <v>ﾌﾞﾘﾁﾞｽﾄﾝ</v>
          </cell>
          <cell r="V188" t="str">
            <v>54</v>
          </cell>
        </row>
        <row r="189">
          <cell r="B189" t="str">
            <v>2101</v>
          </cell>
          <cell r="C189" t="str">
            <v>D</v>
          </cell>
          <cell r="D189" t="str">
            <v>(株)ブリヂストン</v>
          </cell>
          <cell r="E189" t="str">
            <v>横浜工場</v>
          </cell>
          <cell r="J189" t="str">
            <v>244</v>
          </cell>
          <cell r="K189" t="str">
            <v>横浜市戸塚区柏尾町1</v>
          </cell>
          <cell r="L189" t="str">
            <v xml:space="preserve"> </v>
          </cell>
          <cell r="M189" t="str">
            <v>045-822-1261</v>
          </cell>
          <cell r="N189" t="str">
            <v>/</v>
          </cell>
          <cell r="O189" t="str">
            <v>ﾀｲﾔ､防振ｺﾞﾑ</v>
          </cell>
          <cell r="Q189" t="str">
            <v xml:space="preserve"> </v>
          </cell>
          <cell r="T189" t="str">
            <v>ﾌﾞﾘﾁﾞｽﾄﾝ</v>
          </cell>
          <cell r="V189" t="str">
            <v>54</v>
          </cell>
        </row>
        <row r="190">
          <cell r="B190" t="str">
            <v>2101</v>
          </cell>
          <cell r="C190" t="str">
            <v>E</v>
          </cell>
          <cell r="D190" t="str">
            <v>(株)ブリヂストン</v>
          </cell>
          <cell r="E190" t="str">
            <v>上尾工場</v>
          </cell>
          <cell r="J190" t="str">
            <v>362</v>
          </cell>
          <cell r="K190" t="str">
            <v>上尾市中妻391</v>
          </cell>
          <cell r="L190" t="str">
            <v xml:space="preserve"> </v>
          </cell>
          <cell r="M190" t="str">
            <v>0487-73-0111</v>
          </cell>
          <cell r="N190" t="str">
            <v>/</v>
          </cell>
          <cell r="O190" t="str">
            <v>ﾀｲﾔ､防振ｺﾞﾑ</v>
          </cell>
          <cell r="Q190" t="str">
            <v xml:space="preserve"> </v>
          </cell>
          <cell r="T190" t="str">
            <v>ﾌﾞﾘﾁﾞｽﾄﾝ</v>
          </cell>
          <cell r="V190" t="str">
            <v>54</v>
          </cell>
        </row>
        <row r="191">
          <cell r="B191" t="str">
            <v>2102</v>
          </cell>
          <cell r="C191" t="str">
            <v>#</v>
          </cell>
          <cell r="D191" t="str">
            <v>(株)日本ダンロップ</v>
          </cell>
          <cell r="F191" t="str">
            <v>代表取締役社長</v>
          </cell>
          <cell r="G191" t="str">
            <v>西藤  直人</v>
          </cell>
          <cell r="H191">
            <v>6300</v>
          </cell>
          <cell r="I191">
            <v>4647</v>
          </cell>
          <cell r="J191" t="str">
            <v>651</v>
          </cell>
          <cell r="K191" t="str">
            <v>神戸市中央区脇浜町3-6-9</v>
          </cell>
          <cell r="L191" t="str">
            <v xml:space="preserve"> </v>
          </cell>
          <cell r="M191" t="str">
            <v>03-5546-0122</v>
          </cell>
          <cell r="N191" t="str">
            <v>/5546-0144</v>
          </cell>
          <cell r="O191" t="str">
            <v>ﾀｲﾔ</v>
          </cell>
          <cell r="Q191" t="str">
            <v>◎</v>
          </cell>
          <cell r="R191" t="str">
            <v>□</v>
          </cell>
          <cell r="S191" t="str">
            <v>☆</v>
          </cell>
          <cell r="T191" t="str">
            <v>ﾆﾎﾝﾀﾞﾝﾛｯﾌﾟ</v>
          </cell>
          <cell r="V191" t="str">
            <v>54</v>
          </cell>
        </row>
        <row r="192">
          <cell r="B192" t="str">
            <v>2102</v>
          </cell>
          <cell r="C192" t="str">
            <v>A</v>
          </cell>
          <cell r="D192" t="str">
            <v>(株)日本ダンロップ</v>
          </cell>
          <cell r="E192" t="str">
            <v>東京本社</v>
          </cell>
          <cell r="F192" t="str">
            <v>常務取締役</v>
          </cell>
          <cell r="G192" t="str">
            <v>田村  耕一郎</v>
          </cell>
          <cell r="J192" t="str">
            <v>135</v>
          </cell>
          <cell r="K192" t="str">
            <v>江東区豊州3-3-3</v>
          </cell>
          <cell r="L192" t="str">
            <v>豊州センタービル</v>
          </cell>
          <cell r="M192" t="str">
            <v>03-5546-0121</v>
          </cell>
          <cell r="N192" t="str">
            <v>/</v>
          </cell>
          <cell r="O192" t="str">
            <v>ﾀｲﾔ</v>
          </cell>
          <cell r="Q192" t="str">
            <v xml:space="preserve"> </v>
          </cell>
          <cell r="T192" t="str">
            <v>ﾆﾎﾝﾀﾞﾝﾛｯﾌﾟ</v>
          </cell>
          <cell r="V192" t="str">
            <v>54</v>
          </cell>
        </row>
        <row r="193">
          <cell r="B193" t="str">
            <v>2102</v>
          </cell>
          <cell r="C193" t="str">
            <v>B</v>
          </cell>
          <cell r="D193" t="str">
            <v>(株)日本ダンロップ</v>
          </cell>
          <cell r="E193" t="str">
            <v>名古屋工場</v>
          </cell>
          <cell r="J193" t="str">
            <v>471</v>
          </cell>
          <cell r="K193" t="str">
            <v>豊田市新生町4-1</v>
          </cell>
          <cell r="L193" t="str">
            <v xml:space="preserve"> </v>
          </cell>
          <cell r="M193" t="str">
            <v>0565-28-2345</v>
          </cell>
          <cell r="N193" t="str">
            <v>/</v>
          </cell>
          <cell r="O193" t="str">
            <v>ﾀｲﾔ</v>
          </cell>
          <cell r="Q193" t="str">
            <v xml:space="preserve"> </v>
          </cell>
          <cell r="T193" t="str">
            <v>ﾆﾎﾝﾀﾞﾝﾛｯﾌﾟ</v>
          </cell>
          <cell r="V193" t="str">
            <v>54</v>
          </cell>
        </row>
        <row r="194">
          <cell r="B194" t="str">
            <v>2103</v>
          </cell>
          <cell r="C194" t="str">
            <v>#</v>
          </cell>
          <cell r="D194" t="str">
            <v>東洋ゴム工業(株)</v>
          </cell>
          <cell r="F194" t="str">
            <v>取締役社長</v>
          </cell>
          <cell r="G194" t="str">
            <v>片山  松造</v>
          </cell>
          <cell r="H194">
            <v>6789</v>
          </cell>
          <cell r="I194">
            <v>4201</v>
          </cell>
          <cell r="J194" t="str">
            <v>550</v>
          </cell>
          <cell r="K194" t="str">
            <v>大阪市西区江戸堀1-17-18</v>
          </cell>
          <cell r="L194" t="str">
            <v xml:space="preserve"> </v>
          </cell>
          <cell r="M194" t="str">
            <v xml:space="preserve">06-441-8801 </v>
          </cell>
          <cell r="N194" t="str">
            <v>/</v>
          </cell>
          <cell r="O194" t="str">
            <v>ﾀｲﾔ､空気ﾊﾞﾈ</v>
          </cell>
          <cell r="Q194" t="str">
            <v>◎</v>
          </cell>
          <cell r="R194" t="str">
            <v>□</v>
          </cell>
          <cell r="S194" t="str">
            <v>☆</v>
          </cell>
          <cell r="T194" t="str">
            <v>ﾄｳﾖｳｺﾞﾑｺｳｷﾞｮｳ</v>
          </cell>
          <cell r="V194" t="str">
            <v>54</v>
          </cell>
        </row>
        <row r="195">
          <cell r="B195" t="str">
            <v>2103</v>
          </cell>
          <cell r="C195" t="str">
            <v>A</v>
          </cell>
          <cell r="D195" t="str">
            <v>東洋ゴム工業(株)</v>
          </cell>
          <cell r="E195" t="str">
            <v>東京本社</v>
          </cell>
          <cell r="J195" t="str">
            <v>171</v>
          </cell>
          <cell r="K195" t="str">
            <v>豊島区高田2-17-22</v>
          </cell>
          <cell r="L195" t="str">
            <v>目白中野ビル</v>
          </cell>
          <cell r="M195" t="str">
            <v>03-5955-1203</v>
          </cell>
          <cell r="N195" t="str">
            <v>/5955-1251</v>
          </cell>
          <cell r="O195" t="str">
            <v>ﾀｲﾔ､空気ﾊﾞﾈ</v>
          </cell>
          <cell r="Q195" t="str">
            <v xml:space="preserve"> </v>
          </cell>
          <cell r="T195" t="str">
            <v>ﾄｳﾖｳｺﾞﾑｺｳｷﾞｮｳ</v>
          </cell>
          <cell r="V195" t="str">
            <v>54</v>
          </cell>
        </row>
        <row r="196">
          <cell r="B196" t="str">
            <v>2105</v>
          </cell>
          <cell r="C196" t="str">
            <v>#</v>
          </cell>
          <cell r="D196" t="str">
            <v>日本ｸﾞｯﾄﾞｲﾔｰ(株)</v>
          </cell>
          <cell r="F196" t="str">
            <v>代表取締役社長</v>
          </cell>
          <cell r="G196" t="str">
            <v>ｽﾃﾌｧﾝ･D･</v>
          </cell>
          <cell r="H196">
            <v>1536</v>
          </cell>
          <cell r="I196">
            <v>400</v>
          </cell>
          <cell r="J196" t="str">
            <v>107</v>
          </cell>
          <cell r="K196" t="str">
            <v>港区赤坂1-9-13</v>
          </cell>
          <cell r="L196" t="str">
            <v>三会堂ビル</v>
          </cell>
          <cell r="M196" t="str">
            <v>03-5572-7432</v>
          </cell>
          <cell r="N196" t="str">
            <v>/3582-1877</v>
          </cell>
          <cell r="O196" t="str">
            <v>ﾀｲﾔ</v>
          </cell>
          <cell r="Q196" t="str">
            <v>◎</v>
          </cell>
          <cell r="R196" t="str">
            <v>□</v>
          </cell>
          <cell r="T196" t="str">
            <v>ﾆﾎﾝｸﾞｯﾄﾞｲﾔｰ</v>
          </cell>
          <cell r="V196" t="str">
            <v>54</v>
          </cell>
        </row>
        <row r="197">
          <cell r="B197" t="str">
            <v>2105</v>
          </cell>
          <cell r="C197" t="str">
            <v>##</v>
          </cell>
          <cell r="D197" t="str">
            <v>日本ｸﾞｯﾄﾞｲﾔｰ(株)</v>
          </cell>
          <cell r="G197" t="str">
            <v xml:space="preserve">    ﾏｸﾄﾞﾅﾙﾄﾞ</v>
          </cell>
          <cell r="K197" t="str">
            <v xml:space="preserve"> </v>
          </cell>
          <cell r="L197" t="str">
            <v xml:space="preserve"> </v>
          </cell>
          <cell r="T197" t="str">
            <v>ﾆﾎﾝｸﾞｯﾄﾞｲﾔｰ</v>
          </cell>
          <cell r="V197" t="str">
            <v>54</v>
          </cell>
        </row>
        <row r="198">
          <cell r="B198" t="str">
            <v>2106</v>
          </cell>
          <cell r="C198" t="str">
            <v>#</v>
          </cell>
          <cell r="D198" t="str">
            <v>オーツタイヤ(株)</v>
          </cell>
          <cell r="F198" t="str">
            <v>取締役社長</v>
          </cell>
          <cell r="G198" t="str">
            <v>上村  寛一</v>
          </cell>
          <cell r="H198">
            <v>4187</v>
          </cell>
          <cell r="I198">
            <v>1990</v>
          </cell>
          <cell r="J198" t="str">
            <v>595</v>
          </cell>
          <cell r="K198" t="str">
            <v>泉大津市河原町9-1</v>
          </cell>
          <cell r="L198" t="str">
            <v xml:space="preserve"> </v>
          </cell>
          <cell r="M198" t="str">
            <v>0725-21-1111</v>
          </cell>
          <cell r="N198" t="str">
            <v>/21-1112</v>
          </cell>
          <cell r="O198" t="str">
            <v>自動車ﾀｲﾔ･ﾁｭｰﾌﾞ</v>
          </cell>
          <cell r="Q198" t="str">
            <v>◎</v>
          </cell>
          <cell r="R198" t="str">
            <v>□</v>
          </cell>
          <cell r="S198" t="str">
            <v>☆</v>
          </cell>
          <cell r="T198" t="str">
            <v>ｵｰﾂﾀｲﾔ</v>
          </cell>
          <cell r="V198" t="str">
            <v>54</v>
          </cell>
        </row>
        <row r="199">
          <cell r="B199" t="str">
            <v>2106</v>
          </cell>
          <cell r="C199" t="str">
            <v>A</v>
          </cell>
          <cell r="D199" t="str">
            <v>オーツタイヤ(株)</v>
          </cell>
          <cell r="E199" t="str">
            <v>東京営業所</v>
          </cell>
          <cell r="J199" t="str">
            <v>108</v>
          </cell>
          <cell r="K199" t="str">
            <v>港区海岸3-18-1</v>
          </cell>
          <cell r="L199" t="str">
            <v>ﾋﾟｱｼﾃｨ芝浦ﾋﾞﾙ10F</v>
          </cell>
          <cell r="M199" t="str">
            <v>03-5442-0221</v>
          </cell>
          <cell r="N199" t="str">
            <v>/5442-0360</v>
          </cell>
          <cell r="O199" t="str">
            <v>ﾀｲﾔ</v>
          </cell>
          <cell r="Q199" t="str">
            <v xml:space="preserve"> </v>
          </cell>
          <cell r="T199" t="str">
            <v>ｵｰﾂﾀｲﾔ</v>
          </cell>
          <cell r="V199" t="str">
            <v>54</v>
          </cell>
        </row>
        <row r="200">
          <cell r="B200" t="str">
            <v>2108</v>
          </cell>
          <cell r="C200" t="str">
            <v>#</v>
          </cell>
          <cell r="D200" t="str">
            <v>日本ﾐｼｭﾗﾝﾀｲﾔ(株)</v>
          </cell>
          <cell r="F200" t="str">
            <v>代表取締役社長</v>
          </cell>
          <cell r="G200" t="str">
            <v>P.ﾌｧﾍﾞｰﾙ</v>
          </cell>
          <cell r="H200">
            <v>50</v>
          </cell>
          <cell r="I200">
            <v>72</v>
          </cell>
          <cell r="J200" t="str">
            <v>102</v>
          </cell>
          <cell r="K200" t="str">
            <v>千代田区富士見1-6-1</v>
          </cell>
          <cell r="L200" t="str">
            <v>富士見ビル</v>
          </cell>
          <cell r="M200" t="str">
            <v>03-5210-2733</v>
          </cell>
          <cell r="N200" t="str">
            <v>/5210-2703</v>
          </cell>
          <cell r="O200" t="str">
            <v>ﾀｲﾔ</v>
          </cell>
          <cell r="Q200" t="str">
            <v>◎</v>
          </cell>
          <cell r="R200" t="str">
            <v>□</v>
          </cell>
          <cell r="S200" t="str">
            <v>☆</v>
          </cell>
          <cell r="T200" t="str">
            <v>ﾆﾎﾝﾐｼｭﾗﾝﾀｲﾔ</v>
          </cell>
          <cell r="V200" t="str">
            <v>54</v>
          </cell>
        </row>
        <row r="201">
          <cell r="B201" t="str">
            <v>2200</v>
          </cell>
          <cell r="C201" t="str">
            <v>#</v>
          </cell>
          <cell r="D201" t="str">
            <v>日本精工(株)</v>
          </cell>
          <cell r="F201" t="str">
            <v>取締役社長</v>
          </cell>
          <cell r="G201" t="str">
            <v>関谷  哲夫</v>
          </cell>
          <cell r="H201">
            <v>67015</v>
          </cell>
          <cell r="I201">
            <v>9600</v>
          </cell>
          <cell r="J201" t="str">
            <v>141</v>
          </cell>
          <cell r="K201" t="str">
            <v>品川区大崎1-6-3</v>
          </cell>
          <cell r="L201" t="str">
            <v>日精ビル</v>
          </cell>
          <cell r="M201" t="str">
            <v>03-3779-7111</v>
          </cell>
          <cell r="N201" t="str">
            <v>/</v>
          </cell>
          <cell r="O201" t="str">
            <v>ベアリング</v>
          </cell>
          <cell r="Q201" t="str">
            <v>◎</v>
          </cell>
          <cell r="R201" t="str">
            <v>□</v>
          </cell>
          <cell r="S201" t="str">
            <v>☆</v>
          </cell>
          <cell r="T201" t="str">
            <v>ﾆﾎﾝｾｲｺｳ</v>
          </cell>
          <cell r="V201" t="str">
            <v>54</v>
          </cell>
        </row>
        <row r="202">
          <cell r="B202" t="str">
            <v>2200</v>
          </cell>
          <cell r="C202" t="str">
            <v>A</v>
          </cell>
          <cell r="D202" t="str">
            <v>日本精工(株)</v>
          </cell>
          <cell r="E202" t="str">
            <v>東日本自動車</v>
          </cell>
          <cell r="F202" t="str">
            <v>部長</v>
          </cell>
          <cell r="G202" t="str">
            <v>湯浅  修二</v>
          </cell>
          <cell r="J202" t="str">
            <v>141</v>
          </cell>
          <cell r="K202" t="str">
            <v>品川区大崎1-6-3</v>
          </cell>
          <cell r="L202" t="str">
            <v>日精ビル</v>
          </cell>
          <cell r="M202" t="str">
            <v>03-3779-7371</v>
          </cell>
          <cell r="N202" t="str">
            <v>/3779-7439</v>
          </cell>
          <cell r="O202" t="str">
            <v>ｽﾃｱﾘﾝｸﾞ</v>
          </cell>
          <cell r="Q202" t="str">
            <v xml:space="preserve"> </v>
          </cell>
          <cell r="T202" t="str">
            <v>ﾆﾎﾝｾｲｺｳ</v>
          </cell>
          <cell r="V202" t="str">
            <v>54</v>
          </cell>
        </row>
        <row r="203">
          <cell r="B203" t="str">
            <v>2200</v>
          </cell>
          <cell r="C203" t="str">
            <v>C</v>
          </cell>
          <cell r="D203" t="str">
            <v>日本精工(株)</v>
          </cell>
          <cell r="E203" t="str">
            <v>藤沢工場</v>
          </cell>
          <cell r="J203" t="str">
            <v>251</v>
          </cell>
          <cell r="K203" t="str">
            <v>藤沢市鵠沼神明1-5-50</v>
          </cell>
          <cell r="L203" t="str">
            <v xml:space="preserve"> </v>
          </cell>
          <cell r="M203" t="str">
            <v>0466-26-1141</v>
          </cell>
          <cell r="N203" t="str">
            <v>/</v>
          </cell>
          <cell r="O203" t="str">
            <v>ﾍﾞｱﾘﾝｸﾞ</v>
          </cell>
          <cell r="Q203" t="str">
            <v xml:space="preserve"> </v>
          </cell>
          <cell r="T203" t="str">
            <v>ﾆﾎﾝｾｲｺｳ</v>
          </cell>
          <cell r="V203" t="str">
            <v>54</v>
          </cell>
        </row>
        <row r="204">
          <cell r="B204" t="str">
            <v>2200</v>
          </cell>
          <cell r="C204" t="str">
            <v>D</v>
          </cell>
          <cell r="D204" t="str">
            <v>日本精工(株)</v>
          </cell>
          <cell r="E204" t="str">
            <v>多摩川工場</v>
          </cell>
          <cell r="J204" t="str">
            <v>146</v>
          </cell>
          <cell r="K204" t="str">
            <v>大田区下丸子2-12-8</v>
          </cell>
          <cell r="L204" t="str">
            <v xml:space="preserve"> </v>
          </cell>
          <cell r="M204" t="str">
            <v>03-3759-1151</v>
          </cell>
          <cell r="N204" t="str">
            <v>/</v>
          </cell>
          <cell r="Q204" t="str">
            <v xml:space="preserve"> </v>
          </cell>
          <cell r="T204" t="str">
            <v>ﾆﾎﾝｾｲｺｳ</v>
          </cell>
          <cell r="V204" t="str">
            <v>54</v>
          </cell>
        </row>
        <row r="205">
          <cell r="B205" t="str">
            <v>2200</v>
          </cell>
          <cell r="C205" t="str">
            <v>E</v>
          </cell>
          <cell r="D205" t="str">
            <v>日本精工(株)</v>
          </cell>
          <cell r="E205" t="str">
            <v>大津工場</v>
          </cell>
          <cell r="J205" t="str">
            <v>520</v>
          </cell>
          <cell r="K205" t="str">
            <v>大津市晴嵐1-16-1</v>
          </cell>
          <cell r="L205" t="str">
            <v xml:space="preserve"> </v>
          </cell>
          <cell r="M205" t="str">
            <v>0775-37-1600</v>
          </cell>
          <cell r="N205" t="str">
            <v>/</v>
          </cell>
          <cell r="Q205" t="str">
            <v xml:space="preserve"> </v>
          </cell>
          <cell r="T205" t="str">
            <v>ﾆﾎﾝｾｲｺｳ</v>
          </cell>
          <cell r="V205" t="str">
            <v>54</v>
          </cell>
        </row>
        <row r="206">
          <cell r="B206" t="str">
            <v>2200</v>
          </cell>
          <cell r="C206" t="str">
            <v>F</v>
          </cell>
          <cell r="D206" t="str">
            <v>日本精工(株)</v>
          </cell>
          <cell r="E206" t="str">
            <v>前橋工場</v>
          </cell>
          <cell r="J206" t="str">
            <v>371</v>
          </cell>
          <cell r="K206" t="str">
            <v>前橋市鳥羽町78</v>
          </cell>
          <cell r="L206" t="str">
            <v xml:space="preserve"> </v>
          </cell>
          <cell r="M206" t="str">
            <v>0272-51-1511</v>
          </cell>
          <cell r="N206" t="str">
            <v>/</v>
          </cell>
          <cell r="Q206" t="str">
            <v xml:space="preserve"> </v>
          </cell>
          <cell r="T206" t="str">
            <v>ﾆﾎﾝｾｲｺｳ</v>
          </cell>
          <cell r="V206" t="str">
            <v>54</v>
          </cell>
        </row>
        <row r="207">
          <cell r="B207" t="str">
            <v>2201</v>
          </cell>
          <cell r="C207" t="str">
            <v>#</v>
          </cell>
          <cell r="D207" t="str">
            <v>光洋精工(株)</v>
          </cell>
          <cell r="F207" t="str">
            <v>取締役社長</v>
          </cell>
          <cell r="G207" t="str">
            <v>井上  博司</v>
          </cell>
          <cell r="H207">
            <v>25889</v>
          </cell>
          <cell r="I207">
            <v>5372</v>
          </cell>
          <cell r="J207" t="str">
            <v>542</v>
          </cell>
          <cell r="K207" t="str">
            <v>大阪市中央区南船場3-5-8</v>
          </cell>
          <cell r="L207" t="str">
            <v xml:space="preserve"> </v>
          </cell>
          <cell r="M207" t="str">
            <v xml:space="preserve">06-271-8451 </v>
          </cell>
          <cell r="N207" t="str">
            <v>/</v>
          </cell>
          <cell r="O207" t="str">
            <v>ベアリング</v>
          </cell>
          <cell r="Q207" t="str">
            <v>◎</v>
          </cell>
          <cell r="R207" t="str">
            <v>□</v>
          </cell>
          <cell r="S207" t="str">
            <v>☆</v>
          </cell>
          <cell r="T207" t="str">
            <v>ｺｳﾖｳｾｲｺｳ</v>
          </cell>
          <cell r="V207" t="str">
            <v>54</v>
          </cell>
        </row>
        <row r="208">
          <cell r="B208" t="str">
            <v>2201</v>
          </cell>
          <cell r="C208" t="str">
            <v>A</v>
          </cell>
          <cell r="D208" t="str">
            <v>光洋精工(株)</v>
          </cell>
          <cell r="E208" t="str">
            <v>国内営業本部</v>
          </cell>
          <cell r="F208" t="str">
            <v>常務取締役</v>
          </cell>
          <cell r="G208" t="str">
            <v>森下  文雄</v>
          </cell>
          <cell r="J208" t="str">
            <v>104</v>
          </cell>
          <cell r="K208" t="str">
            <v>中央区銀座7-11-15</v>
          </cell>
          <cell r="L208" t="str">
            <v xml:space="preserve"> </v>
          </cell>
          <cell r="M208" t="str">
            <v>03-3572-4238</v>
          </cell>
          <cell r="N208" t="str">
            <v>/3573-1480</v>
          </cell>
          <cell r="O208" t="str">
            <v>ｽﾃｱﾘﾝｸﾞ</v>
          </cell>
          <cell r="Q208" t="str">
            <v xml:space="preserve"> </v>
          </cell>
          <cell r="T208" t="str">
            <v>ｺｳﾖｳｾｲｺｳ</v>
          </cell>
          <cell r="V208" t="str">
            <v>54</v>
          </cell>
        </row>
        <row r="209">
          <cell r="B209" t="str">
            <v>2201</v>
          </cell>
          <cell r="C209" t="str">
            <v>C</v>
          </cell>
          <cell r="D209" t="str">
            <v>光洋精工(株)</v>
          </cell>
          <cell r="E209" t="str">
            <v>国分工場</v>
          </cell>
          <cell r="J209" t="str">
            <v>582</v>
          </cell>
          <cell r="K209" t="str">
            <v>柏原市国分東条町24-1</v>
          </cell>
          <cell r="L209" t="str">
            <v xml:space="preserve"> </v>
          </cell>
          <cell r="M209" t="str">
            <v>0729-77-1111</v>
          </cell>
          <cell r="N209" t="str">
            <v>/</v>
          </cell>
          <cell r="O209" t="str">
            <v>ﾍﾞｱﾘﾝｸﾞ</v>
          </cell>
          <cell r="Q209" t="str">
            <v xml:space="preserve"> </v>
          </cell>
          <cell r="T209" t="str">
            <v>ｺｳﾖｳｾｲｺｳ</v>
          </cell>
          <cell r="V209" t="str">
            <v>54</v>
          </cell>
        </row>
        <row r="210">
          <cell r="B210" t="str">
            <v>2201</v>
          </cell>
          <cell r="C210" t="str">
            <v>D</v>
          </cell>
          <cell r="D210" t="str">
            <v>光洋精工(株)</v>
          </cell>
          <cell r="E210" t="str">
            <v>徳島工場</v>
          </cell>
          <cell r="J210" t="str">
            <v>771-12</v>
          </cell>
          <cell r="K210" t="str">
            <v>徳島県板野郡藍住町奥野山畑</v>
          </cell>
          <cell r="L210" t="str">
            <v>1</v>
          </cell>
          <cell r="M210" t="str">
            <v>0886-92-3111</v>
          </cell>
          <cell r="N210" t="str">
            <v>/</v>
          </cell>
          <cell r="O210" t="str">
            <v>ｵｲﾙｼｰﾙ</v>
          </cell>
          <cell r="Q210" t="str">
            <v xml:space="preserve"> </v>
          </cell>
          <cell r="T210" t="str">
            <v>ｺｳﾖｳｾｲｺｳ</v>
          </cell>
          <cell r="V210" t="str">
            <v>54</v>
          </cell>
        </row>
        <row r="211">
          <cell r="B211" t="str">
            <v>2201</v>
          </cell>
          <cell r="C211" t="str">
            <v>E</v>
          </cell>
          <cell r="D211" t="str">
            <v>光洋精工(株)</v>
          </cell>
          <cell r="E211" t="str">
            <v>香川工場</v>
          </cell>
          <cell r="J211" t="str">
            <v>769-29</v>
          </cell>
          <cell r="K211" t="str">
            <v>香川県大川郡引田町馬宿515-</v>
          </cell>
          <cell r="L211" t="str">
            <v>1</v>
          </cell>
          <cell r="M211" t="str">
            <v>0879-33-5511</v>
          </cell>
          <cell r="N211" t="str">
            <v>/</v>
          </cell>
          <cell r="Q211" t="str">
            <v xml:space="preserve"> </v>
          </cell>
          <cell r="T211" t="str">
            <v>ｺｳﾖｳｾｲｺｳ</v>
          </cell>
          <cell r="V211" t="str">
            <v>54</v>
          </cell>
        </row>
        <row r="212">
          <cell r="B212" t="str">
            <v>2201</v>
          </cell>
          <cell r="C212" t="str">
            <v>F</v>
          </cell>
          <cell r="D212" t="str">
            <v>光洋精工(株)</v>
          </cell>
          <cell r="E212" t="str">
            <v>東京工場</v>
          </cell>
          <cell r="J212" t="str">
            <v>205</v>
          </cell>
          <cell r="K212" t="str">
            <v>東京都羽村市栄町3-5-1</v>
          </cell>
          <cell r="L212" t="str">
            <v xml:space="preserve"> </v>
          </cell>
          <cell r="M212" t="str">
            <v>0425-54-1111</v>
          </cell>
          <cell r="N212" t="str">
            <v>/</v>
          </cell>
          <cell r="Q212" t="str">
            <v xml:space="preserve"> </v>
          </cell>
          <cell r="T212" t="str">
            <v>ｺｳﾖｳｾｲｺｳ</v>
          </cell>
          <cell r="V212" t="str">
            <v>54</v>
          </cell>
        </row>
        <row r="213">
          <cell r="B213" t="str">
            <v>2205</v>
          </cell>
          <cell r="C213" t="str">
            <v>#</v>
          </cell>
          <cell r="D213" t="str">
            <v>福田交易(株)</v>
          </cell>
          <cell r="F213" t="str">
            <v>代表取締役社長</v>
          </cell>
          <cell r="G213" t="str">
            <v>浅川　和弘</v>
          </cell>
          <cell r="H213">
            <v>240</v>
          </cell>
          <cell r="I213">
            <v>130</v>
          </cell>
          <cell r="J213" t="str">
            <v>104</v>
          </cell>
          <cell r="K213" t="str">
            <v>中央区明石町11-2</v>
          </cell>
          <cell r="L213" t="str">
            <v xml:space="preserve"> </v>
          </cell>
          <cell r="M213" t="str">
            <v>03-5565-6814</v>
          </cell>
          <cell r="N213" t="str">
            <v>/5565-6816</v>
          </cell>
          <cell r="O213" t="str">
            <v>ベアリング</v>
          </cell>
          <cell r="Q213" t="str">
            <v xml:space="preserve"> </v>
          </cell>
          <cell r="R213" t="str">
            <v>□</v>
          </cell>
          <cell r="T213" t="str">
            <v>ﾌｸﾀﾞｺｳｴｷ</v>
          </cell>
          <cell r="V213" t="str">
            <v>30</v>
          </cell>
        </row>
        <row r="214">
          <cell r="B214" t="str">
            <v>2207</v>
          </cell>
          <cell r="C214" t="str">
            <v>#</v>
          </cell>
          <cell r="D214" t="str">
            <v>(株)不二越</v>
          </cell>
          <cell r="F214" t="str">
            <v>取締役社長</v>
          </cell>
          <cell r="G214" t="str">
            <v>本多  正道</v>
          </cell>
          <cell r="H214">
            <v>13346</v>
          </cell>
          <cell r="I214">
            <v>5032</v>
          </cell>
          <cell r="J214" t="str">
            <v>930</v>
          </cell>
          <cell r="K214" t="str">
            <v>富山市石金20</v>
          </cell>
          <cell r="L214" t="str">
            <v xml:space="preserve"> </v>
          </cell>
          <cell r="M214" t="str">
            <v>0764-23-5111</v>
          </cell>
          <cell r="N214" t="str">
            <v>/</v>
          </cell>
          <cell r="O214" t="str">
            <v>ベアリング</v>
          </cell>
          <cell r="Q214" t="str">
            <v>◎</v>
          </cell>
          <cell r="R214" t="str">
            <v>□</v>
          </cell>
          <cell r="S214" t="str">
            <v>☆</v>
          </cell>
          <cell r="T214" t="str">
            <v>ﾌｼﾞｺｼ</v>
          </cell>
          <cell r="V214" t="str">
            <v>54</v>
          </cell>
        </row>
        <row r="215">
          <cell r="B215" t="str">
            <v>2207</v>
          </cell>
          <cell r="C215" t="str">
            <v>A</v>
          </cell>
          <cell r="D215" t="str">
            <v>(株)不二越</v>
          </cell>
          <cell r="E215" t="str">
            <v>東京支店</v>
          </cell>
          <cell r="F215" t="str">
            <v>常務取締役</v>
          </cell>
          <cell r="G215" t="str">
            <v>魚谷  正彦</v>
          </cell>
          <cell r="J215" t="str">
            <v>144</v>
          </cell>
          <cell r="K215" t="str">
            <v>大田区蒲田5-13-23</v>
          </cell>
          <cell r="L215" t="str">
            <v>蒲田ｼﾃｨﾋﾞﾙ3階</v>
          </cell>
          <cell r="M215" t="str">
            <v>03-5710-4131</v>
          </cell>
          <cell r="N215" t="str">
            <v>/5710-4100</v>
          </cell>
          <cell r="O215" t="str">
            <v>ベアリング</v>
          </cell>
          <cell r="Q215" t="str">
            <v xml:space="preserve"> </v>
          </cell>
          <cell r="T215" t="str">
            <v>ﾌｼﾞｺｼ</v>
          </cell>
          <cell r="V215" t="str">
            <v>54</v>
          </cell>
        </row>
        <row r="216">
          <cell r="B216" t="str">
            <v>2209</v>
          </cell>
          <cell r="C216" t="str">
            <v>#</v>
          </cell>
          <cell r="D216" t="str">
            <v>ＮＴＮ(株)</v>
          </cell>
          <cell r="F216" t="str">
            <v>代表取締役社長</v>
          </cell>
          <cell r="G216" t="str">
            <v>伊藤  豊章</v>
          </cell>
          <cell r="H216">
            <v>39599</v>
          </cell>
          <cell r="I216">
            <v>6177</v>
          </cell>
          <cell r="J216" t="str">
            <v>550</v>
          </cell>
          <cell r="K216" t="str">
            <v>大阪市西区京町掘1-3-17</v>
          </cell>
          <cell r="L216" t="str">
            <v xml:space="preserve"> </v>
          </cell>
          <cell r="M216" t="str">
            <v xml:space="preserve">06-443-5001 </v>
          </cell>
          <cell r="N216" t="str">
            <v>/</v>
          </cell>
          <cell r="O216" t="str">
            <v>ベアリング</v>
          </cell>
          <cell r="Q216" t="str">
            <v>◎</v>
          </cell>
          <cell r="R216" t="str">
            <v>□</v>
          </cell>
          <cell r="S216" t="str">
            <v>☆</v>
          </cell>
          <cell r="T216" t="str">
            <v>ｴﾇﾃｨｰｴﾇ</v>
          </cell>
          <cell r="V216" t="str">
            <v>54</v>
          </cell>
        </row>
        <row r="217">
          <cell r="B217" t="str">
            <v>2209</v>
          </cell>
          <cell r="C217" t="str">
            <v>A</v>
          </cell>
          <cell r="D217" t="str">
            <v>ＮＴＮ(株)</v>
          </cell>
          <cell r="E217" t="str">
            <v>営業本部</v>
          </cell>
          <cell r="F217" t="str">
            <v>常務取締役</v>
          </cell>
          <cell r="G217" t="str">
            <v>瀧口  渉</v>
          </cell>
          <cell r="J217" t="str">
            <v>141</v>
          </cell>
          <cell r="K217" t="str">
            <v>品川区西五反田7-22-17</v>
          </cell>
          <cell r="L217" t="str">
            <v>T.O.C.ビル</v>
          </cell>
          <cell r="M217" t="str">
            <v>03-5487-2846</v>
          </cell>
          <cell r="N217" t="str">
            <v>/5487-2941</v>
          </cell>
          <cell r="O217" t="str">
            <v>ベアリング</v>
          </cell>
          <cell r="Q217" t="str">
            <v xml:space="preserve"> </v>
          </cell>
          <cell r="T217" t="str">
            <v>ｴﾇﾃｨｰｴﾇ</v>
          </cell>
          <cell r="V217" t="str">
            <v>54</v>
          </cell>
        </row>
        <row r="218">
          <cell r="B218" t="str">
            <v>2211</v>
          </cell>
          <cell r="C218" t="str">
            <v>#</v>
          </cell>
          <cell r="D218" t="str">
            <v>中央精工(株)</v>
          </cell>
          <cell r="F218" t="str">
            <v>代表取締役社長</v>
          </cell>
          <cell r="G218" t="str">
            <v>室田　昭三</v>
          </cell>
          <cell r="H218">
            <v>40</v>
          </cell>
          <cell r="I218">
            <v>127</v>
          </cell>
          <cell r="J218" t="str">
            <v>105</v>
          </cell>
          <cell r="K218" t="str">
            <v>港区浜松町1-9-9</v>
          </cell>
          <cell r="L218" t="str">
            <v xml:space="preserve"> </v>
          </cell>
          <cell r="M218" t="str">
            <v>03-3436-1151</v>
          </cell>
          <cell r="N218" t="str">
            <v>/5710-4100</v>
          </cell>
          <cell r="O218" t="str">
            <v>ベアリング</v>
          </cell>
          <cell r="Q218" t="str">
            <v xml:space="preserve"> </v>
          </cell>
          <cell r="R218" t="str">
            <v>□</v>
          </cell>
          <cell r="T218" t="str">
            <v>ﾁｭｳｵｳｾｲｺｳ</v>
          </cell>
          <cell r="V218" t="str">
            <v>30</v>
          </cell>
        </row>
        <row r="219">
          <cell r="B219" t="str">
            <v>2211</v>
          </cell>
          <cell r="C219" t="str">
            <v>A</v>
          </cell>
          <cell r="D219" t="str">
            <v>中央精工(株)</v>
          </cell>
          <cell r="E219" t="str">
            <v>厚木営業部</v>
          </cell>
          <cell r="F219" t="str">
            <v>所長</v>
          </cell>
          <cell r="G219" t="str">
            <v xml:space="preserve"> 関   一敏</v>
          </cell>
          <cell r="J219" t="str">
            <v>243</v>
          </cell>
          <cell r="K219" t="str">
            <v>厚木市岡田4-27-21</v>
          </cell>
          <cell r="L219" t="str">
            <v>本間ビル3F</v>
          </cell>
          <cell r="M219" t="str">
            <v>0462-29-7331</v>
          </cell>
          <cell r="N219" t="str">
            <v>/29-7141</v>
          </cell>
          <cell r="O219" t="str">
            <v>ベアリング</v>
          </cell>
          <cell r="Q219" t="str">
            <v xml:space="preserve"> </v>
          </cell>
          <cell r="T219" t="str">
            <v>ﾁｭｳｵｳｾｲｺｳ</v>
          </cell>
          <cell r="V219" t="str">
            <v>30</v>
          </cell>
        </row>
        <row r="220">
          <cell r="B220" t="str">
            <v>2212</v>
          </cell>
          <cell r="C220" t="str">
            <v>#</v>
          </cell>
          <cell r="D220" t="str">
            <v>エヌデーシー(株)</v>
          </cell>
          <cell r="F220" t="str">
            <v>取締役社長</v>
          </cell>
          <cell r="G220" t="str">
            <v>鶴田  孝</v>
          </cell>
          <cell r="H220">
            <v>1575</v>
          </cell>
          <cell r="I220">
            <v>740</v>
          </cell>
          <cell r="J220" t="str">
            <v>275</v>
          </cell>
          <cell r="K220" t="str">
            <v>習志野市実籾町1-687</v>
          </cell>
          <cell r="L220" t="str">
            <v xml:space="preserve"> </v>
          </cell>
          <cell r="M220" t="str">
            <v>0474-78-5521</v>
          </cell>
          <cell r="N220" t="str">
            <v>/78-4558</v>
          </cell>
          <cell r="O220" t="str">
            <v>ベアリングブッシュ</v>
          </cell>
          <cell r="Q220" t="str">
            <v xml:space="preserve"> </v>
          </cell>
          <cell r="R220" t="str">
            <v>□</v>
          </cell>
          <cell r="S220" t="str">
            <v>☆</v>
          </cell>
          <cell r="T220" t="str">
            <v>ｴﾇﾃﾞｰｼｰ</v>
          </cell>
          <cell r="V220" t="str">
            <v>51</v>
          </cell>
        </row>
        <row r="221">
          <cell r="B221" t="str">
            <v>2213</v>
          </cell>
          <cell r="C221" t="str">
            <v>#</v>
          </cell>
          <cell r="D221" t="str">
            <v>日本トムソン(株)</v>
          </cell>
          <cell r="F221" t="str">
            <v>代表取締役社長</v>
          </cell>
          <cell r="G221" t="str">
            <v>境    成雄</v>
          </cell>
          <cell r="H221">
            <v>3618</v>
          </cell>
          <cell r="I221">
            <v>662</v>
          </cell>
          <cell r="J221" t="str">
            <v>108</v>
          </cell>
          <cell r="K221" t="str">
            <v>港区高輪2-19-19</v>
          </cell>
          <cell r="L221" t="str">
            <v xml:space="preserve"> </v>
          </cell>
          <cell r="M221" t="str">
            <v>03-3448-5931</v>
          </cell>
          <cell r="N221" t="str">
            <v>/3449-4589</v>
          </cell>
          <cell r="O221" t="str">
            <v>ロッドエンド</v>
          </cell>
          <cell r="Q221" t="str">
            <v>◎</v>
          </cell>
          <cell r="R221" t="str">
            <v>□</v>
          </cell>
          <cell r="T221" t="str">
            <v>ﾆﾎﾝﾄﾑｿﾝ</v>
          </cell>
          <cell r="V221" t="str">
            <v>64</v>
          </cell>
        </row>
        <row r="222">
          <cell r="B222" t="str">
            <v>2300</v>
          </cell>
          <cell r="C222" t="str">
            <v>#</v>
          </cell>
          <cell r="D222" t="str">
            <v>古河電池(株)</v>
          </cell>
          <cell r="F222" t="str">
            <v>取締役社長</v>
          </cell>
          <cell r="G222" t="str">
            <v>北島  正和</v>
          </cell>
          <cell r="H222">
            <v>1485</v>
          </cell>
          <cell r="I222">
            <v>1071</v>
          </cell>
          <cell r="J222" t="str">
            <v>240</v>
          </cell>
          <cell r="K222" t="str">
            <v>横浜市保土ヶ谷区星川2-4-1</v>
          </cell>
          <cell r="L222" t="str">
            <v xml:space="preserve"> </v>
          </cell>
          <cell r="M222" t="str">
            <v>045-336-5000</v>
          </cell>
          <cell r="N222" t="str">
            <v>/</v>
          </cell>
          <cell r="O222" t="str">
            <v>ﾊﾞｯﾃﾘｰ</v>
          </cell>
          <cell r="Q222" t="str">
            <v>◎</v>
          </cell>
          <cell r="R222" t="str">
            <v>□</v>
          </cell>
          <cell r="S222" t="str">
            <v>☆</v>
          </cell>
          <cell r="T222" t="str">
            <v>ﾌﾙｶﾜﾃﾞﾝﾁ</v>
          </cell>
          <cell r="V222" t="str">
            <v>62</v>
          </cell>
        </row>
        <row r="223">
          <cell r="B223" t="str">
            <v>2300</v>
          </cell>
          <cell r="C223" t="str">
            <v>A</v>
          </cell>
          <cell r="D223" t="str">
            <v>古河電池(株)</v>
          </cell>
          <cell r="E223" t="str">
            <v>自動車電池事業部</v>
          </cell>
          <cell r="F223" t="str">
            <v>車輛営業部長</v>
          </cell>
          <cell r="G223" t="str">
            <v>荒井  邦男</v>
          </cell>
          <cell r="J223" t="str">
            <v>240</v>
          </cell>
          <cell r="K223" t="str">
            <v>横浜市保土ヶ谷区星川2-4-1</v>
          </cell>
          <cell r="L223" t="str">
            <v xml:space="preserve"> </v>
          </cell>
          <cell r="M223" t="str">
            <v>045-336-5073</v>
          </cell>
          <cell r="N223" t="str">
            <v>/333-2534</v>
          </cell>
          <cell r="O223" t="str">
            <v>ﾊﾞｯﾃﾘｰ</v>
          </cell>
          <cell r="Q223" t="str">
            <v xml:space="preserve"> </v>
          </cell>
          <cell r="T223" t="str">
            <v>ﾌﾙｶﾜﾃﾞﾝﾁ</v>
          </cell>
          <cell r="V223" t="str">
            <v>62</v>
          </cell>
        </row>
        <row r="224">
          <cell r="B224" t="str">
            <v>2301</v>
          </cell>
          <cell r="C224" t="str">
            <v>#</v>
          </cell>
          <cell r="D224" t="str">
            <v>松下電器産業(株)</v>
          </cell>
          <cell r="F224" t="str">
            <v>取締役社長</v>
          </cell>
          <cell r="G224" t="str">
            <v>森下  洋一</v>
          </cell>
          <cell r="H224">
            <v>79519</v>
          </cell>
          <cell r="I224">
            <v>37845</v>
          </cell>
          <cell r="J224" t="str">
            <v>571</v>
          </cell>
          <cell r="K224" t="str">
            <v>門真市大字門真1006</v>
          </cell>
          <cell r="L224" t="str">
            <v xml:space="preserve"> </v>
          </cell>
          <cell r="M224" t="str">
            <v xml:space="preserve">06-908-1121 </v>
          </cell>
          <cell r="N224" t="str">
            <v>/</v>
          </cell>
          <cell r="O224" t="str">
            <v>ｶｰﾗｼﾞｵ</v>
          </cell>
          <cell r="Q224" t="str">
            <v>◎</v>
          </cell>
          <cell r="R224" t="str">
            <v>□</v>
          </cell>
          <cell r="S224" t="str">
            <v>☆</v>
          </cell>
          <cell r="T224" t="str">
            <v>ﾏﾂｼﾀﾃﾞﾝｷｻﾝｷﾞｮｳ</v>
          </cell>
          <cell r="V224" t="str">
            <v>62</v>
          </cell>
        </row>
        <row r="225">
          <cell r="B225" t="str">
            <v>2301</v>
          </cell>
          <cell r="C225" t="str">
            <v>A</v>
          </cell>
          <cell r="D225" t="str">
            <v>松下電器産業(株)</v>
          </cell>
          <cell r="E225" t="str">
            <v>東京ｶ-ｴﾚｸﾄﾛﾆｸｽ営業所</v>
          </cell>
          <cell r="F225" t="str">
            <v>所長</v>
          </cell>
          <cell r="G225" t="str">
            <v>藤本  達夫</v>
          </cell>
          <cell r="J225" t="str">
            <v>105</v>
          </cell>
          <cell r="K225" t="str">
            <v>港区芝大門1-1-30</v>
          </cell>
          <cell r="L225" t="str">
            <v>ナショナル6号館</v>
          </cell>
          <cell r="M225" t="str">
            <v>03-3438-5118</v>
          </cell>
          <cell r="N225" t="str">
            <v>/3436-6932</v>
          </cell>
          <cell r="O225" t="str">
            <v>ﾊﾞｯﾃﾘｰ</v>
          </cell>
          <cell r="Q225" t="str">
            <v xml:space="preserve"> </v>
          </cell>
          <cell r="T225" t="str">
            <v>ﾏﾂｼﾀﾃﾞﾝｷｻﾝｷﾞｮｳ</v>
          </cell>
          <cell r="V225" t="str">
            <v>62</v>
          </cell>
        </row>
        <row r="226">
          <cell r="B226" t="str">
            <v>2303</v>
          </cell>
          <cell r="C226" t="str">
            <v>#</v>
          </cell>
          <cell r="D226" t="str">
            <v>日本電池(株)</v>
          </cell>
          <cell r="F226" t="str">
            <v>取締役社長</v>
          </cell>
          <cell r="G226" t="str">
            <v>根岸　茂</v>
          </cell>
          <cell r="H226">
            <v>7566</v>
          </cell>
          <cell r="I226">
            <v>2716</v>
          </cell>
          <cell r="J226" t="str">
            <v>601</v>
          </cell>
          <cell r="K226" t="str">
            <v>京都市南区吉祥院西ノ庄</v>
          </cell>
          <cell r="L226" t="str">
            <v>猪之馬場町1</v>
          </cell>
          <cell r="M226" t="str">
            <v>075-312-1211</v>
          </cell>
          <cell r="N226" t="str">
            <v>/</v>
          </cell>
          <cell r="O226" t="str">
            <v>ﾊﾞｯﾃﾘｰ</v>
          </cell>
          <cell r="Q226" t="str">
            <v>◎</v>
          </cell>
          <cell r="R226" t="str">
            <v>□</v>
          </cell>
          <cell r="S226" t="str">
            <v>☆</v>
          </cell>
          <cell r="T226" t="str">
            <v>ﾆﾎﾝﾃﾞﾝﾁ</v>
          </cell>
          <cell r="V226" t="str">
            <v>62</v>
          </cell>
        </row>
        <row r="227">
          <cell r="B227" t="str">
            <v>2303</v>
          </cell>
          <cell r="C227" t="str">
            <v>A</v>
          </cell>
          <cell r="D227" t="str">
            <v>日本電池(株)</v>
          </cell>
          <cell r="E227" t="str">
            <v>自動車電池事業部</v>
          </cell>
          <cell r="F227" t="str">
            <v>取締役部長</v>
          </cell>
          <cell r="G227" t="str">
            <v>山崎  哲夫</v>
          </cell>
          <cell r="J227" t="str">
            <v>105</v>
          </cell>
          <cell r="K227" t="str">
            <v>京都市南区吉祥院西ノ庄</v>
          </cell>
          <cell r="L227" t="str">
            <v>猪之馬場町1</v>
          </cell>
          <cell r="M227" t="str">
            <v>075-313-6597</v>
          </cell>
          <cell r="N227" t="str">
            <v>/</v>
          </cell>
          <cell r="O227" t="str">
            <v>ﾊﾞｯﾃﾘｰ</v>
          </cell>
          <cell r="Q227" t="str">
            <v xml:space="preserve"> </v>
          </cell>
          <cell r="T227" t="str">
            <v>ﾆﾎﾝﾃﾞﾝﾁ</v>
          </cell>
          <cell r="V227" t="str">
            <v>62</v>
          </cell>
        </row>
        <row r="228">
          <cell r="B228" t="str">
            <v>2303</v>
          </cell>
          <cell r="C228" t="str">
            <v>B</v>
          </cell>
          <cell r="D228" t="str">
            <v>日本電池(株)</v>
          </cell>
          <cell r="E228" t="str">
            <v>自動車電池事業部</v>
          </cell>
          <cell r="F228" t="str">
            <v>直需部長</v>
          </cell>
          <cell r="G228" t="str">
            <v>坂本  冨彦</v>
          </cell>
          <cell r="J228" t="str">
            <v>251</v>
          </cell>
          <cell r="K228" t="str">
            <v>港区西新橋1-8-1</v>
          </cell>
          <cell r="L228" t="str">
            <v xml:space="preserve"> </v>
          </cell>
          <cell r="M228" t="str">
            <v>03-3502-6542</v>
          </cell>
          <cell r="N228" t="str">
            <v>/3502-6994</v>
          </cell>
          <cell r="O228" t="str">
            <v>ﾊﾞｯﾃﾘｰ</v>
          </cell>
          <cell r="Q228" t="str">
            <v xml:space="preserve"> </v>
          </cell>
          <cell r="T228" t="str">
            <v>ﾆﾎﾝﾃﾞﾝﾁ</v>
          </cell>
          <cell r="V228" t="str">
            <v>62</v>
          </cell>
        </row>
        <row r="229">
          <cell r="B229" t="str">
            <v>2304</v>
          </cell>
          <cell r="C229" t="str">
            <v>#</v>
          </cell>
          <cell r="D229" t="str">
            <v>(株)ﾕｱｻｺｰﾎﾟﾚｰｼｮﾝ</v>
          </cell>
          <cell r="F229" t="str">
            <v>取締役社長</v>
          </cell>
          <cell r="G229" t="str">
            <v>湯淺　暉久</v>
          </cell>
          <cell r="H229">
            <v>12992</v>
          </cell>
          <cell r="I229">
            <v>2739</v>
          </cell>
          <cell r="J229" t="str">
            <v>569</v>
          </cell>
          <cell r="K229" t="str">
            <v>大阪府高槻市城西町6-6</v>
          </cell>
          <cell r="L229" t="str">
            <v/>
          </cell>
          <cell r="M229" t="str">
            <v>0726-61-9811</v>
          </cell>
          <cell r="N229" t="str">
            <v>/</v>
          </cell>
          <cell r="O229" t="str">
            <v>ﾊﾞｯﾃﾘｰ</v>
          </cell>
          <cell r="Q229" t="str">
            <v>◎</v>
          </cell>
          <cell r="R229" t="str">
            <v>□</v>
          </cell>
          <cell r="S229" t="str">
            <v>☆</v>
          </cell>
          <cell r="T229" t="str">
            <v>ﾕｱｻｺｰﾎﾟﾚｰｼｮﾝ</v>
          </cell>
          <cell r="V229" t="str">
            <v>62</v>
          </cell>
        </row>
        <row r="230">
          <cell r="B230" t="str">
            <v>2304</v>
          </cell>
          <cell r="C230" t="str">
            <v>A</v>
          </cell>
          <cell r="D230" t="str">
            <v>(株)ﾕｱｻｺｰﾎﾟﾚｰｼｮﾝ</v>
          </cell>
          <cell r="E230" t="str">
            <v>特販事業部</v>
          </cell>
          <cell r="F230" t="str">
            <v>関東営業部長</v>
          </cell>
          <cell r="G230" t="str">
            <v>藤谷  信雄</v>
          </cell>
          <cell r="J230" t="str">
            <v>140</v>
          </cell>
          <cell r="K230" t="str">
            <v>品川区大井1-47-1</v>
          </cell>
          <cell r="L230" t="str">
            <v>ＮＴビル7～9F</v>
          </cell>
          <cell r="M230" t="str">
            <v>03-5742-7816</v>
          </cell>
          <cell r="N230" t="str">
            <v>/5742-7832</v>
          </cell>
          <cell r="O230" t="str">
            <v>ﾊﾞｯﾃﾘｰ</v>
          </cell>
          <cell r="Q230" t="str">
            <v xml:space="preserve"> </v>
          </cell>
          <cell r="T230" t="str">
            <v>ﾕｱｻｺｰﾎﾟﾚｰｼｮﾝ</v>
          </cell>
          <cell r="V230" t="str">
            <v>62</v>
          </cell>
        </row>
        <row r="231">
          <cell r="B231" t="str">
            <v>2305</v>
          </cell>
          <cell r="C231" t="str">
            <v>#</v>
          </cell>
          <cell r="D231" t="str">
            <v>新神戸電機(株)</v>
          </cell>
          <cell r="F231" t="str">
            <v>代表取締役社長</v>
          </cell>
          <cell r="G231" t="str">
            <v>中川  武寿</v>
          </cell>
          <cell r="H231">
            <v>2475</v>
          </cell>
          <cell r="I231">
            <v>1275</v>
          </cell>
          <cell r="J231" t="str">
            <v>103</v>
          </cell>
          <cell r="K231" t="str">
            <v>中央区日本橋本町2-8-7</v>
          </cell>
          <cell r="L231" t="str">
            <v>ｵｰ.ｼﾞｰ東京ビル</v>
          </cell>
          <cell r="M231" t="str">
            <v>03-5695-6115</v>
          </cell>
          <cell r="N231" t="str">
            <v>/5695-6143</v>
          </cell>
          <cell r="O231" t="str">
            <v>ﾊﾞｯﾃﾘｰ</v>
          </cell>
          <cell r="Q231" t="str">
            <v>◎</v>
          </cell>
          <cell r="R231" t="str">
            <v>□</v>
          </cell>
          <cell r="S231" t="str">
            <v>☆</v>
          </cell>
          <cell r="T231" t="str">
            <v>ｼﾝｺｳﾍﾞﾃﾞﾝｷ</v>
          </cell>
          <cell r="V231" t="str">
            <v>62</v>
          </cell>
        </row>
        <row r="232">
          <cell r="B232" t="str">
            <v>2350</v>
          </cell>
          <cell r="C232" t="str">
            <v>#</v>
          </cell>
          <cell r="D232" t="str">
            <v>帝国ﾋﾟｽﾄﾝﾘﾝｸﾞ(株)</v>
          </cell>
          <cell r="F232" t="str">
            <v>代表取締役社長</v>
          </cell>
          <cell r="G232" t="str">
            <v>久富  眞志</v>
          </cell>
          <cell r="H232">
            <v>3389</v>
          </cell>
          <cell r="I232">
            <v>1364</v>
          </cell>
          <cell r="J232" t="str">
            <v>103</v>
          </cell>
          <cell r="K232" t="str">
            <v>中央区八重洲1-9-9</v>
          </cell>
          <cell r="L232" t="str">
            <v>東京建物ビル</v>
          </cell>
          <cell r="M232" t="str">
            <v>03-3272-1811</v>
          </cell>
          <cell r="N232" t="str">
            <v>/</v>
          </cell>
          <cell r="O232" t="str">
            <v>ピストンリング</v>
          </cell>
          <cell r="Q232" t="str">
            <v>◎</v>
          </cell>
          <cell r="R232" t="str">
            <v>□</v>
          </cell>
          <cell r="S232" t="str">
            <v>☆</v>
          </cell>
          <cell r="T232" t="str">
            <v>ﾃｲｺｸﾋﾟｽﾄﾝﾘﾝｸﾞ</v>
          </cell>
          <cell r="V232" t="str">
            <v>51</v>
          </cell>
        </row>
        <row r="233">
          <cell r="B233" t="str">
            <v>2350</v>
          </cell>
          <cell r="C233" t="str">
            <v>A</v>
          </cell>
          <cell r="D233" t="str">
            <v>帝国ﾋﾟｽﾄﾝﾘﾝｸﾞ(株)</v>
          </cell>
          <cell r="E233" t="str">
            <v>東京営業所</v>
          </cell>
          <cell r="F233" t="str">
            <v>取締役所長</v>
          </cell>
          <cell r="G233" t="str">
            <v>石崎  欽也</v>
          </cell>
          <cell r="J233" t="str">
            <v>116</v>
          </cell>
          <cell r="K233" t="str">
            <v>荒川区東日暮里6-60-10</v>
          </cell>
          <cell r="L233" t="str">
            <v>日暮里駅前中央ビル</v>
          </cell>
          <cell r="M233" t="str">
            <v>03-3802-9962</v>
          </cell>
          <cell r="N233" t="str">
            <v>/3802-9966</v>
          </cell>
          <cell r="O233" t="str">
            <v>ｼﾘﾝﾀﾞｰﾗｲﾅｰ</v>
          </cell>
          <cell r="Q233" t="str">
            <v xml:space="preserve"> </v>
          </cell>
          <cell r="T233" t="str">
            <v>ﾃｲｺｸﾋﾟｽﾄﾝﾘﾝｸﾞ</v>
          </cell>
          <cell r="V233" t="str">
            <v>51</v>
          </cell>
        </row>
        <row r="234">
          <cell r="B234" t="str">
            <v>2401</v>
          </cell>
          <cell r="C234" t="str">
            <v>#</v>
          </cell>
          <cell r="D234" t="str">
            <v>(株)東京ゴム製作所</v>
          </cell>
          <cell r="F234" t="str">
            <v>代表取締役</v>
          </cell>
          <cell r="G234" t="str">
            <v>笹倉  貴幸</v>
          </cell>
          <cell r="H234" t="str">
            <v xml:space="preserve"> 298.8</v>
          </cell>
          <cell r="I234">
            <v>213</v>
          </cell>
          <cell r="J234" t="str">
            <v>252</v>
          </cell>
          <cell r="K234" t="str">
            <v>藤沢市菖蒲沢48</v>
          </cell>
          <cell r="L234" t="str">
            <v xml:space="preserve"> </v>
          </cell>
          <cell r="M234" t="str">
            <v>0466-48-2312</v>
          </cell>
          <cell r="N234" t="str">
            <v>/48-3152</v>
          </cell>
          <cell r="O234" t="str">
            <v>ｺﾞﾑ製品</v>
          </cell>
          <cell r="Q234" t="str">
            <v>◎</v>
          </cell>
          <cell r="R234" t="str">
            <v>□</v>
          </cell>
          <cell r="S234" t="str">
            <v>☆</v>
          </cell>
          <cell r="T234" t="str">
            <v>ﾄｳｷｮｳｺﾞﾑｾｲｻｸｼｮ</v>
          </cell>
          <cell r="V234" t="str">
            <v>62</v>
          </cell>
        </row>
        <row r="235">
          <cell r="B235" t="str">
            <v>2403</v>
          </cell>
          <cell r="C235" t="str">
            <v>#</v>
          </cell>
          <cell r="D235" t="str">
            <v>(株)ﾃｨｰｱｰﾙｱｲｻｲﾀﾏ</v>
          </cell>
          <cell r="F235" t="str">
            <v>代表取締役社長</v>
          </cell>
          <cell r="G235" t="str">
            <v>池浦  幹郎</v>
          </cell>
          <cell r="H235">
            <v>70.75</v>
          </cell>
          <cell r="I235">
            <v>240</v>
          </cell>
          <cell r="J235" t="str">
            <v>362</v>
          </cell>
          <cell r="K235" t="str">
            <v>上尾市大谷本郷字前原255</v>
          </cell>
          <cell r="L235" t="str">
            <v xml:space="preserve"> </v>
          </cell>
          <cell r="M235" t="str">
            <v>048-781-5121</v>
          </cell>
          <cell r="N235" t="str">
            <v>/</v>
          </cell>
          <cell r="O235" t="str">
            <v>ｺﾞﾑ製品</v>
          </cell>
          <cell r="P235" t="str">
            <v>▽</v>
          </cell>
          <cell r="Q235" t="str">
            <v>◎</v>
          </cell>
          <cell r="R235" t="str">
            <v>□</v>
          </cell>
          <cell r="S235" t="str">
            <v>☆</v>
          </cell>
          <cell r="T235" t="str">
            <v>ﾃｨｰｱｰﾙｱｲｻｲﾀﾏ</v>
          </cell>
          <cell r="V235" t="str">
            <v>62</v>
          </cell>
        </row>
        <row r="236">
          <cell r="B236" t="str">
            <v>2403</v>
          </cell>
          <cell r="C236" t="str">
            <v>A</v>
          </cell>
          <cell r="D236" t="str">
            <v>(株)ﾃｨｰｱｰﾙｱｲｻｲﾀﾏ</v>
          </cell>
          <cell r="E236" t="str">
            <v>東京営業所</v>
          </cell>
          <cell r="F236" t="str">
            <v>営業部課長</v>
          </cell>
          <cell r="G236" t="str">
            <v>岩淵  剛</v>
          </cell>
          <cell r="J236" t="str">
            <v>143</v>
          </cell>
          <cell r="K236" t="str">
            <v>大田区大森西2-32-7</v>
          </cell>
          <cell r="L236" t="str">
            <v xml:space="preserve"> </v>
          </cell>
          <cell r="M236" t="str">
            <v>03-3764-6021</v>
          </cell>
          <cell r="N236" t="str">
            <v>/3766-5019</v>
          </cell>
          <cell r="O236" t="str">
            <v>ｺﾞﾑ製品</v>
          </cell>
          <cell r="P236" t="str">
            <v>▽</v>
          </cell>
          <cell r="Q236" t="str">
            <v xml:space="preserve"> </v>
          </cell>
          <cell r="T236" t="str">
            <v>ﾃｨｰｱｰﾙｱｲｻｲﾀﾏ</v>
          </cell>
          <cell r="V236" t="str">
            <v>62</v>
          </cell>
        </row>
        <row r="237">
          <cell r="B237" t="str">
            <v>2404</v>
          </cell>
          <cell r="C237" t="str">
            <v>#</v>
          </cell>
          <cell r="D237" t="str">
            <v>豊田合成(株)</v>
          </cell>
          <cell r="F237" t="str">
            <v>取締役社長</v>
          </cell>
          <cell r="G237" t="str">
            <v>堀篭  登喜雄</v>
          </cell>
          <cell r="H237">
            <v>17452</v>
          </cell>
          <cell r="I237">
            <v>6300</v>
          </cell>
          <cell r="J237" t="str">
            <v>452</v>
          </cell>
          <cell r="K237" t="str">
            <v>愛知県西春日井郡春日町</v>
          </cell>
          <cell r="L237" t="str">
            <v>大字落合字長畑1番地</v>
          </cell>
          <cell r="M237" t="str">
            <v>052-400-1055</v>
          </cell>
          <cell r="N237" t="str">
            <v>/</v>
          </cell>
          <cell r="O237" t="str">
            <v>ｺﾞﾑ製品・合成樹脂製品・各角ｺﾙｸ製品</v>
          </cell>
          <cell r="Q237" t="str">
            <v>◎</v>
          </cell>
          <cell r="R237" t="str">
            <v>□</v>
          </cell>
          <cell r="S237" t="str">
            <v>☆</v>
          </cell>
          <cell r="T237" t="str">
            <v>ﾄﾖﾀﾞｺﾞｳｾｲ</v>
          </cell>
          <cell r="V237" t="str">
            <v>62</v>
          </cell>
        </row>
        <row r="238">
          <cell r="B238" t="str">
            <v>2404</v>
          </cell>
          <cell r="C238" t="str">
            <v>A</v>
          </cell>
          <cell r="D238" t="str">
            <v>豊田合成(株)</v>
          </cell>
          <cell r="E238" t="str">
            <v>東京営業所</v>
          </cell>
          <cell r="F238" t="str">
            <v>所長</v>
          </cell>
          <cell r="G238" t="str">
            <v>都築　務</v>
          </cell>
          <cell r="J238" t="str">
            <v>100</v>
          </cell>
          <cell r="K238" t="str">
            <v>千代田区丸の内2-2-1</v>
          </cell>
          <cell r="L238" t="str">
            <v>岸本ビル3F 308号</v>
          </cell>
          <cell r="M238" t="str">
            <v>03-3213-5681</v>
          </cell>
          <cell r="N238" t="str">
            <v>/3287-1592</v>
          </cell>
          <cell r="O238" t="str">
            <v>ｺﾞﾑ製品・合成樹脂製品・各角ｺﾙｸ製品</v>
          </cell>
          <cell r="Q238" t="str">
            <v xml:space="preserve"> </v>
          </cell>
          <cell r="T238" t="str">
            <v>ﾄﾖﾀﾞｺﾞｳｾｲ</v>
          </cell>
          <cell r="V238" t="str">
            <v>62</v>
          </cell>
        </row>
        <row r="239">
          <cell r="B239" t="str">
            <v>2404</v>
          </cell>
          <cell r="C239" t="str">
            <v>B</v>
          </cell>
          <cell r="D239" t="str">
            <v>豊田合成(株)</v>
          </cell>
          <cell r="E239" t="str">
            <v>名古屋工場</v>
          </cell>
          <cell r="J239" t="str">
            <v>451</v>
          </cell>
          <cell r="K239" t="str">
            <v>名古屋市西区西藪下町1-9</v>
          </cell>
          <cell r="L239" t="str">
            <v xml:space="preserve"> </v>
          </cell>
          <cell r="M239" t="str">
            <v>052-571-4151</v>
          </cell>
          <cell r="N239" t="str">
            <v>/</v>
          </cell>
          <cell r="O239" t="str">
            <v>ｺﾞﾑ製品・合成樹脂製品・各角ｺﾙｸ製品</v>
          </cell>
          <cell r="Q239" t="str">
            <v xml:space="preserve"> </v>
          </cell>
          <cell r="T239" t="str">
            <v>ﾄﾖﾀﾞｺﾞｳｾｲ</v>
          </cell>
          <cell r="V239" t="str">
            <v>62</v>
          </cell>
        </row>
        <row r="240">
          <cell r="B240" t="str">
            <v>2404</v>
          </cell>
          <cell r="C240" t="str">
            <v>C</v>
          </cell>
          <cell r="D240" t="str">
            <v>豊田合成(株)</v>
          </cell>
          <cell r="E240" t="str">
            <v>稲沢工場</v>
          </cell>
          <cell r="J240" t="str">
            <v>492</v>
          </cell>
          <cell r="K240" t="str">
            <v>稲沢市北島町米屋境1</v>
          </cell>
          <cell r="L240" t="str">
            <v xml:space="preserve"> </v>
          </cell>
          <cell r="M240" t="str">
            <v>0587-36-1111</v>
          </cell>
          <cell r="N240" t="str">
            <v>/</v>
          </cell>
          <cell r="O240" t="str">
            <v>ｺﾞﾑ製品・合成樹脂製品・各角ｺﾙｸ製品</v>
          </cell>
          <cell r="Q240" t="str">
            <v xml:space="preserve"> </v>
          </cell>
          <cell r="T240" t="str">
            <v>ﾄﾖﾀﾞｺﾞｳｾｲ</v>
          </cell>
          <cell r="V240" t="str">
            <v>62</v>
          </cell>
        </row>
        <row r="241">
          <cell r="B241" t="str">
            <v>2404</v>
          </cell>
          <cell r="C241" t="str">
            <v>D</v>
          </cell>
          <cell r="D241" t="str">
            <v>豊田合成(株)</v>
          </cell>
          <cell r="E241" t="str">
            <v>森町工場</v>
          </cell>
          <cell r="J241" t="str">
            <v>437-02</v>
          </cell>
          <cell r="K241" t="str">
            <v>静岡県周智郡森町睦実</v>
          </cell>
          <cell r="L241" t="str">
            <v>1310-128</v>
          </cell>
          <cell r="M241" t="str">
            <v>05388-5-2165</v>
          </cell>
          <cell r="N241" t="str">
            <v>/</v>
          </cell>
          <cell r="O241" t="str">
            <v>ｺﾞﾑ製品・合成樹脂製品・各角ｺﾙｸ製品</v>
          </cell>
          <cell r="Q241" t="str">
            <v xml:space="preserve"> </v>
          </cell>
          <cell r="T241" t="str">
            <v>ﾄﾖﾀﾞｺﾞｳｾｲ</v>
          </cell>
          <cell r="V241" t="str">
            <v>62</v>
          </cell>
        </row>
        <row r="242">
          <cell r="B242" t="str">
            <v>2405</v>
          </cell>
          <cell r="C242" t="str">
            <v>#</v>
          </cell>
          <cell r="D242" t="str">
            <v>曙ブレーキ工業(株)</v>
          </cell>
          <cell r="F242" t="str">
            <v>取締役社長</v>
          </cell>
          <cell r="G242" t="str">
            <v>信元　久隆</v>
          </cell>
          <cell r="H242">
            <v>2258</v>
          </cell>
          <cell r="I242">
            <v>2682</v>
          </cell>
          <cell r="J242" t="str">
            <v>103</v>
          </cell>
          <cell r="K242" t="str">
            <v>中央区日本橋小網町19-5</v>
          </cell>
          <cell r="L242" t="str">
            <v xml:space="preserve"> </v>
          </cell>
          <cell r="M242" t="str">
            <v>03-3668-5181</v>
          </cell>
          <cell r="N242" t="str">
            <v>/5695-7388</v>
          </cell>
          <cell r="O242" t="str">
            <v>ブレーキ装置</v>
          </cell>
          <cell r="Q242" t="str">
            <v>◎</v>
          </cell>
          <cell r="R242" t="str">
            <v>□</v>
          </cell>
          <cell r="S242" t="str">
            <v>☆</v>
          </cell>
          <cell r="T242" t="str">
            <v>ｱｹﾎﾞﾉﾌﾞﾚｰｷｺｳｷﾞｮｳ</v>
          </cell>
          <cell r="V242" t="str">
            <v>54</v>
          </cell>
        </row>
        <row r="243">
          <cell r="B243" t="str">
            <v>2406</v>
          </cell>
          <cell r="C243" t="str">
            <v>#</v>
          </cell>
          <cell r="D243" t="str">
            <v>(株)イクヨ</v>
          </cell>
          <cell r="F243" t="str">
            <v>取締役社長</v>
          </cell>
          <cell r="G243" t="str">
            <v>酒井　政賢</v>
          </cell>
          <cell r="H243">
            <v>160</v>
          </cell>
          <cell r="I243">
            <v>390</v>
          </cell>
          <cell r="J243" t="str">
            <v>150</v>
          </cell>
          <cell r="K243" t="str">
            <v>渋谷区渋谷2-16-5</v>
          </cell>
          <cell r="L243" t="str">
            <v>東京生命館</v>
          </cell>
          <cell r="M243" t="str">
            <v>03-3499-0190</v>
          </cell>
          <cell r="N243" t="str">
            <v>/3486-4825</v>
          </cell>
          <cell r="O243" t="str">
            <v>ｺﾞﾑ､ﾋﾞﾆｰﾙ部品</v>
          </cell>
          <cell r="Q243" t="str">
            <v>◎</v>
          </cell>
          <cell r="R243" t="str">
            <v>□</v>
          </cell>
          <cell r="S243" t="str">
            <v>☆</v>
          </cell>
          <cell r="T243" t="str">
            <v>ｲｸﾖ</v>
          </cell>
          <cell r="V243" t="str">
            <v>62</v>
          </cell>
        </row>
        <row r="244">
          <cell r="B244" t="str">
            <v>2406</v>
          </cell>
          <cell r="C244" t="str">
            <v>A</v>
          </cell>
          <cell r="D244" t="str">
            <v>(株)イクヨ</v>
          </cell>
          <cell r="E244" t="str">
            <v>厚木工場</v>
          </cell>
          <cell r="J244" t="str">
            <v>243</v>
          </cell>
          <cell r="K244" t="str">
            <v>厚木市上依知3019</v>
          </cell>
          <cell r="L244" t="str">
            <v xml:space="preserve"> </v>
          </cell>
          <cell r="M244" t="str">
            <v>0462-85-1194</v>
          </cell>
          <cell r="N244" t="str">
            <v>/</v>
          </cell>
          <cell r="O244" t="str">
            <v>ｺﾞﾑ､ﾋﾞﾆｰﾙ部品</v>
          </cell>
          <cell r="Q244" t="str">
            <v xml:space="preserve"> </v>
          </cell>
          <cell r="T244" t="str">
            <v>ｲｸﾖ</v>
          </cell>
          <cell r="V244" t="str">
            <v>62</v>
          </cell>
        </row>
        <row r="245">
          <cell r="B245" t="str">
            <v>2409</v>
          </cell>
          <cell r="C245" t="str">
            <v>#</v>
          </cell>
          <cell r="D245" t="str">
            <v>住友電気工業(株)</v>
          </cell>
          <cell r="F245" t="str">
            <v>代表取締役社長</v>
          </cell>
          <cell r="G245" t="str">
            <v>倉内　憲孝</v>
          </cell>
          <cell r="H245">
            <v>36408</v>
          </cell>
          <cell r="I245">
            <v>12287</v>
          </cell>
          <cell r="J245" t="str">
            <v>541</v>
          </cell>
          <cell r="K245" t="str">
            <v>大阪市東区北浜5-15</v>
          </cell>
          <cell r="L245" t="str">
            <v xml:space="preserve"> </v>
          </cell>
          <cell r="M245" t="str">
            <v xml:space="preserve">06-203-2121 </v>
          </cell>
          <cell r="N245" t="str">
            <v>/</v>
          </cell>
          <cell r="O245" t="str">
            <v>ﾃﾞｨｽｸﾌﾞﾚｰｷ</v>
          </cell>
          <cell r="Q245" t="str">
            <v>◎</v>
          </cell>
          <cell r="R245" t="str">
            <v>□</v>
          </cell>
          <cell r="S245" t="str">
            <v>☆</v>
          </cell>
          <cell r="T245" t="str">
            <v>ｽﾐﾄﾓﾃﾞﾝｷｺｳｷﾞｮｳ</v>
          </cell>
          <cell r="V245" t="str">
            <v>54</v>
          </cell>
        </row>
        <row r="246">
          <cell r="B246" t="str">
            <v>2409</v>
          </cell>
          <cell r="C246" t="str">
            <v>A</v>
          </cell>
          <cell r="D246" t="str">
            <v>住友電気工業(株)</v>
          </cell>
          <cell r="E246" t="str">
            <v>東京自動車営業部</v>
          </cell>
          <cell r="F246" t="str">
            <v>営業部長</v>
          </cell>
          <cell r="G246" t="str">
            <v>海老原  嬉男</v>
          </cell>
          <cell r="J246" t="str">
            <v>107</v>
          </cell>
          <cell r="K246" t="str">
            <v>港区元赤坂1-3-12</v>
          </cell>
          <cell r="L246" t="str">
            <v xml:space="preserve"> </v>
          </cell>
          <cell r="M246" t="str">
            <v>03-3423-5621</v>
          </cell>
          <cell r="N246" t="str">
            <v>/3423-5070</v>
          </cell>
          <cell r="O246" t="str">
            <v>焼結合金</v>
          </cell>
          <cell r="Q246" t="str">
            <v xml:space="preserve"> </v>
          </cell>
          <cell r="T246" t="str">
            <v>ｽﾐﾄﾓﾃﾞﾝｷｺｳｷﾞｮｳ</v>
          </cell>
          <cell r="V246" t="str">
            <v>54</v>
          </cell>
        </row>
        <row r="247">
          <cell r="B247" t="str">
            <v>2409</v>
          </cell>
          <cell r="C247" t="str">
            <v>B</v>
          </cell>
          <cell r="D247" t="str">
            <v>住友電気工業(株)</v>
          </cell>
          <cell r="E247" t="str">
            <v>東京自動車営業部</v>
          </cell>
          <cell r="F247" t="str">
            <v>ブレーキ課</v>
          </cell>
          <cell r="J247" t="str">
            <v>107</v>
          </cell>
          <cell r="K247" t="str">
            <v>港区元赤坂1-3-12</v>
          </cell>
          <cell r="L247" t="str">
            <v xml:space="preserve"> </v>
          </cell>
          <cell r="M247" t="str">
            <v>03-3423-5171</v>
          </cell>
          <cell r="N247" t="str">
            <v>/3423-5002</v>
          </cell>
          <cell r="O247" t="str">
            <v>防振ゴム</v>
          </cell>
          <cell r="Q247" t="str">
            <v xml:space="preserve"> </v>
          </cell>
          <cell r="T247" t="str">
            <v>ｽﾐﾄﾓﾃﾞﾝｷｺｳｷﾞｮｳ</v>
          </cell>
          <cell r="V247" t="str">
            <v>54</v>
          </cell>
        </row>
        <row r="248">
          <cell r="B248" t="str">
            <v>2410</v>
          </cell>
          <cell r="C248" t="str">
            <v>#</v>
          </cell>
          <cell r="D248" t="str">
            <v>北辰工業(株)</v>
          </cell>
          <cell r="F248" t="str">
            <v>代表取締役社長</v>
          </cell>
          <cell r="G248" t="str">
            <v>市川　捷美</v>
          </cell>
          <cell r="H248">
            <v>278</v>
          </cell>
          <cell r="I248">
            <v>620</v>
          </cell>
          <cell r="J248" t="str">
            <v>230</v>
          </cell>
          <cell r="K248" t="str">
            <v>横浜市鶴見区尻手2-3-6</v>
          </cell>
          <cell r="L248" t="str">
            <v xml:space="preserve"> </v>
          </cell>
          <cell r="M248" t="str">
            <v>045-581-5451</v>
          </cell>
          <cell r="N248" t="str">
            <v>/</v>
          </cell>
          <cell r="O248" t="str">
            <v>防振ゴム</v>
          </cell>
          <cell r="Q248" t="str">
            <v>◎</v>
          </cell>
          <cell r="R248" t="str">
            <v>□</v>
          </cell>
          <cell r="S248" t="str">
            <v>☆</v>
          </cell>
          <cell r="T248" t="str">
            <v>ﾎｸｼﾝｺｳｷﾞｮｳ</v>
          </cell>
          <cell r="V248" t="str">
            <v>62</v>
          </cell>
        </row>
        <row r="249">
          <cell r="B249" t="str">
            <v>2410</v>
          </cell>
          <cell r="C249" t="str">
            <v>A</v>
          </cell>
          <cell r="D249" t="str">
            <v>北辰工業(株)</v>
          </cell>
          <cell r="E249" t="str">
            <v>営業本部</v>
          </cell>
          <cell r="J249" t="str">
            <v>104</v>
          </cell>
          <cell r="K249" t="str">
            <v>中央区京橋3-7-1</v>
          </cell>
          <cell r="L249" t="str">
            <v>第一生命相互館</v>
          </cell>
          <cell r="M249" t="str">
            <v>03-3563-5961</v>
          </cell>
          <cell r="N249" t="str">
            <v>/3563-1967</v>
          </cell>
          <cell r="O249" t="str">
            <v>防振ゴム</v>
          </cell>
          <cell r="Q249" t="str">
            <v xml:space="preserve"> </v>
          </cell>
          <cell r="T249" t="str">
            <v>ﾎｸｼﾝｺｳｷﾞｮｳ</v>
          </cell>
          <cell r="V249" t="str">
            <v>62</v>
          </cell>
        </row>
        <row r="250">
          <cell r="B250" t="str">
            <v>2411</v>
          </cell>
          <cell r="C250" t="str">
            <v>#</v>
          </cell>
          <cell r="D250" t="str">
            <v>(株)フコク</v>
          </cell>
          <cell r="F250" t="str">
            <v>代表取締役社長</v>
          </cell>
          <cell r="G250" t="str">
            <v>河本　栄一</v>
          </cell>
          <cell r="H250">
            <v>477</v>
          </cell>
          <cell r="I250">
            <v>1300</v>
          </cell>
          <cell r="J250" t="str">
            <v>362</v>
          </cell>
          <cell r="K250" t="str">
            <v>上尾市菅谷3-105</v>
          </cell>
          <cell r="L250" t="str">
            <v xml:space="preserve"> </v>
          </cell>
          <cell r="M250" t="str">
            <v>048-773-5611</v>
          </cell>
          <cell r="N250" t="str">
            <v>/</v>
          </cell>
          <cell r="O250" t="str">
            <v>防振ゴム</v>
          </cell>
          <cell r="Q250" t="str">
            <v>◎</v>
          </cell>
          <cell r="R250" t="str">
            <v>□</v>
          </cell>
          <cell r="S250" t="str">
            <v>☆</v>
          </cell>
          <cell r="T250" t="str">
            <v>ﾌｺｸ</v>
          </cell>
          <cell r="V250" t="str">
            <v>62</v>
          </cell>
        </row>
        <row r="251">
          <cell r="B251" t="str">
            <v>2411</v>
          </cell>
          <cell r="C251" t="str">
            <v>##</v>
          </cell>
          <cell r="D251" t="str">
            <v>(株)フコク</v>
          </cell>
          <cell r="E251" t="str">
            <v>本社･上尾工場</v>
          </cell>
          <cell r="K251" t="str">
            <v>台東区上野2-18-10</v>
          </cell>
          <cell r="L251" t="str">
            <v xml:space="preserve"> </v>
          </cell>
          <cell r="N251" t="str">
            <v>/</v>
          </cell>
          <cell r="Q251" t="str">
            <v xml:space="preserve"> </v>
          </cell>
          <cell r="T251" t="str">
            <v>ﾌｺｸ</v>
          </cell>
          <cell r="V251" t="str">
            <v>62</v>
          </cell>
        </row>
        <row r="252">
          <cell r="B252" t="str">
            <v>2411</v>
          </cell>
          <cell r="C252" t="str">
            <v>A</v>
          </cell>
          <cell r="D252" t="str">
            <v>(株)フコク</v>
          </cell>
          <cell r="E252" t="str">
            <v>東京営業所</v>
          </cell>
          <cell r="J252" t="str">
            <v>110</v>
          </cell>
          <cell r="K252" t="str">
            <v>台東区東上野2-18-10</v>
          </cell>
          <cell r="L252" t="str">
            <v>日本生命上野ビル4F</v>
          </cell>
          <cell r="M252" t="str">
            <v>03-3835-4156</v>
          </cell>
          <cell r="N252" t="str">
            <v>/3831-3180</v>
          </cell>
          <cell r="O252" t="str">
            <v>防振ゴム</v>
          </cell>
          <cell r="Q252" t="str">
            <v xml:space="preserve"> </v>
          </cell>
          <cell r="T252" t="str">
            <v>ﾌｺｸ</v>
          </cell>
          <cell r="V252" t="str">
            <v>62</v>
          </cell>
        </row>
        <row r="253">
          <cell r="B253" t="str">
            <v>2412</v>
          </cell>
          <cell r="C253" t="str">
            <v>#</v>
          </cell>
          <cell r="D253" t="str">
            <v>三ツ星ベルト(株)</v>
          </cell>
          <cell r="F253" t="str">
            <v>取締役社長</v>
          </cell>
          <cell r="G253" t="str">
            <v>西河  紀男</v>
          </cell>
          <cell r="H253">
            <v>8150</v>
          </cell>
          <cell r="I253">
            <v>2081</v>
          </cell>
          <cell r="J253" t="str">
            <v>650</v>
          </cell>
          <cell r="K253" t="str">
            <v>神戸市中央区東川崎町1-3-3</v>
          </cell>
          <cell r="L253" t="str">
            <v>神戸ﾊｰﾊﾞﾗﾝﾄﾞｾﾝﾀｰﾋﾞﾙ</v>
          </cell>
          <cell r="M253" t="str">
            <v>078-360-5700</v>
          </cell>
          <cell r="N253" t="str">
            <v>/360-5970</v>
          </cell>
          <cell r="O253" t="str">
            <v>フアンベルト</v>
          </cell>
          <cell r="Q253" t="str">
            <v>◎</v>
          </cell>
          <cell r="R253" t="str">
            <v>□</v>
          </cell>
          <cell r="S253" t="str">
            <v>☆</v>
          </cell>
          <cell r="T253" t="str">
            <v>ﾐﾂﾎﾞｼﾍﾞﾙﾄ</v>
          </cell>
          <cell r="V253" t="str">
            <v>51</v>
          </cell>
        </row>
        <row r="254">
          <cell r="B254" t="str">
            <v>2412</v>
          </cell>
          <cell r="C254" t="str">
            <v>A</v>
          </cell>
          <cell r="D254" t="str">
            <v>三ツ星ベルト(株)</v>
          </cell>
          <cell r="E254" t="str">
            <v>東京支店</v>
          </cell>
          <cell r="F254" t="str">
            <v>取締役支店長</v>
          </cell>
          <cell r="G254" t="str">
            <v>秋吉  成恭</v>
          </cell>
          <cell r="J254" t="str">
            <v>103</v>
          </cell>
          <cell r="K254" t="str">
            <v>中央区日本橋2-3-4</v>
          </cell>
          <cell r="L254" t="str">
            <v>日本橋ﾌﾟﾗｻﾞﾋﾞﾙ10F</v>
          </cell>
          <cell r="M254" t="str">
            <v>03-5202-2502</v>
          </cell>
          <cell r="N254" t="str">
            <v>/5202-2522</v>
          </cell>
          <cell r="O254" t="str">
            <v>フアンベルト</v>
          </cell>
          <cell r="Q254" t="str">
            <v xml:space="preserve"> </v>
          </cell>
          <cell r="T254" t="str">
            <v>ﾐﾂﾎﾞｼﾍﾞﾙﾄ</v>
          </cell>
          <cell r="V254" t="str">
            <v>51</v>
          </cell>
        </row>
        <row r="255">
          <cell r="B255" t="str">
            <v>2412</v>
          </cell>
          <cell r="C255" t="str">
            <v>B</v>
          </cell>
          <cell r="D255" t="str">
            <v>三ツ星ベルト(株)</v>
          </cell>
          <cell r="E255" t="str">
            <v>名古屋工場</v>
          </cell>
          <cell r="J255" t="str">
            <v>485</v>
          </cell>
          <cell r="K255" t="str">
            <v>小牧市西之島1818</v>
          </cell>
          <cell r="L255" t="str">
            <v xml:space="preserve"> </v>
          </cell>
          <cell r="M255" t="str">
            <v>0568-76-4121</v>
          </cell>
          <cell r="N255" t="str">
            <v>/</v>
          </cell>
          <cell r="O255" t="str">
            <v>フアンベルト</v>
          </cell>
          <cell r="Q255" t="str">
            <v xml:space="preserve"> </v>
          </cell>
          <cell r="T255" t="str">
            <v>ﾐﾂﾎﾞｼﾍﾞﾙﾄ</v>
          </cell>
          <cell r="V255" t="str">
            <v>51</v>
          </cell>
        </row>
        <row r="256">
          <cell r="B256" t="str">
            <v>2413</v>
          </cell>
          <cell r="C256" t="str">
            <v>#</v>
          </cell>
          <cell r="D256" t="str">
            <v>興国インテック(株)</v>
          </cell>
          <cell r="F256" t="str">
            <v>取締役社長</v>
          </cell>
          <cell r="G256" t="str">
            <v>江野　友來</v>
          </cell>
          <cell r="H256">
            <v>126</v>
          </cell>
          <cell r="I256">
            <v>660</v>
          </cell>
          <cell r="J256" t="str">
            <v>102</v>
          </cell>
          <cell r="K256" t="str">
            <v>千代田区麹町2-7</v>
          </cell>
          <cell r="L256" t="str">
            <v>半蔵門ビル</v>
          </cell>
          <cell r="M256" t="str">
            <v>03-3230-4669</v>
          </cell>
          <cell r="N256" t="str">
            <v>/3261-4560</v>
          </cell>
          <cell r="O256" t="str">
            <v>ｺﾞﾑ製品</v>
          </cell>
          <cell r="Q256" t="str">
            <v>◎</v>
          </cell>
          <cell r="R256" t="str">
            <v>□</v>
          </cell>
          <cell r="S256" t="str">
            <v>☆</v>
          </cell>
          <cell r="T256" t="str">
            <v>ｺｳｺｸｲﾝﾃｯｸ</v>
          </cell>
          <cell r="V256" t="str">
            <v>62</v>
          </cell>
        </row>
        <row r="257">
          <cell r="B257" t="str">
            <v>2414</v>
          </cell>
          <cell r="C257" t="str">
            <v>#</v>
          </cell>
          <cell r="D257" t="str">
            <v>西川ゴム工業(株)</v>
          </cell>
          <cell r="F257" t="str">
            <v>取締役社長</v>
          </cell>
          <cell r="G257" t="str">
            <v>西川　正洋</v>
          </cell>
          <cell r="H257">
            <v>363</v>
          </cell>
          <cell r="I257">
            <v>1039</v>
          </cell>
          <cell r="J257" t="str">
            <v>733</v>
          </cell>
          <cell r="K257" t="str">
            <v>広島市西区三條町2-2-8</v>
          </cell>
          <cell r="L257" t="str">
            <v xml:space="preserve"> </v>
          </cell>
          <cell r="M257" t="str">
            <v>082-237-9371</v>
          </cell>
          <cell r="N257" t="str">
            <v>/</v>
          </cell>
          <cell r="O257" t="str">
            <v>ｺﾞﾑ製品</v>
          </cell>
          <cell r="Q257" t="str">
            <v>◎</v>
          </cell>
          <cell r="R257" t="str">
            <v>□</v>
          </cell>
          <cell r="S257" t="str">
            <v>☆</v>
          </cell>
          <cell r="T257" t="str">
            <v>ﾆｼｶﾜｺﾞﾑｺｳｷﾞｮｳ</v>
          </cell>
          <cell r="V257" t="str">
            <v>62</v>
          </cell>
        </row>
        <row r="258">
          <cell r="B258" t="str">
            <v>2414</v>
          </cell>
          <cell r="C258" t="str">
            <v>A</v>
          </cell>
          <cell r="D258" t="str">
            <v>西川ゴム工業(株)</v>
          </cell>
          <cell r="E258" t="str">
            <v>東京営業所</v>
          </cell>
          <cell r="F258" t="str">
            <v>取締役営業所長</v>
          </cell>
          <cell r="G258" t="str">
            <v>小田  文生</v>
          </cell>
          <cell r="J258" t="str">
            <v>141</v>
          </cell>
          <cell r="K258" t="str">
            <v>品川区西五反田7-22-17</v>
          </cell>
          <cell r="L258" t="str">
            <v xml:space="preserve">TOCビル9F28号私書箱322 </v>
          </cell>
          <cell r="M258" t="str">
            <v>03-3494-2736</v>
          </cell>
          <cell r="N258" t="str">
            <v>/3494-2750</v>
          </cell>
          <cell r="O258" t="str">
            <v>ｺﾞﾑ製品</v>
          </cell>
          <cell r="Q258" t="str">
            <v xml:space="preserve"> </v>
          </cell>
          <cell r="T258" t="str">
            <v>ﾆｼｶﾜｺﾞﾑｺｳｷﾞｮｳ</v>
          </cell>
          <cell r="V258" t="str">
            <v>62</v>
          </cell>
        </row>
        <row r="259">
          <cell r="B259" t="str">
            <v>2415</v>
          </cell>
          <cell r="C259" t="str">
            <v>#</v>
          </cell>
          <cell r="D259" t="str">
            <v>丸五ゴム工業(株)</v>
          </cell>
          <cell r="F259" t="str">
            <v>取締役社長</v>
          </cell>
          <cell r="G259" t="str">
            <v>藤木　莊平</v>
          </cell>
          <cell r="H259">
            <v>96</v>
          </cell>
          <cell r="I259">
            <v>711</v>
          </cell>
          <cell r="J259" t="str">
            <v>710</v>
          </cell>
          <cell r="K259" t="str">
            <v>倉敷市上富井58</v>
          </cell>
          <cell r="L259" t="str">
            <v xml:space="preserve"> </v>
          </cell>
          <cell r="M259" t="str">
            <v>0864-22-5111</v>
          </cell>
          <cell r="N259" t="str">
            <v>/</v>
          </cell>
          <cell r="O259" t="str">
            <v>ラバーホース</v>
          </cell>
          <cell r="P259" t="str">
            <v>▽</v>
          </cell>
          <cell r="Q259" t="str">
            <v>◎</v>
          </cell>
          <cell r="R259" t="str">
            <v>□</v>
          </cell>
          <cell r="S259" t="str">
            <v>☆</v>
          </cell>
          <cell r="T259" t="str">
            <v>ﾏﾙｺﾞｺﾞﾑｺｳｷﾞｮｳ</v>
          </cell>
          <cell r="V259" t="str">
            <v>62</v>
          </cell>
        </row>
        <row r="260">
          <cell r="B260" t="str">
            <v>2415</v>
          </cell>
          <cell r="C260" t="str">
            <v>A</v>
          </cell>
          <cell r="D260" t="str">
            <v>丸五ゴム工業(株)</v>
          </cell>
          <cell r="E260" t="str">
            <v>東京営業所</v>
          </cell>
          <cell r="F260" t="str">
            <v>所長</v>
          </cell>
          <cell r="G260" t="str">
            <v>浅原　高明</v>
          </cell>
          <cell r="J260" t="str">
            <v>105</v>
          </cell>
          <cell r="K260" t="str">
            <v>港区浜松町1-29-10</v>
          </cell>
          <cell r="L260" t="str">
            <v>東京ラインビル3F</v>
          </cell>
          <cell r="M260" t="str">
            <v>03-3459-1277</v>
          </cell>
          <cell r="N260" t="str">
            <v>/3459-4348</v>
          </cell>
          <cell r="O260" t="str">
            <v>ラバーホース</v>
          </cell>
          <cell r="P260" t="str">
            <v>▽</v>
          </cell>
          <cell r="Q260" t="str">
            <v xml:space="preserve"> </v>
          </cell>
          <cell r="T260" t="str">
            <v>ﾏﾙｺﾞｺﾞﾑｺｳｷﾞｮｳ</v>
          </cell>
          <cell r="V260" t="str">
            <v>62</v>
          </cell>
        </row>
        <row r="261">
          <cell r="B261" t="str">
            <v>2416</v>
          </cell>
          <cell r="C261" t="str">
            <v>#</v>
          </cell>
          <cell r="D261" t="str">
            <v>東海ゴム工業(株)</v>
          </cell>
          <cell r="F261" t="str">
            <v>代表取締役社長</v>
          </cell>
          <cell r="G261" t="str">
            <v>宮田  亮</v>
          </cell>
          <cell r="H261">
            <v>7150</v>
          </cell>
          <cell r="I261">
            <v>3129</v>
          </cell>
          <cell r="J261" t="str">
            <v>485</v>
          </cell>
          <cell r="K261" t="str">
            <v>小牧市北外山哥津3600</v>
          </cell>
          <cell r="L261" t="str">
            <v xml:space="preserve"> </v>
          </cell>
          <cell r="M261" t="str">
            <v>0568-77-0716</v>
          </cell>
          <cell r="N261" t="str">
            <v>/</v>
          </cell>
          <cell r="O261" t="str">
            <v>防振ゴム</v>
          </cell>
          <cell r="Q261" t="str">
            <v>◎</v>
          </cell>
          <cell r="R261" t="str">
            <v>□</v>
          </cell>
          <cell r="S261" t="str">
            <v>☆</v>
          </cell>
          <cell r="T261" t="str">
            <v>ﾄｳｶｲｺﾞﾑｺｳｷﾞｮｳ</v>
          </cell>
          <cell r="V261" t="str">
            <v>62</v>
          </cell>
        </row>
        <row r="262">
          <cell r="B262" t="str">
            <v>2416</v>
          </cell>
          <cell r="C262" t="str">
            <v>A</v>
          </cell>
          <cell r="D262" t="str">
            <v>東海ゴム工業(株)</v>
          </cell>
          <cell r="E262" t="str">
            <v>東京自動車用品営業部</v>
          </cell>
          <cell r="F262" t="str">
            <v>部長</v>
          </cell>
          <cell r="G262" t="str">
            <v>大木  昭一</v>
          </cell>
          <cell r="J262" t="str">
            <v>107</v>
          </cell>
          <cell r="K262" t="str">
            <v>港区赤坂2-17-22</v>
          </cell>
          <cell r="L262" t="str">
            <v>赤坂ツインタワー本館16F</v>
          </cell>
          <cell r="M262" t="str">
            <v>03-3585-1807</v>
          </cell>
          <cell r="N262" t="str">
            <v>/3587-2709</v>
          </cell>
          <cell r="O262" t="str">
            <v>一般押出ホース</v>
          </cell>
          <cell r="Q262" t="str">
            <v xml:space="preserve"> </v>
          </cell>
          <cell r="T262" t="str">
            <v>ﾄｳｶｲｺﾞﾑｺｳｷﾞｮｳ</v>
          </cell>
          <cell r="V262" t="str">
            <v>62</v>
          </cell>
        </row>
        <row r="263">
          <cell r="B263" t="str">
            <v>2417</v>
          </cell>
          <cell r="C263" t="str">
            <v>#</v>
          </cell>
          <cell r="D263" t="str">
            <v>横浜ハイデックス(株)</v>
          </cell>
          <cell r="F263" t="str">
            <v>代表取締役</v>
          </cell>
          <cell r="G263" t="str">
            <v>大畑  一郎</v>
          </cell>
          <cell r="H263">
            <v>490</v>
          </cell>
          <cell r="I263">
            <v>691</v>
          </cell>
          <cell r="J263" t="str">
            <v>108</v>
          </cell>
          <cell r="K263" t="str">
            <v>港区芝浦4-16-23</v>
          </cell>
          <cell r="L263" t="str">
            <v>アクアシティ芝浦ビル6F</v>
          </cell>
          <cell r="M263" t="str">
            <v>03-5442-6780</v>
          </cell>
          <cell r="N263" t="str">
            <v>/5442-8923</v>
          </cell>
          <cell r="O263" t="str">
            <v>パワーステアリング用ホース</v>
          </cell>
          <cell r="Q263" t="str">
            <v>◎</v>
          </cell>
          <cell r="R263" t="str">
            <v>□</v>
          </cell>
          <cell r="S263" t="str">
            <v>☆</v>
          </cell>
          <cell r="T263" t="str">
            <v>ﾖｺﾊﾏﾊｲﾃﾞｯｸｽ</v>
          </cell>
          <cell r="V263" t="str">
            <v>62</v>
          </cell>
        </row>
        <row r="264">
          <cell r="B264" t="str">
            <v>2417</v>
          </cell>
          <cell r="C264" t="str">
            <v>A</v>
          </cell>
          <cell r="D264" t="str">
            <v>横浜ハイデックス(株)</v>
          </cell>
          <cell r="E264" t="str">
            <v>営業本部 自動車部品営業部</v>
          </cell>
          <cell r="J264" t="str">
            <v>108</v>
          </cell>
          <cell r="K264" t="str">
            <v>港区芝浦4-16-23</v>
          </cell>
          <cell r="L264" t="str">
            <v>アクアシティ芝浦ビル6F</v>
          </cell>
          <cell r="M264" t="str">
            <v>03-5442-6760</v>
          </cell>
          <cell r="N264" t="str">
            <v>/5442-8922</v>
          </cell>
          <cell r="O264" t="str">
            <v>パワーステアリング用ホース</v>
          </cell>
          <cell r="Q264" t="str">
            <v xml:space="preserve"> </v>
          </cell>
          <cell r="T264" t="str">
            <v>ﾖｺﾊﾏﾊｲﾃﾞｯｸｽ</v>
          </cell>
          <cell r="V264" t="str">
            <v>62</v>
          </cell>
        </row>
        <row r="265">
          <cell r="B265" t="str">
            <v>2418</v>
          </cell>
          <cell r="C265" t="str">
            <v>#</v>
          </cell>
          <cell r="D265" t="str">
            <v>ユニッタ(株)</v>
          </cell>
          <cell r="F265" t="str">
            <v>取締役社長</v>
          </cell>
          <cell r="G265" t="str">
            <v>西岡  正雄</v>
          </cell>
          <cell r="H265">
            <v>365</v>
          </cell>
          <cell r="I265">
            <v>436</v>
          </cell>
          <cell r="J265" t="str">
            <v>541</v>
          </cell>
          <cell r="K265" t="str">
            <v>大阪市中央区本町1-8-12</v>
          </cell>
          <cell r="L265" t="str">
            <v>日本生命堺筋本町ビル7F</v>
          </cell>
          <cell r="M265" t="str">
            <v xml:space="preserve">06-266-1821 </v>
          </cell>
          <cell r="N265" t="str">
            <v>/266-1778</v>
          </cell>
          <cell r="O265" t="str">
            <v>パワーブリップ</v>
          </cell>
          <cell r="Q265" t="str">
            <v>◎</v>
          </cell>
          <cell r="R265" t="str">
            <v>□</v>
          </cell>
          <cell r="S265" t="str">
            <v>☆</v>
          </cell>
          <cell r="T265" t="str">
            <v>ﾕﾆｯﾀ</v>
          </cell>
          <cell r="V265" t="str">
            <v>51</v>
          </cell>
        </row>
        <row r="266">
          <cell r="B266" t="str">
            <v>2418</v>
          </cell>
          <cell r="C266" t="str">
            <v>A</v>
          </cell>
          <cell r="D266" t="str">
            <v>ユニッタ(株)</v>
          </cell>
          <cell r="E266" t="str">
            <v>東京支店</v>
          </cell>
          <cell r="J266" t="str">
            <v>104</v>
          </cell>
          <cell r="K266" t="str">
            <v>中央区銀座8-2-1</v>
          </cell>
          <cell r="L266" t="str">
            <v xml:space="preserve"> </v>
          </cell>
          <cell r="M266" t="str">
            <v>03-3572-4031</v>
          </cell>
          <cell r="N266" t="str">
            <v>/3572-3354</v>
          </cell>
          <cell r="O266" t="str">
            <v>ﾀｲﾐﾝｸﾞﾍﾞﾙﾄ</v>
          </cell>
          <cell r="Q266" t="str">
            <v xml:space="preserve"> </v>
          </cell>
          <cell r="T266" t="str">
            <v>ﾕﾆｯﾀ</v>
          </cell>
          <cell r="V266" t="str">
            <v>51</v>
          </cell>
        </row>
        <row r="267">
          <cell r="B267" t="str">
            <v>2419</v>
          </cell>
          <cell r="C267" t="str">
            <v>#</v>
          </cell>
          <cell r="D267" t="str">
            <v>(株)明治ゴム化成</v>
          </cell>
          <cell r="F267" t="str">
            <v>取締役社長</v>
          </cell>
          <cell r="G267" t="str">
            <v>松村　淳</v>
          </cell>
          <cell r="H267">
            <v>216</v>
          </cell>
          <cell r="I267">
            <v>868</v>
          </cell>
          <cell r="J267" t="str">
            <v>258</v>
          </cell>
          <cell r="K267" t="str">
            <v>足柄上郡開成町延沢1</v>
          </cell>
          <cell r="L267" t="str">
            <v xml:space="preserve"> </v>
          </cell>
          <cell r="M267" t="str">
            <v>0465-83-2213</v>
          </cell>
          <cell r="N267" t="str">
            <v>/83-3684</v>
          </cell>
          <cell r="O267" t="str">
            <v>ｴｱﾎｰｽ</v>
          </cell>
          <cell r="Q267" t="str">
            <v xml:space="preserve"> </v>
          </cell>
          <cell r="T267" t="str">
            <v>ﾒｲｼﾞｺﾞﾑｶｾｲ</v>
          </cell>
          <cell r="V267" t="str">
            <v>62</v>
          </cell>
        </row>
        <row r="268">
          <cell r="B268" t="str">
            <v>2419</v>
          </cell>
          <cell r="C268" t="str">
            <v>A</v>
          </cell>
          <cell r="D268" t="str">
            <v>(株)明治ゴム化成</v>
          </cell>
          <cell r="E268" t="str">
            <v>東京事業所</v>
          </cell>
          <cell r="J268" t="str">
            <v>163-09</v>
          </cell>
          <cell r="K268" t="str">
            <v>新宿区西新宿2-3-1</v>
          </cell>
          <cell r="L268" t="str">
            <v>新宿モノリス12F</v>
          </cell>
          <cell r="M268" t="str">
            <v>03-3344-3951</v>
          </cell>
          <cell r="N268" t="str">
            <v>/3348-5487</v>
          </cell>
          <cell r="O268" t="str">
            <v>ｴｱﾎｰｽ</v>
          </cell>
          <cell r="Q268" t="str">
            <v xml:space="preserve"> </v>
          </cell>
          <cell r="T268" t="str">
            <v>ﾒｲｼﾞｺﾞﾑｶｾｲ</v>
          </cell>
          <cell r="V268" t="str">
            <v>62</v>
          </cell>
        </row>
        <row r="269">
          <cell r="B269" t="str">
            <v>2420</v>
          </cell>
          <cell r="C269" t="str">
            <v>#</v>
          </cell>
          <cell r="D269" t="str">
            <v>バンドー化学(株)</v>
          </cell>
          <cell r="F269" t="str">
            <v>代表取締役社長</v>
          </cell>
          <cell r="G269" t="str">
            <v>雀部　昌吾</v>
          </cell>
          <cell r="H269">
            <v>10951</v>
          </cell>
          <cell r="I269">
            <v>1784</v>
          </cell>
          <cell r="J269" t="str">
            <v>651</v>
          </cell>
          <cell r="K269" t="str">
            <v>神戸市中央区磯上通2-2-21</v>
          </cell>
          <cell r="L269" t="str">
            <v>三宮ｸﾞﾗﾝﾄﾞﾋﾞﾙ</v>
          </cell>
          <cell r="M269" t="str">
            <v>078-232-2923</v>
          </cell>
          <cell r="N269" t="str">
            <v>/</v>
          </cell>
          <cell r="O269" t="str">
            <v>伝動ベルト</v>
          </cell>
          <cell r="Q269" t="str">
            <v>◎</v>
          </cell>
          <cell r="R269" t="str">
            <v>□</v>
          </cell>
          <cell r="S269" t="str">
            <v>☆</v>
          </cell>
          <cell r="T269" t="str">
            <v>ﾊﾞﾝﾄﾞｰｶｶﾞｸ</v>
          </cell>
          <cell r="V269" t="str">
            <v>51</v>
          </cell>
        </row>
        <row r="270">
          <cell r="B270" t="str">
            <v>2420</v>
          </cell>
          <cell r="C270" t="str">
            <v>A</v>
          </cell>
          <cell r="D270" t="str">
            <v>バンドー化学(株)</v>
          </cell>
          <cell r="E270" t="str">
            <v>伝動事業部東京販売部</v>
          </cell>
          <cell r="F270" t="str">
            <v>取締役東京支店長兼東京販売部長</v>
          </cell>
          <cell r="G270" t="str">
            <v>竹村  章</v>
          </cell>
          <cell r="J270" t="str">
            <v>108</v>
          </cell>
          <cell r="K270" t="str">
            <v>港区芝4-1-23三田NNﾋﾞﾙ5F</v>
          </cell>
          <cell r="L270" t="str">
            <v xml:space="preserve"> </v>
          </cell>
          <cell r="M270" t="str">
            <v>03-5484-9114</v>
          </cell>
          <cell r="N270" t="str">
            <v>/5484-9108</v>
          </cell>
          <cell r="O270" t="str">
            <v>ﾀｲﾐﾝｸﾞﾍﾞﾙﾄ</v>
          </cell>
          <cell r="Q270" t="str">
            <v xml:space="preserve"> </v>
          </cell>
          <cell r="T270" t="str">
            <v>ﾊﾞﾝﾄﾞｰｶｶﾞｸ</v>
          </cell>
          <cell r="V270" t="str">
            <v>51</v>
          </cell>
        </row>
        <row r="271">
          <cell r="B271" t="str">
            <v>2421</v>
          </cell>
          <cell r="C271" t="str">
            <v>#</v>
          </cell>
          <cell r="D271" t="str">
            <v>泉自動車(株)</v>
          </cell>
          <cell r="F271" t="str">
            <v>代表取締役社長</v>
          </cell>
          <cell r="G271" t="str">
            <v>栃原　稔</v>
          </cell>
          <cell r="H271">
            <v>120</v>
          </cell>
          <cell r="I271">
            <v>337</v>
          </cell>
          <cell r="J271" t="str">
            <v>243</v>
          </cell>
          <cell r="K271" t="str">
            <v>厚木市上依知704-1</v>
          </cell>
          <cell r="L271" t="str">
            <v xml:space="preserve"> </v>
          </cell>
          <cell r="M271" t="str">
            <v>0462-45-3703</v>
          </cell>
          <cell r="N271" t="str">
            <v>/45-6731</v>
          </cell>
          <cell r="O271" t="str">
            <v>ｽﾃｱﾘﾝｸﾞﾎｲｰﾙ</v>
          </cell>
          <cell r="Q271" t="str">
            <v xml:space="preserve"> </v>
          </cell>
          <cell r="R271" t="str">
            <v>□</v>
          </cell>
          <cell r="S271" t="str">
            <v>☆</v>
          </cell>
          <cell r="T271" t="str">
            <v>ｲｽﾞﾐｼﾞﾄﾞｳｼｬ</v>
          </cell>
          <cell r="V271" t="str">
            <v>62</v>
          </cell>
        </row>
        <row r="272">
          <cell r="B272" t="str">
            <v>2422</v>
          </cell>
          <cell r="C272" t="str">
            <v>#</v>
          </cell>
          <cell r="D272" t="str">
            <v>(株)十川ゴム</v>
          </cell>
          <cell r="F272" t="str">
            <v>代表取締役</v>
          </cell>
          <cell r="G272" t="str">
            <v>十川　照延</v>
          </cell>
          <cell r="H272">
            <v>474</v>
          </cell>
          <cell r="I272">
            <v>1230</v>
          </cell>
          <cell r="J272" t="str">
            <v>550</v>
          </cell>
          <cell r="K272" t="str">
            <v>大阪市西区南堀江4-2-5</v>
          </cell>
          <cell r="L272" t="str">
            <v/>
          </cell>
          <cell r="M272" t="str">
            <v xml:space="preserve">06-538-1261 </v>
          </cell>
          <cell r="N272" t="str">
            <v>/</v>
          </cell>
          <cell r="O272" t="str">
            <v>フユーエルホース</v>
          </cell>
          <cell r="Q272" t="str">
            <v xml:space="preserve"> </v>
          </cell>
          <cell r="S272" t="str">
            <v>☆</v>
          </cell>
          <cell r="T272" t="str">
            <v>ﾄｶﾜｺﾞﾑ</v>
          </cell>
          <cell r="V272" t="str">
            <v>62</v>
          </cell>
        </row>
        <row r="273">
          <cell r="B273" t="str">
            <v>2422</v>
          </cell>
          <cell r="C273" t="str">
            <v>A</v>
          </cell>
          <cell r="D273" t="str">
            <v>(株)十川ゴム</v>
          </cell>
          <cell r="E273" t="str">
            <v>東京支社</v>
          </cell>
          <cell r="F273" t="str">
            <v>代表取締役社長</v>
          </cell>
          <cell r="J273" t="str">
            <v>104</v>
          </cell>
          <cell r="K273" t="str">
            <v>中央区京橋2-9-10</v>
          </cell>
          <cell r="L273" t="str">
            <v xml:space="preserve"> </v>
          </cell>
          <cell r="M273" t="str">
            <v>03-3567-9281</v>
          </cell>
          <cell r="N273" t="str">
            <v>/3564-3727</v>
          </cell>
          <cell r="O273" t="str">
            <v>フユーエルホース</v>
          </cell>
          <cell r="Q273" t="str">
            <v xml:space="preserve"> </v>
          </cell>
          <cell r="T273" t="str">
            <v>ﾄｶﾜｺﾞﾑ</v>
          </cell>
          <cell r="V273" t="str">
            <v>62</v>
          </cell>
        </row>
        <row r="274">
          <cell r="B274" t="str">
            <v>2423</v>
          </cell>
          <cell r="C274" t="str">
            <v>#</v>
          </cell>
          <cell r="D274" t="str">
            <v>(株)ニチリン</v>
          </cell>
          <cell r="F274" t="str">
            <v>取締役社長</v>
          </cell>
          <cell r="G274" t="str">
            <v>外原  利彦</v>
          </cell>
          <cell r="H274">
            <v>333</v>
          </cell>
          <cell r="J274" t="str">
            <v>650</v>
          </cell>
          <cell r="K274" t="str">
            <v>神戸市中央区江戸町98</v>
          </cell>
          <cell r="L274" t="str">
            <v xml:space="preserve"> </v>
          </cell>
          <cell r="M274" t="str">
            <v>078-392-1471</v>
          </cell>
          <cell r="N274" t="str">
            <v>/</v>
          </cell>
          <cell r="O274" t="str">
            <v>液圧ｸﾗｯﾁﾎｰｽ</v>
          </cell>
          <cell r="Q274" t="str">
            <v xml:space="preserve"> </v>
          </cell>
          <cell r="T274" t="str">
            <v>ﾆﾁﾘﾝ</v>
          </cell>
          <cell r="V274" t="str">
            <v>62</v>
          </cell>
        </row>
        <row r="275">
          <cell r="B275" t="str">
            <v>2423</v>
          </cell>
          <cell r="C275" t="str">
            <v>A</v>
          </cell>
          <cell r="D275" t="str">
            <v>(株)ニチリン</v>
          </cell>
          <cell r="E275" t="str">
            <v>東京支社</v>
          </cell>
          <cell r="F275" t="str">
            <v>東京営業部長</v>
          </cell>
          <cell r="K275" t="str">
            <v>港区芝浦1-3-11</v>
          </cell>
          <cell r="L275" t="str">
            <v>ニュ－芝浦ビル4F</v>
          </cell>
          <cell r="M275" t="str">
            <v>03-5476-8050</v>
          </cell>
          <cell r="N275" t="str">
            <v>/5476-0338</v>
          </cell>
          <cell r="Q275" t="str">
            <v xml:space="preserve"> </v>
          </cell>
          <cell r="T275" t="str">
            <v>ﾆﾁﾘﾝ</v>
          </cell>
          <cell r="V275" t="str">
            <v>62</v>
          </cell>
        </row>
        <row r="276">
          <cell r="B276" t="str">
            <v>2424</v>
          </cell>
          <cell r="C276" t="str">
            <v>#</v>
          </cell>
          <cell r="D276" t="str">
            <v>オートリブ･ジャパン(株)</v>
          </cell>
          <cell r="F276" t="str">
            <v>代表取締役社長</v>
          </cell>
          <cell r="G276" t="str">
            <v>ﾚｲﾌ ｶｰﾙﾌﾞﾘﾝｸ</v>
          </cell>
          <cell r="H276" t="str">
            <v>560</v>
          </cell>
          <cell r="I276" t="str">
            <v>38</v>
          </cell>
          <cell r="J276" t="str">
            <v>231</v>
          </cell>
          <cell r="K276" t="str">
            <v>横浜市中区弁天通4-59</v>
          </cell>
          <cell r="L276" t="str">
            <v>第一生命ビル8F</v>
          </cell>
          <cell r="M276" t="str">
            <v>045-664-8705</v>
          </cell>
          <cell r="N276" t="str">
            <v>/664-1563</v>
          </cell>
          <cell r="O276" t="str">
            <v>ｴｱﾊﾞｯｸ ﾓｼﾞｭｰﾙ</v>
          </cell>
          <cell r="T276" t="str">
            <v>ｵｰﾄﾘﾌﾞｼﾞｬﾊﾟﾝ</v>
          </cell>
          <cell r="V276" t="str">
            <v>62</v>
          </cell>
        </row>
        <row r="277">
          <cell r="B277" t="str">
            <v>2425</v>
          </cell>
          <cell r="C277" t="str">
            <v>#</v>
          </cell>
          <cell r="D277" t="str">
            <v>山下ゴム(株)</v>
          </cell>
          <cell r="F277" t="str">
            <v>代表取締役社長</v>
          </cell>
          <cell r="G277" t="str">
            <v>山下  求</v>
          </cell>
          <cell r="H277">
            <v>476</v>
          </cell>
          <cell r="I277">
            <v>573</v>
          </cell>
          <cell r="J277">
            <v>356</v>
          </cell>
          <cell r="K277" t="str">
            <v>埼玉県入間郡大井町亀久保1239</v>
          </cell>
          <cell r="L277" t="str">
            <v xml:space="preserve"> </v>
          </cell>
          <cell r="M277" t="str">
            <v>0492-62-2804</v>
          </cell>
          <cell r="N277" t="str">
            <v>/66-4145</v>
          </cell>
          <cell r="O277" t="str">
            <v>ｻｽﾍﾟﾝｼｮﾝﾌﾞｯｼｭ</v>
          </cell>
          <cell r="P277" t="str">
            <v xml:space="preserve"> </v>
          </cell>
          <cell r="Q277" t="str">
            <v xml:space="preserve"> </v>
          </cell>
          <cell r="R277" t="str">
            <v xml:space="preserve"> </v>
          </cell>
          <cell r="S277" t="str">
            <v xml:space="preserve"> </v>
          </cell>
          <cell r="T277" t="str">
            <v>ﾔﾏｼﾀｺﾞﾑ KK</v>
          </cell>
          <cell r="V277" t="str">
            <v>67</v>
          </cell>
        </row>
        <row r="278">
          <cell r="B278" t="str">
            <v>2503</v>
          </cell>
          <cell r="C278" t="str">
            <v>#</v>
          </cell>
          <cell r="D278" t="str">
            <v>やまと工業(株)</v>
          </cell>
          <cell r="F278" t="str">
            <v>代表取締役</v>
          </cell>
          <cell r="G278" t="str">
            <v>村田　俊一</v>
          </cell>
          <cell r="H278">
            <v>20</v>
          </cell>
          <cell r="I278">
            <v>44</v>
          </cell>
          <cell r="J278" t="str">
            <v>252</v>
          </cell>
          <cell r="K278" t="str">
            <v>藤沢市遠藤2002-4</v>
          </cell>
          <cell r="L278" t="str">
            <v xml:space="preserve"> </v>
          </cell>
          <cell r="M278" t="str">
            <v>0466-88-2611</v>
          </cell>
          <cell r="N278" t="str">
            <v>/88-2255</v>
          </cell>
          <cell r="O278" t="str">
            <v>ｽﾌﾟﾘﾝｸﾞ</v>
          </cell>
          <cell r="P278" t="str">
            <v>▽</v>
          </cell>
          <cell r="Q278" t="str">
            <v>◎</v>
          </cell>
          <cell r="R278" t="str">
            <v>□</v>
          </cell>
          <cell r="S278" t="str">
            <v>☆</v>
          </cell>
          <cell r="T278" t="str">
            <v>ﾔﾏﾄｺｳｷﾞｮｳ</v>
          </cell>
          <cell r="V278" t="str">
            <v>64</v>
          </cell>
        </row>
        <row r="279">
          <cell r="B279" t="str">
            <v>2504</v>
          </cell>
          <cell r="C279" t="str">
            <v>#</v>
          </cell>
          <cell r="D279" t="str">
            <v>日本発条(株)</v>
          </cell>
          <cell r="F279" t="str">
            <v>代表取締役社長</v>
          </cell>
          <cell r="G279" t="str">
            <v>前田  次啓</v>
          </cell>
          <cell r="H279">
            <v>16800</v>
          </cell>
          <cell r="I279">
            <v>4100</v>
          </cell>
          <cell r="J279" t="str">
            <v>236</v>
          </cell>
          <cell r="K279" t="str">
            <v>横浜市金沢区福浦3-10</v>
          </cell>
          <cell r="L279" t="str">
            <v xml:space="preserve"> </v>
          </cell>
          <cell r="M279" t="str">
            <v>045-786-7511</v>
          </cell>
          <cell r="N279" t="str">
            <v>/</v>
          </cell>
          <cell r="O279" t="str">
            <v>ｽﾌﾟﾘﾝｸﾞ</v>
          </cell>
          <cell r="Q279" t="str">
            <v>◎</v>
          </cell>
          <cell r="R279" t="str">
            <v>□</v>
          </cell>
          <cell r="S279" t="str">
            <v>☆</v>
          </cell>
          <cell r="T279" t="str">
            <v>ﾆﾎﾝﾊﾂｼﾞｮｳ</v>
          </cell>
          <cell r="V279" t="str">
            <v>54</v>
          </cell>
        </row>
        <row r="280">
          <cell r="B280" t="str">
            <v>2504</v>
          </cell>
          <cell r="C280" t="str">
            <v>A</v>
          </cell>
          <cell r="D280" t="str">
            <v>日本発条(株)</v>
          </cell>
          <cell r="E280" t="str">
            <v>東京分館</v>
          </cell>
          <cell r="J280" t="str">
            <v>100</v>
          </cell>
          <cell r="K280" t="str">
            <v>千代田区内幸町1-2-2</v>
          </cell>
          <cell r="L280" t="str">
            <v>日比谷ダイビル18F</v>
          </cell>
          <cell r="M280" t="str">
            <v>03-3503-1361</v>
          </cell>
          <cell r="N280" t="str">
            <v>/3591-4631</v>
          </cell>
          <cell r="O280" t="str">
            <v>ｼｰﾄｽﾌﾟﾘﾝｸﾞ</v>
          </cell>
          <cell r="Q280" t="str">
            <v xml:space="preserve"> </v>
          </cell>
          <cell r="T280" t="str">
            <v>ﾆﾎﾝﾊﾂｼﾞｮｳ</v>
          </cell>
          <cell r="V280" t="str">
            <v>54</v>
          </cell>
        </row>
        <row r="281">
          <cell r="B281" t="str">
            <v>2504</v>
          </cell>
          <cell r="C281" t="str">
            <v>B</v>
          </cell>
          <cell r="D281" t="str">
            <v>日本発条(株)</v>
          </cell>
          <cell r="E281" t="str">
            <v>横浜工場</v>
          </cell>
          <cell r="J281" t="str">
            <v>236</v>
          </cell>
          <cell r="K281" t="str">
            <v>横浜市金沢区福浦3-10</v>
          </cell>
          <cell r="L281" t="str">
            <v xml:space="preserve"> </v>
          </cell>
          <cell r="M281" t="str">
            <v>045-786-7350</v>
          </cell>
          <cell r="N281" t="str">
            <v>/</v>
          </cell>
          <cell r="O281" t="str">
            <v>ﾊﾞﾙﾌﾞｽﾌﾟﾘﾝｸﾞ</v>
          </cell>
          <cell r="Q281" t="str">
            <v xml:space="preserve"> </v>
          </cell>
          <cell r="T281" t="str">
            <v>ﾆﾎﾝﾊﾂｼﾞｮｳ</v>
          </cell>
          <cell r="V281" t="str">
            <v>54</v>
          </cell>
        </row>
        <row r="282">
          <cell r="B282" t="str">
            <v>2505</v>
          </cell>
          <cell r="C282" t="str">
            <v>#</v>
          </cell>
          <cell r="D282" t="str">
            <v>三菱製鋼(株)</v>
          </cell>
          <cell r="F282" t="str">
            <v>代表取締役社長</v>
          </cell>
          <cell r="G282" t="str">
            <v>高山  輝夫</v>
          </cell>
          <cell r="H282">
            <v>7200</v>
          </cell>
          <cell r="I282">
            <v>1969</v>
          </cell>
          <cell r="J282" t="str">
            <v>100</v>
          </cell>
          <cell r="K282" t="str">
            <v>千代田区大手町2-6-2</v>
          </cell>
          <cell r="L282" t="str">
            <v xml:space="preserve"> </v>
          </cell>
          <cell r="M282" t="str">
            <v>03-3270-2080</v>
          </cell>
          <cell r="N282" t="str">
            <v>/</v>
          </cell>
          <cell r="O282" t="str">
            <v>ｽﾌﾟﾘﾝｸﾞ</v>
          </cell>
          <cell r="Q282" t="str">
            <v>◎</v>
          </cell>
          <cell r="R282" t="str">
            <v>□</v>
          </cell>
          <cell r="S282" t="str">
            <v>☆</v>
          </cell>
          <cell r="T282" t="str">
            <v>ﾐﾂﾋﾞｼｾｲｺｳ</v>
          </cell>
          <cell r="V282" t="str">
            <v>54</v>
          </cell>
        </row>
        <row r="283">
          <cell r="B283" t="str">
            <v>2505</v>
          </cell>
          <cell r="C283" t="str">
            <v>A</v>
          </cell>
          <cell r="D283" t="str">
            <v>三菱製鋼(株)</v>
          </cell>
          <cell r="E283" t="str">
            <v>本社事務所</v>
          </cell>
          <cell r="J283" t="str">
            <v>104</v>
          </cell>
          <cell r="K283" t="str">
            <v>中央区晴海3-2-22</v>
          </cell>
          <cell r="L283" t="str">
            <v>晴海パークビル</v>
          </cell>
          <cell r="M283" t="str">
            <v>03-3536-3161</v>
          </cell>
          <cell r="N283" t="str">
            <v>/3533-2786</v>
          </cell>
          <cell r="O283" t="str">
            <v>ｽﾌﾟﾘﾝｸﾞ</v>
          </cell>
          <cell r="Q283" t="str">
            <v xml:space="preserve"> </v>
          </cell>
          <cell r="T283" t="str">
            <v>ﾐﾂﾋﾞｼｾｲｺｳ</v>
          </cell>
          <cell r="V283" t="str">
            <v>54</v>
          </cell>
        </row>
        <row r="284">
          <cell r="B284" t="str">
            <v>2508</v>
          </cell>
          <cell r="C284" t="str">
            <v>#</v>
          </cell>
          <cell r="D284" t="str">
            <v>村田発條(株)</v>
          </cell>
          <cell r="F284" t="str">
            <v>代表取締役社長</v>
          </cell>
          <cell r="G284" t="str">
            <v>村田　一郎</v>
          </cell>
          <cell r="H284">
            <v>80</v>
          </cell>
          <cell r="I284">
            <v>320</v>
          </cell>
          <cell r="J284" t="str">
            <v>321</v>
          </cell>
          <cell r="K284" t="str">
            <v>宇都宮市平出工業団地20-4</v>
          </cell>
          <cell r="L284" t="str">
            <v xml:space="preserve"> </v>
          </cell>
          <cell r="M284" t="str">
            <v>0286-62-3811</v>
          </cell>
          <cell r="N284" t="str">
            <v>/</v>
          </cell>
          <cell r="O284" t="str">
            <v>ｽﾌﾟﾘﾝｸﾞ</v>
          </cell>
          <cell r="P284" t="str">
            <v>▽</v>
          </cell>
          <cell r="Q284" t="str">
            <v>◎</v>
          </cell>
          <cell r="R284" t="str">
            <v>□</v>
          </cell>
          <cell r="S284" t="str">
            <v>☆</v>
          </cell>
          <cell r="T284" t="str">
            <v>ﾑﾗﾀﾊﾂｼﾞｮｳ</v>
          </cell>
          <cell r="V284" t="str">
            <v>64</v>
          </cell>
        </row>
        <row r="285">
          <cell r="B285" t="str">
            <v>2508</v>
          </cell>
          <cell r="C285" t="str">
            <v>A</v>
          </cell>
          <cell r="D285" t="str">
            <v>村田発條(株)</v>
          </cell>
          <cell r="E285" t="str">
            <v>営業部</v>
          </cell>
          <cell r="F285" t="str">
            <v>部長代理</v>
          </cell>
          <cell r="G285" t="str">
            <v>高野  直</v>
          </cell>
          <cell r="J285" t="str">
            <v>141</v>
          </cell>
          <cell r="K285" t="str">
            <v>品川区東五反田1-11-9</v>
          </cell>
          <cell r="L285" t="str">
            <v>五洋ビル</v>
          </cell>
          <cell r="M285" t="str">
            <v>03-3445-4831</v>
          </cell>
          <cell r="N285" t="str">
            <v>/3445-4855</v>
          </cell>
          <cell r="O285" t="str">
            <v>ｽﾌﾟﾘﾝｸﾞ</v>
          </cell>
          <cell r="P285" t="str">
            <v>▽</v>
          </cell>
          <cell r="Q285" t="str">
            <v xml:space="preserve"> </v>
          </cell>
          <cell r="T285" t="str">
            <v>ﾑﾗﾀﾊﾂｼﾞｮｳ</v>
          </cell>
          <cell r="V285" t="str">
            <v>64</v>
          </cell>
        </row>
        <row r="286">
          <cell r="B286" t="str">
            <v>2509</v>
          </cell>
          <cell r="C286" t="str">
            <v>#</v>
          </cell>
          <cell r="D286" t="str">
            <v>大同興業(株)</v>
          </cell>
          <cell r="F286" t="str">
            <v>代表取締役社長</v>
          </cell>
          <cell r="G286" t="str">
            <v>堀江  勉</v>
          </cell>
          <cell r="H286">
            <v>1000</v>
          </cell>
          <cell r="I286">
            <v>500</v>
          </cell>
          <cell r="J286" t="str">
            <v>460</v>
          </cell>
          <cell r="K286" t="str">
            <v>名古屋市中区綿1-11-8</v>
          </cell>
          <cell r="L286" t="str">
            <v xml:space="preserve"> </v>
          </cell>
          <cell r="M286" t="str">
            <v>052-201-5111</v>
          </cell>
          <cell r="N286" t="str">
            <v>/</v>
          </cell>
          <cell r="O286" t="str">
            <v>ｽﾌﾟﾘﾝｸﾞﾜｯｼｬｰ</v>
          </cell>
          <cell r="Q286" t="str">
            <v xml:space="preserve"> </v>
          </cell>
          <cell r="R286" t="str">
            <v>□</v>
          </cell>
          <cell r="S286" t="str">
            <v>☆</v>
          </cell>
          <cell r="T286" t="str">
            <v>ﾀﾞｲﾄﾞｳｺｳｷﾞｮｳ</v>
          </cell>
          <cell r="V286" t="str">
            <v>64</v>
          </cell>
        </row>
        <row r="287">
          <cell r="B287" t="str">
            <v>2509</v>
          </cell>
          <cell r="C287" t="str">
            <v>A</v>
          </cell>
          <cell r="D287" t="str">
            <v>大同興業(株)</v>
          </cell>
          <cell r="E287" t="str">
            <v>東京支店　</v>
          </cell>
          <cell r="F287" t="str">
            <v>代表取締役副社長</v>
          </cell>
          <cell r="G287" t="str">
            <v>大鹿  貞司</v>
          </cell>
          <cell r="J287" t="str">
            <v>105</v>
          </cell>
          <cell r="K287" t="str">
            <v>港区西新橋1-24-14</v>
          </cell>
          <cell r="L287" t="str">
            <v xml:space="preserve"> </v>
          </cell>
          <cell r="M287" t="str">
            <v>03-3502-3129</v>
          </cell>
          <cell r="N287" t="str">
            <v>/3502-3350</v>
          </cell>
          <cell r="O287" t="str">
            <v>ｽﾌﾟﾘﾝｸﾞﾜｯｼｬｰ</v>
          </cell>
          <cell r="Q287" t="str">
            <v xml:space="preserve"> </v>
          </cell>
          <cell r="T287" t="str">
            <v>ﾀﾞｲﾄﾞｳｺｳｷﾞｮｳ</v>
          </cell>
          <cell r="V287" t="str">
            <v>64</v>
          </cell>
        </row>
        <row r="288">
          <cell r="B288" t="str">
            <v>2509</v>
          </cell>
          <cell r="C288" t="str">
            <v>B</v>
          </cell>
          <cell r="D288" t="str">
            <v>大同興業(株)</v>
          </cell>
          <cell r="F288" t="str">
            <v xml:space="preserve">   東京支店長</v>
          </cell>
          <cell r="K288" t="str">
            <v xml:space="preserve"> </v>
          </cell>
          <cell r="L288" t="str">
            <v xml:space="preserve"> </v>
          </cell>
          <cell r="N288" t="str">
            <v>/</v>
          </cell>
          <cell r="Q288" t="str">
            <v xml:space="preserve"> </v>
          </cell>
          <cell r="T288" t="str">
            <v>ﾀﾞｲﾄﾞｳｺｳｷﾞｮｳ</v>
          </cell>
          <cell r="V288" t="str">
            <v>64</v>
          </cell>
        </row>
        <row r="289">
          <cell r="B289" t="str">
            <v>2510</v>
          </cell>
          <cell r="C289" t="str">
            <v>#</v>
          </cell>
          <cell r="D289" t="str">
            <v>北海バネ(株)</v>
          </cell>
          <cell r="F289" t="str">
            <v>代表取締役</v>
          </cell>
          <cell r="G289" t="str">
            <v>岸　　條太郎</v>
          </cell>
          <cell r="H289">
            <v>20</v>
          </cell>
          <cell r="I289">
            <v>100</v>
          </cell>
          <cell r="J289" t="str">
            <v>047-02</v>
          </cell>
          <cell r="K289" t="str">
            <v>小樽市銭函2-54-8</v>
          </cell>
          <cell r="L289" t="str">
            <v xml:space="preserve"> </v>
          </cell>
          <cell r="M289" t="str">
            <v>0134-62-3521</v>
          </cell>
          <cell r="N289" t="str">
            <v>/</v>
          </cell>
          <cell r="O289" t="str">
            <v>ｽﾌﾟﾘﾝｸﾞ</v>
          </cell>
          <cell r="P289" t="str">
            <v>▽</v>
          </cell>
          <cell r="Q289" t="str">
            <v xml:space="preserve"> </v>
          </cell>
          <cell r="R289" t="str">
            <v>□</v>
          </cell>
          <cell r="S289" t="str">
            <v>☆</v>
          </cell>
          <cell r="T289" t="str">
            <v>ﾎｯｶｲﾊﾞﾈ</v>
          </cell>
          <cell r="V289" t="str">
            <v>64</v>
          </cell>
        </row>
        <row r="290">
          <cell r="B290" t="str">
            <v>2510</v>
          </cell>
          <cell r="C290" t="str">
            <v>A</v>
          </cell>
          <cell r="D290" t="str">
            <v>北海バネ(株)</v>
          </cell>
          <cell r="E290" t="str">
            <v>東京事業部 東京営業所</v>
          </cell>
          <cell r="J290" t="str">
            <v>142</v>
          </cell>
          <cell r="K290" t="str">
            <v>品川区二葉2-7-13</v>
          </cell>
          <cell r="L290" t="str">
            <v xml:space="preserve"> </v>
          </cell>
          <cell r="M290" t="str">
            <v>03-3787-2170</v>
          </cell>
          <cell r="N290" t="str">
            <v>/3784-5010</v>
          </cell>
          <cell r="O290" t="str">
            <v>ｽﾌﾟﾘﾝｸﾞ</v>
          </cell>
          <cell r="P290" t="str">
            <v>▽</v>
          </cell>
          <cell r="Q290" t="str">
            <v xml:space="preserve"> </v>
          </cell>
          <cell r="T290" t="str">
            <v>ﾎｯｶｲﾊﾞﾈ</v>
          </cell>
          <cell r="V290" t="str">
            <v>64</v>
          </cell>
        </row>
        <row r="291">
          <cell r="B291" t="str">
            <v>2511</v>
          </cell>
          <cell r="C291" t="str">
            <v>#</v>
          </cell>
          <cell r="D291" t="str">
            <v>(株)ユタカ技研</v>
          </cell>
          <cell r="F291" t="str">
            <v>代表取締役社長</v>
          </cell>
          <cell r="G291" t="str">
            <v>大久保  新介</v>
          </cell>
          <cell r="H291" t="str">
            <v>1312</v>
          </cell>
          <cell r="I291" t="str">
            <v>1065</v>
          </cell>
          <cell r="J291" t="str">
            <v>431-31</v>
          </cell>
          <cell r="K291" t="str">
            <v>浜松市豊町508-1</v>
          </cell>
          <cell r="L291" t="str">
            <v xml:space="preserve"> </v>
          </cell>
          <cell r="M291" t="str">
            <v>053-433-4115</v>
          </cell>
          <cell r="N291" t="str">
            <v>/433-8616</v>
          </cell>
          <cell r="O291" t="str">
            <v>スタビライザー</v>
          </cell>
          <cell r="T291" t="str">
            <v>ﾕﾀｶｷﾞｹﾝ</v>
          </cell>
          <cell r="V291" t="str">
            <v>54</v>
          </cell>
        </row>
        <row r="292">
          <cell r="B292" t="str">
            <v>2512</v>
          </cell>
          <cell r="C292" t="str">
            <v>#</v>
          </cell>
          <cell r="D292" t="str">
            <v>(株)エフテック</v>
          </cell>
          <cell r="F292" t="str">
            <v>取締役社長</v>
          </cell>
          <cell r="G292" t="str">
            <v>福田  秋秀</v>
          </cell>
          <cell r="H292" t="str">
            <v>1270</v>
          </cell>
          <cell r="I292" t="str">
            <v>755</v>
          </cell>
          <cell r="J292" t="str">
            <v>346-01</v>
          </cell>
          <cell r="K292" t="str">
            <v>埼玉県南埼玉郡菖蒲町昭和沼</v>
          </cell>
          <cell r="L292" t="str">
            <v>19</v>
          </cell>
          <cell r="M292" t="str">
            <v>0480-85-5211</v>
          </cell>
          <cell r="N292" t="str">
            <v>/85-5219</v>
          </cell>
          <cell r="O292" t="str">
            <v>スタビライザー</v>
          </cell>
          <cell r="T292" t="str">
            <v>KK ｴﾌﾃｯｸ</v>
          </cell>
          <cell r="V292" t="str">
            <v>54</v>
          </cell>
        </row>
        <row r="293">
          <cell r="B293" t="str">
            <v>2550</v>
          </cell>
          <cell r="C293" t="str">
            <v>#</v>
          </cell>
          <cell r="D293" t="str">
            <v>(株)ｾﾞｸｾﾙｺｰﾙﾄﾞｼｽﾃﾑｽﾞ</v>
          </cell>
          <cell r="F293" t="str">
            <v>取締役社長</v>
          </cell>
          <cell r="G293" t="str">
            <v>八塩  孝平</v>
          </cell>
          <cell r="H293">
            <v>490</v>
          </cell>
          <cell r="I293">
            <v>111</v>
          </cell>
          <cell r="J293" t="str">
            <v>360-1</v>
          </cell>
          <cell r="K293" t="str">
            <v>埼玉県大里郡江南町大字千代</v>
          </cell>
          <cell r="L293" t="str">
            <v>字東原39</v>
          </cell>
          <cell r="M293" t="str">
            <v>0485-36-8692</v>
          </cell>
          <cell r="N293" t="str">
            <v>/</v>
          </cell>
          <cell r="O293" t="str">
            <v>バス用エアコン</v>
          </cell>
          <cell r="Q293" t="str">
            <v xml:space="preserve"> </v>
          </cell>
          <cell r="R293" t="str">
            <v>□</v>
          </cell>
          <cell r="S293" t="str">
            <v>☆</v>
          </cell>
          <cell r="T293" t="str">
            <v>ｾﾞｸｾﾙｺｰﾙﾄﾞｼｽﾃﾑｽﾞ</v>
          </cell>
          <cell r="V293" t="str">
            <v>62</v>
          </cell>
        </row>
        <row r="294">
          <cell r="B294" t="str">
            <v>2550</v>
          </cell>
          <cell r="C294" t="str">
            <v>A</v>
          </cell>
          <cell r="D294" t="str">
            <v>(株)ｾﾞｸｾﾙｺｰﾙﾄﾞｼｽﾃﾑｽﾞ</v>
          </cell>
          <cell r="E294" t="str">
            <v>営業部</v>
          </cell>
          <cell r="K294" t="str">
            <v>新座市北野3-4-1</v>
          </cell>
          <cell r="L294" t="str">
            <v>ゼクセルTMビル4F</v>
          </cell>
          <cell r="M294" t="str">
            <v>048-475-2536</v>
          </cell>
          <cell r="N294" t="str">
            <v>/475-2539</v>
          </cell>
          <cell r="Q294" t="str">
            <v xml:space="preserve"> </v>
          </cell>
          <cell r="T294" t="str">
            <v>ｾﾞｸｾﾙｺｰﾙﾄﾞｼｽﾃﾑｽﾞ</v>
          </cell>
          <cell r="V294" t="str">
            <v>62</v>
          </cell>
        </row>
        <row r="295">
          <cell r="B295" t="str">
            <v>2600</v>
          </cell>
          <cell r="C295" t="str">
            <v>#</v>
          </cell>
          <cell r="D295" t="str">
            <v>(株)エビナ電機製作所</v>
          </cell>
          <cell r="F295" t="str">
            <v>代表取締役社長</v>
          </cell>
          <cell r="G295" t="str">
            <v>海老名　季友</v>
          </cell>
          <cell r="H295">
            <v>35</v>
          </cell>
          <cell r="I295">
            <v>37</v>
          </cell>
          <cell r="J295" t="str">
            <v>143</v>
          </cell>
          <cell r="K295" t="str">
            <v>大田区京浜島2-3-11</v>
          </cell>
          <cell r="L295" t="str">
            <v xml:space="preserve"> </v>
          </cell>
          <cell r="M295" t="str">
            <v>03-3790-0366</v>
          </cell>
          <cell r="N295" t="str">
            <v>/3790-0382</v>
          </cell>
          <cell r="O295" t="str">
            <v>ﾋｭｰｽﾞﾎﾞｯｸｽ･ﾗｲﾃｨﾝｸﾞSW</v>
          </cell>
          <cell r="P295" t="str">
            <v>▽</v>
          </cell>
          <cell r="Q295" t="str">
            <v>◎</v>
          </cell>
          <cell r="R295" t="str">
            <v>□</v>
          </cell>
          <cell r="S295" t="str">
            <v>☆</v>
          </cell>
          <cell r="T295" t="str">
            <v>ｴﾋﾞﾅﾃﾞﾝｷｾｲｻｸｼｮ</v>
          </cell>
          <cell r="V295" t="str">
            <v>62</v>
          </cell>
        </row>
        <row r="296">
          <cell r="B296" t="str">
            <v>2602</v>
          </cell>
          <cell r="C296" t="str">
            <v>#</v>
          </cell>
          <cell r="D296" t="str">
            <v>自動車電機工業(株)</v>
          </cell>
          <cell r="F296" t="str">
            <v>取締役社長</v>
          </cell>
          <cell r="G296" t="str">
            <v>小林　京二</v>
          </cell>
          <cell r="H296">
            <v>1155</v>
          </cell>
          <cell r="I296">
            <v>1545</v>
          </cell>
          <cell r="J296" t="str">
            <v>245</v>
          </cell>
          <cell r="K296" t="str">
            <v>横浜市戸塚区東俣野1760</v>
          </cell>
          <cell r="L296" t="str">
            <v xml:space="preserve"> </v>
          </cell>
          <cell r="M296" t="str">
            <v>045-853-7511</v>
          </cell>
          <cell r="N296" t="str">
            <v>/851-4034</v>
          </cell>
          <cell r="O296" t="str">
            <v>ワイパー・リレー</v>
          </cell>
          <cell r="Q296" t="str">
            <v>◎</v>
          </cell>
          <cell r="R296" t="str">
            <v>□</v>
          </cell>
          <cell r="S296" t="str">
            <v>☆</v>
          </cell>
          <cell r="T296" t="str">
            <v>ｼﾞﾄﾞｳｼｬﾃﾞﾝｷｺｳｷﾞｮｳ</v>
          </cell>
          <cell r="V296" t="str">
            <v>62</v>
          </cell>
        </row>
        <row r="297">
          <cell r="B297" t="str">
            <v>2605</v>
          </cell>
          <cell r="C297" t="str">
            <v>#</v>
          </cell>
          <cell r="D297" t="str">
            <v>富士電化工業(株)</v>
          </cell>
          <cell r="F297" t="str">
            <v>代表取締役社長</v>
          </cell>
          <cell r="G297" t="str">
            <v>城戸　康行</v>
          </cell>
          <cell r="H297">
            <v>10</v>
          </cell>
          <cell r="I297">
            <v>12</v>
          </cell>
          <cell r="J297" t="str">
            <v>105</v>
          </cell>
          <cell r="K297" t="str">
            <v>港区東新橋2-14-1-101</v>
          </cell>
          <cell r="L297" t="str">
            <v xml:space="preserve"> </v>
          </cell>
          <cell r="M297" t="str">
            <v>03-3432-5541</v>
          </cell>
          <cell r="N297" t="str">
            <v>/3432-5546</v>
          </cell>
          <cell r="O297" t="str">
            <v>ワイパーモーター フラッシャーユニット 搭載工具</v>
          </cell>
          <cell r="Q297" t="str">
            <v>◎</v>
          </cell>
          <cell r="R297" t="str">
            <v>□</v>
          </cell>
          <cell r="S297" t="str">
            <v>☆</v>
          </cell>
          <cell r="T297" t="str">
            <v>ﾌｼﾞﾃﾞﾝｶｺｳｷﾞｮｳ</v>
          </cell>
          <cell r="V297" t="str">
            <v>64</v>
          </cell>
        </row>
        <row r="298">
          <cell r="B298" t="str">
            <v>2606</v>
          </cell>
          <cell r="C298" t="str">
            <v>#</v>
          </cell>
          <cell r="D298" t="str">
            <v>日興電機工業(株)</v>
          </cell>
          <cell r="F298" t="str">
            <v>取締役社長</v>
          </cell>
          <cell r="G298" t="str">
            <v>後藤　常元</v>
          </cell>
          <cell r="H298">
            <v>500</v>
          </cell>
          <cell r="I298">
            <v>432</v>
          </cell>
          <cell r="J298" t="str">
            <v>144</v>
          </cell>
          <cell r="K298" t="str">
            <v>大田区東六郷1-12-11</v>
          </cell>
          <cell r="L298" t="str">
            <v xml:space="preserve"> </v>
          </cell>
          <cell r="M298" t="str">
            <v>03-3739-9191</v>
          </cell>
          <cell r="N298" t="str">
            <v>/3731-0057</v>
          </cell>
          <cell r="O298" t="str">
            <v>電装品</v>
          </cell>
          <cell r="Q298" t="str">
            <v>◎</v>
          </cell>
          <cell r="R298" t="str">
            <v>□</v>
          </cell>
          <cell r="S298" t="str">
            <v>☆</v>
          </cell>
          <cell r="T298" t="str">
            <v>ﾆｯｺｳﾃﾞﾝｷｺｳｷﾞｮｳ</v>
          </cell>
          <cell r="V298" t="str">
            <v>51</v>
          </cell>
        </row>
        <row r="299">
          <cell r="B299" t="str">
            <v>2606</v>
          </cell>
          <cell r="C299" t="str">
            <v>A</v>
          </cell>
          <cell r="D299" t="str">
            <v>日興電機工業(株)</v>
          </cell>
          <cell r="E299" t="str">
            <v>秦野製造所</v>
          </cell>
          <cell r="J299" t="str">
            <v>259-13</v>
          </cell>
          <cell r="K299" t="str">
            <v>秦野市菩提90</v>
          </cell>
          <cell r="L299" t="str">
            <v xml:space="preserve"> </v>
          </cell>
          <cell r="M299" t="str">
            <v>0463-75-0010</v>
          </cell>
          <cell r="N299" t="str">
            <v>/</v>
          </cell>
          <cell r="O299" t="str">
            <v>電装品</v>
          </cell>
          <cell r="Q299" t="str">
            <v xml:space="preserve"> </v>
          </cell>
          <cell r="T299" t="str">
            <v>ﾆｯｺｳﾃﾞﾝｷｺｳｷﾞｮｳ</v>
          </cell>
          <cell r="V299" t="str">
            <v>51</v>
          </cell>
        </row>
        <row r="300">
          <cell r="B300" t="str">
            <v>2607</v>
          </cell>
          <cell r="C300" t="str">
            <v>#</v>
          </cell>
          <cell r="D300" t="str">
            <v>(株)デンソー</v>
          </cell>
          <cell r="F300" t="str">
            <v>取締役社長</v>
          </cell>
          <cell r="G300" t="str">
            <v>岡部  弘</v>
          </cell>
          <cell r="H300">
            <v>112211</v>
          </cell>
          <cell r="I300">
            <v>40660</v>
          </cell>
          <cell r="J300" t="str">
            <v>448</v>
          </cell>
          <cell r="K300" t="str">
            <v>刈谷市昭和町1-1</v>
          </cell>
          <cell r="L300" t="str">
            <v xml:space="preserve"> </v>
          </cell>
          <cell r="M300" t="str">
            <v>0566-25-5511</v>
          </cell>
          <cell r="N300" t="str">
            <v>/25-4572</v>
          </cell>
          <cell r="O300" t="str">
            <v>ｽﾀｰﾀ･ACG･噴射ﾎﾟﾝﾌﾟ</v>
          </cell>
          <cell r="Q300" t="str">
            <v>◎</v>
          </cell>
          <cell r="R300" t="str">
            <v>□</v>
          </cell>
          <cell r="S300" t="str">
            <v>☆</v>
          </cell>
          <cell r="T300" t="str">
            <v>ﾃﾞﾝｿｰ</v>
          </cell>
          <cell r="V300" t="str">
            <v>51</v>
          </cell>
        </row>
        <row r="301">
          <cell r="B301" t="str">
            <v>2607</v>
          </cell>
          <cell r="C301" t="str">
            <v>A</v>
          </cell>
          <cell r="D301" t="str">
            <v>(株)デンソー</v>
          </cell>
          <cell r="E301" t="str">
            <v>東京支店　</v>
          </cell>
          <cell r="F301" t="str">
            <v>取締役支店長</v>
          </cell>
          <cell r="G301" t="str">
            <v>津山  隆三　</v>
          </cell>
          <cell r="J301" t="str">
            <v>150</v>
          </cell>
          <cell r="K301" t="str">
            <v>渋谷区松濤町2-15-13</v>
          </cell>
          <cell r="L301" t="str">
            <v xml:space="preserve"> </v>
          </cell>
          <cell r="M301" t="str">
            <v>03-5478-7828</v>
          </cell>
          <cell r="N301" t="str">
            <v>/5478-7896</v>
          </cell>
          <cell r="O301" t="str">
            <v>ﾋｰﾀ･ﾒｰﾀｰ</v>
          </cell>
          <cell r="Q301" t="str">
            <v xml:space="preserve"> </v>
          </cell>
          <cell r="T301" t="str">
            <v>ﾃﾞﾝｿｰ</v>
          </cell>
          <cell r="V301" t="str">
            <v>51</v>
          </cell>
        </row>
        <row r="302">
          <cell r="B302" t="str">
            <v>2607</v>
          </cell>
          <cell r="C302" t="str">
            <v>B</v>
          </cell>
          <cell r="D302" t="str">
            <v>(株)デンソー</v>
          </cell>
          <cell r="E302" t="str">
            <v>安城製作所</v>
          </cell>
          <cell r="F302" t="str">
            <v>東京支社総括</v>
          </cell>
          <cell r="J302" t="str">
            <v>446</v>
          </cell>
          <cell r="K302" t="str">
            <v>安城市里町長根２－１</v>
          </cell>
          <cell r="L302" t="str">
            <v xml:space="preserve"> </v>
          </cell>
          <cell r="M302" t="str">
            <v>0566-98-1211</v>
          </cell>
          <cell r="N302" t="str">
            <v>/</v>
          </cell>
          <cell r="O302" t="str">
            <v xml:space="preserve"> </v>
          </cell>
          <cell r="Q302" t="str">
            <v xml:space="preserve"> </v>
          </cell>
          <cell r="T302" t="str">
            <v>ﾃﾞﾝｿｰ</v>
          </cell>
          <cell r="V302" t="str">
            <v>51</v>
          </cell>
        </row>
        <row r="303">
          <cell r="B303" t="str">
            <v>2607</v>
          </cell>
          <cell r="C303" t="str">
            <v>C</v>
          </cell>
          <cell r="D303" t="str">
            <v>(株)デンソー</v>
          </cell>
          <cell r="E303" t="str">
            <v>池田製作所</v>
          </cell>
          <cell r="J303" t="str">
            <v>448</v>
          </cell>
          <cell r="K303" t="str">
            <v>刈谷市池田町5-1</v>
          </cell>
          <cell r="L303" t="str">
            <v xml:space="preserve"> </v>
          </cell>
          <cell r="M303" t="str">
            <v>0566-22-2311</v>
          </cell>
          <cell r="N303" t="str">
            <v>/</v>
          </cell>
          <cell r="O303" t="str">
            <v xml:space="preserve"> </v>
          </cell>
          <cell r="Q303" t="str">
            <v xml:space="preserve"> </v>
          </cell>
          <cell r="T303" t="str">
            <v>ﾃﾞﾝｿｰ</v>
          </cell>
          <cell r="V303" t="str">
            <v>51</v>
          </cell>
        </row>
        <row r="304">
          <cell r="B304" t="str">
            <v>2607</v>
          </cell>
          <cell r="C304" t="str">
            <v>D</v>
          </cell>
          <cell r="D304" t="str">
            <v>(株)デンソー</v>
          </cell>
          <cell r="E304" t="str">
            <v>西尾製作所</v>
          </cell>
          <cell r="J304" t="str">
            <v>445</v>
          </cell>
          <cell r="K304" t="str">
            <v>西尾市下羽角町住崎1</v>
          </cell>
          <cell r="L304" t="str">
            <v xml:space="preserve"> </v>
          </cell>
          <cell r="M304" t="str">
            <v>05635-2-3311</v>
          </cell>
          <cell r="N304" t="str">
            <v>/</v>
          </cell>
          <cell r="O304" t="str">
            <v xml:space="preserve"> </v>
          </cell>
          <cell r="Q304" t="str">
            <v xml:space="preserve"> </v>
          </cell>
          <cell r="T304" t="str">
            <v>ﾃﾞﾝｿｰ</v>
          </cell>
          <cell r="V304" t="str">
            <v>51</v>
          </cell>
        </row>
        <row r="305">
          <cell r="B305" t="str">
            <v>2608</v>
          </cell>
          <cell r="C305" t="str">
            <v>#</v>
          </cell>
          <cell r="D305" t="str">
            <v>日本特殊陶業(株)</v>
          </cell>
          <cell r="F305" t="str">
            <v>取締役社長</v>
          </cell>
          <cell r="G305" t="str">
            <v>岡村  鐘雄</v>
          </cell>
          <cell r="H305">
            <v>33279</v>
          </cell>
          <cell r="I305">
            <v>4890</v>
          </cell>
          <cell r="J305" t="str">
            <v>467</v>
          </cell>
          <cell r="K305" t="str">
            <v>名古屋市瑞穂区高辻町14-18</v>
          </cell>
          <cell r="L305" t="str">
            <v xml:space="preserve"> </v>
          </cell>
          <cell r="M305" t="str">
            <v>052-872-5928</v>
          </cell>
          <cell r="N305" t="str">
            <v>/</v>
          </cell>
          <cell r="O305" t="str">
            <v>ｽﾊﾟｰｸﾌﾟﾗｸﾞ</v>
          </cell>
          <cell r="Q305" t="str">
            <v>◎</v>
          </cell>
          <cell r="R305" t="str">
            <v>□</v>
          </cell>
          <cell r="S305" t="str">
            <v>☆</v>
          </cell>
          <cell r="T305" t="str">
            <v>ﾆﾎﾝﾄｸｼｭﾄｳｷﾞｮｳ</v>
          </cell>
          <cell r="V305" t="str">
            <v>51</v>
          </cell>
        </row>
        <row r="306">
          <cell r="B306" t="str">
            <v>2608</v>
          </cell>
          <cell r="C306" t="str">
            <v>A</v>
          </cell>
          <cell r="D306" t="str">
            <v>日本特殊陶業(株)</v>
          </cell>
          <cell r="E306" t="str">
            <v>東京営業所</v>
          </cell>
          <cell r="F306" t="str">
            <v>取締役所長</v>
          </cell>
          <cell r="G306" t="str">
            <v>佐々木 正雄</v>
          </cell>
          <cell r="J306" t="str">
            <v>108</v>
          </cell>
          <cell r="K306" t="str">
            <v>港区高輪4-24-58</v>
          </cell>
          <cell r="L306" t="str">
            <v xml:space="preserve"> </v>
          </cell>
          <cell r="M306" t="str">
            <v>03-3440-5515</v>
          </cell>
          <cell r="N306" t="str">
            <v>/3440-5525</v>
          </cell>
          <cell r="O306" t="str">
            <v>切削工具</v>
          </cell>
          <cell r="Q306" t="str">
            <v xml:space="preserve"> </v>
          </cell>
          <cell r="T306" t="str">
            <v>ﾆﾎﾝﾄｸｼｭﾄｳｷﾞｮｳ</v>
          </cell>
          <cell r="V306" t="str">
            <v>51</v>
          </cell>
        </row>
        <row r="307">
          <cell r="B307" t="str">
            <v>2608</v>
          </cell>
          <cell r="C307" t="str">
            <v>B</v>
          </cell>
          <cell r="D307" t="str">
            <v>日本特殊陶業(株)</v>
          </cell>
          <cell r="E307" t="str">
            <v>小牧工場</v>
          </cell>
          <cell r="J307" t="str">
            <v>485</v>
          </cell>
          <cell r="K307" t="str">
            <v>小牧市大字岩崎2808</v>
          </cell>
          <cell r="L307" t="str">
            <v xml:space="preserve"> </v>
          </cell>
          <cell r="M307" t="str">
            <v>0568-77-1151</v>
          </cell>
          <cell r="N307" t="str">
            <v>/</v>
          </cell>
          <cell r="Q307" t="str">
            <v xml:space="preserve"> </v>
          </cell>
          <cell r="T307" t="str">
            <v>ﾆﾎﾝﾄｸｼｭﾄｳｷﾞｮｳ</v>
          </cell>
          <cell r="V307" t="str">
            <v>51</v>
          </cell>
        </row>
        <row r="308">
          <cell r="B308" t="str">
            <v>2609</v>
          </cell>
          <cell r="C308" t="str">
            <v>#</v>
          </cell>
          <cell r="D308" t="str">
            <v>ナイルス部品(株)</v>
          </cell>
          <cell r="F308" t="str">
            <v>代表取締役社長</v>
          </cell>
          <cell r="G308" t="str">
            <v>鈴木　武利</v>
          </cell>
          <cell r="H308">
            <v>640</v>
          </cell>
          <cell r="I308">
            <v>1537</v>
          </cell>
          <cell r="J308" t="str">
            <v>143</v>
          </cell>
          <cell r="K308" t="str">
            <v>大田区大森西5-28-6</v>
          </cell>
          <cell r="L308" t="str">
            <v xml:space="preserve"> </v>
          </cell>
          <cell r="M308" t="str">
            <v>03-3763-0339</v>
          </cell>
          <cell r="N308" t="str">
            <v>/3298-1628</v>
          </cell>
          <cell r="O308" t="str">
            <v>ｼｶﾞｰﾗｰﾀｰ､ｽﾄｯﾌﾟｽｨｯﾁ</v>
          </cell>
          <cell r="Q308" t="str">
            <v>◎</v>
          </cell>
          <cell r="R308" t="str">
            <v>□</v>
          </cell>
          <cell r="S308" t="str">
            <v>☆</v>
          </cell>
          <cell r="T308" t="str">
            <v>ﾅｲﾙｽﾌﾞﾋﾝ</v>
          </cell>
          <cell r="V308" t="str">
            <v>62</v>
          </cell>
        </row>
        <row r="309">
          <cell r="B309" t="str">
            <v>2610</v>
          </cell>
          <cell r="C309" t="str">
            <v>#</v>
          </cell>
          <cell r="D309" t="str">
            <v>東京いすゞ自動車(株)</v>
          </cell>
          <cell r="F309" t="str">
            <v>取締役社長</v>
          </cell>
          <cell r="G309" t="str">
            <v>天野  敏</v>
          </cell>
          <cell r="H309">
            <v>850</v>
          </cell>
          <cell r="I309">
            <v>738</v>
          </cell>
          <cell r="J309" t="str">
            <v>100</v>
          </cell>
          <cell r="K309" t="str">
            <v>千代田区永田町2-4-12</v>
          </cell>
          <cell r="L309" t="str">
            <v xml:space="preserve"> </v>
          </cell>
          <cell r="M309" t="str">
            <v>03-5548-0811</v>
          </cell>
          <cell r="N309" t="str">
            <v>/5548-0820</v>
          </cell>
          <cell r="O309" t="str">
            <v>ｴﾝｼﾞﾝﾃｽﾄ及び点検･整備他</v>
          </cell>
          <cell r="Q309" t="str">
            <v xml:space="preserve"> </v>
          </cell>
          <cell r="R309" t="str">
            <v>□</v>
          </cell>
          <cell r="T309" t="str">
            <v>ﾄｳｷｮｳｲｽｽﾞｼﾞﾄﾞｳｼｬ</v>
          </cell>
          <cell r="V309" t="str">
            <v>30</v>
          </cell>
        </row>
        <row r="310">
          <cell r="B310" t="str">
            <v>2612</v>
          </cell>
          <cell r="C310" t="str">
            <v>#</v>
          </cell>
          <cell r="D310" t="str">
            <v>(株)上田製作所</v>
          </cell>
          <cell r="F310" t="str">
            <v>代表取締役社長</v>
          </cell>
          <cell r="G310" t="str">
            <v>上田　勝義</v>
          </cell>
          <cell r="H310">
            <v>30</v>
          </cell>
          <cell r="I310">
            <v>35</v>
          </cell>
          <cell r="J310" t="str">
            <v>143</v>
          </cell>
          <cell r="K310" t="str">
            <v>大田区大森西2-20-19</v>
          </cell>
          <cell r="L310" t="str">
            <v xml:space="preserve"> </v>
          </cell>
          <cell r="M310" t="str">
            <v>03-3764-1311</v>
          </cell>
          <cell r="N310" t="str">
            <v>/3764-1314</v>
          </cell>
          <cell r="O310" t="str">
            <v>ドレインコックスイッチ</v>
          </cell>
          <cell r="P310" t="str">
            <v>▽</v>
          </cell>
          <cell r="Q310" t="str">
            <v>◎</v>
          </cell>
          <cell r="R310" t="str">
            <v>□</v>
          </cell>
          <cell r="S310" t="str">
            <v>☆</v>
          </cell>
          <cell r="T310" t="str">
            <v>ｳｴﾀﾞｾｲｻｸｼｮ</v>
          </cell>
          <cell r="V310" t="str">
            <v>53</v>
          </cell>
        </row>
        <row r="311">
          <cell r="B311" t="str">
            <v>2613</v>
          </cell>
          <cell r="C311" t="str">
            <v>#</v>
          </cell>
          <cell r="D311" t="str">
            <v>(株)日立製作所</v>
          </cell>
          <cell r="F311" t="str">
            <v>代表取締役社長</v>
          </cell>
          <cell r="G311" t="str">
            <v>金井　務</v>
          </cell>
          <cell r="H311">
            <v>278123</v>
          </cell>
          <cell r="I311">
            <v>76679</v>
          </cell>
          <cell r="J311" t="str">
            <v>101</v>
          </cell>
          <cell r="K311" t="str">
            <v>千代田区神田駿河台4-6</v>
          </cell>
          <cell r="L311" t="str">
            <v xml:space="preserve"> </v>
          </cell>
          <cell r="M311" t="str">
            <v>03-3258-1111</v>
          </cell>
          <cell r="N311" t="str">
            <v>/</v>
          </cell>
          <cell r="O311" t="str">
            <v>電装品・気化器</v>
          </cell>
          <cell r="Q311" t="str">
            <v>◎</v>
          </cell>
          <cell r="R311" t="str">
            <v>□</v>
          </cell>
          <cell r="S311" t="str">
            <v>☆</v>
          </cell>
          <cell r="T311" t="str">
            <v>ﾋﾀﾁｾｲｻｸｼｮ</v>
          </cell>
          <cell r="U311" t="str">
            <v xml:space="preserve"> </v>
          </cell>
          <cell r="V311" t="str">
            <v>51</v>
          </cell>
        </row>
        <row r="312">
          <cell r="B312" t="str">
            <v>2613</v>
          </cell>
          <cell r="C312" t="str">
            <v>A</v>
          </cell>
          <cell r="D312" t="str">
            <v>(株)日立製作所</v>
          </cell>
          <cell r="E312" t="str">
            <v>自動車機器営業本部</v>
          </cell>
          <cell r="F312" t="str">
            <v>営業本部長</v>
          </cell>
          <cell r="G312" t="str">
            <v>山田  金作</v>
          </cell>
          <cell r="J312" t="str">
            <v>101</v>
          </cell>
          <cell r="K312" t="str">
            <v>千代田区神田駿河台4-6</v>
          </cell>
          <cell r="L312" t="str">
            <v xml:space="preserve"> </v>
          </cell>
          <cell r="M312" t="str">
            <v>03-5295-5721</v>
          </cell>
          <cell r="N312" t="str">
            <v>/3258-5496</v>
          </cell>
          <cell r="O312" t="str">
            <v>電装品・気化器</v>
          </cell>
          <cell r="Q312" t="str">
            <v xml:space="preserve"> </v>
          </cell>
          <cell r="T312" t="str">
            <v>ﾋﾀﾁｾｲｻｸｼｮ</v>
          </cell>
          <cell r="V312" t="str">
            <v>51</v>
          </cell>
        </row>
        <row r="313">
          <cell r="B313" t="str">
            <v>2613</v>
          </cell>
          <cell r="C313" t="str">
            <v>B</v>
          </cell>
          <cell r="D313" t="str">
            <v>(株)日立製作所</v>
          </cell>
          <cell r="E313" t="str">
            <v>自動車機器事業部</v>
          </cell>
          <cell r="J313" t="str">
            <v>312</v>
          </cell>
          <cell r="K313" t="str">
            <v>ひたちなか市大字高場2520</v>
          </cell>
          <cell r="L313" t="str">
            <v xml:space="preserve"> </v>
          </cell>
          <cell r="M313" t="str">
            <v>029-273-5111</v>
          </cell>
          <cell r="N313" t="str">
            <v>/</v>
          </cell>
          <cell r="O313" t="str">
            <v>電装品・気化器</v>
          </cell>
          <cell r="Q313" t="str">
            <v xml:space="preserve"> </v>
          </cell>
          <cell r="T313" t="str">
            <v>ﾋﾀﾁｾｲｻｸｼｮ</v>
          </cell>
          <cell r="V313" t="str">
            <v>51</v>
          </cell>
        </row>
        <row r="314">
          <cell r="B314" t="str">
            <v>2618</v>
          </cell>
          <cell r="C314" t="str">
            <v>#</v>
          </cell>
          <cell r="D314" t="str">
            <v>(株)明電舎</v>
          </cell>
          <cell r="F314" t="str">
            <v>取締役社長</v>
          </cell>
          <cell r="G314" t="str">
            <v>小島  啓示</v>
          </cell>
          <cell r="H314">
            <v>17070</v>
          </cell>
          <cell r="I314">
            <v>5104</v>
          </cell>
          <cell r="J314" t="str">
            <v>103</v>
          </cell>
          <cell r="K314" t="str">
            <v>中央区日本橋箱崎町36-2</v>
          </cell>
          <cell r="L314" t="str">
            <v/>
          </cell>
          <cell r="M314" t="str">
            <v>03-5641-7602</v>
          </cell>
          <cell r="N314" t="str">
            <v>/5641-7616</v>
          </cell>
          <cell r="O314" t="str">
            <v>電気式動力計</v>
          </cell>
          <cell r="Q314" t="str">
            <v xml:space="preserve"> </v>
          </cell>
          <cell r="R314" t="str">
            <v>□</v>
          </cell>
          <cell r="S314" t="str">
            <v>☆</v>
          </cell>
          <cell r="T314" t="str">
            <v>ﾒｲﾃﾞﾝｼｬ</v>
          </cell>
          <cell r="V314" t="str">
            <v>30</v>
          </cell>
        </row>
        <row r="315">
          <cell r="B315" t="str">
            <v>2618</v>
          </cell>
          <cell r="C315" t="str">
            <v>A</v>
          </cell>
          <cell r="D315" t="str">
            <v>(株)明電舎</v>
          </cell>
          <cell r="E315" t="str">
            <v>東京営業所</v>
          </cell>
          <cell r="J315" t="str">
            <v>141</v>
          </cell>
          <cell r="K315" t="str">
            <v>品川区大崎2-1-17</v>
          </cell>
          <cell r="L315" t="str">
            <v xml:space="preserve"> </v>
          </cell>
          <cell r="M315" t="str">
            <v>03-3492-1111</v>
          </cell>
          <cell r="N315" t="str">
            <v>/</v>
          </cell>
          <cell r="O315" t="str">
            <v>各種試験器</v>
          </cell>
          <cell r="Q315" t="str">
            <v xml:space="preserve"> </v>
          </cell>
          <cell r="T315" t="str">
            <v>ﾒｲﾃﾞﾝｼｬ</v>
          </cell>
          <cell r="V315" t="str">
            <v>30</v>
          </cell>
        </row>
        <row r="316">
          <cell r="B316" t="str">
            <v>2622</v>
          </cell>
          <cell r="C316" t="str">
            <v>#</v>
          </cell>
          <cell r="D316" t="str">
            <v>丸子警報器(株)</v>
          </cell>
          <cell r="F316" t="str">
            <v>代表取締役社長</v>
          </cell>
          <cell r="G316" t="str">
            <v>塚田　正毅</v>
          </cell>
          <cell r="H316">
            <v>12.8</v>
          </cell>
          <cell r="I316">
            <v>200</v>
          </cell>
          <cell r="J316" t="str">
            <v>386-04</v>
          </cell>
          <cell r="K316" t="str">
            <v>長野県小県郡丸子町</v>
          </cell>
          <cell r="L316" t="str">
            <v>大字上丸子1880</v>
          </cell>
          <cell r="M316" t="str">
            <v>0268-42-3118</v>
          </cell>
          <cell r="N316" t="str">
            <v>/42-6766</v>
          </cell>
          <cell r="O316" t="str">
            <v>ホーン</v>
          </cell>
          <cell r="P316" t="str">
            <v>▽</v>
          </cell>
          <cell r="Q316" t="str">
            <v>◎</v>
          </cell>
          <cell r="S316" t="str">
            <v>☆</v>
          </cell>
          <cell r="T316" t="str">
            <v>ﾏﾙｺｹｲﾎｳｷ</v>
          </cell>
          <cell r="V316" t="str">
            <v>62</v>
          </cell>
        </row>
        <row r="317">
          <cell r="B317" t="str">
            <v>2626</v>
          </cell>
          <cell r="C317" t="str">
            <v>#</v>
          </cell>
          <cell r="D317" t="str">
            <v>矢崎総業(株)</v>
          </cell>
          <cell r="F317" t="str">
            <v>取締役社長</v>
          </cell>
          <cell r="G317" t="str">
            <v>矢崎　裕彦</v>
          </cell>
          <cell r="H317">
            <v>900</v>
          </cell>
          <cell r="I317">
            <v>1858</v>
          </cell>
          <cell r="J317" t="str">
            <v>108</v>
          </cell>
          <cell r="K317" t="str">
            <v>港区三田1-4-28</v>
          </cell>
          <cell r="L317" t="str">
            <v>三田国際ビル17F</v>
          </cell>
          <cell r="M317" t="str">
            <v>03-3455-8811</v>
          </cell>
          <cell r="N317" t="str">
            <v>/</v>
          </cell>
          <cell r="O317" t="str">
            <v>計器・電線</v>
          </cell>
          <cell r="Q317" t="str">
            <v>◎</v>
          </cell>
          <cell r="R317" t="str">
            <v>□</v>
          </cell>
          <cell r="S317" t="str">
            <v>☆</v>
          </cell>
          <cell r="T317" t="str">
            <v>ﾔｻﾞｷｿｳｷﾞｮｳ</v>
          </cell>
          <cell r="V317" t="str">
            <v>62</v>
          </cell>
        </row>
        <row r="318">
          <cell r="B318" t="str">
            <v>2626</v>
          </cell>
          <cell r="C318" t="str">
            <v>A</v>
          </cell>
          <cell r="D318" t="str">
            <v>矢崎総業(株)</v>
          </cell>
          <cell r="E318" t="str">
            <v>自動車機器東部</v>
          </cell>
          <cell r="F318" t="str">
            <v>第二営業部長</v>
          </cell>
          <cell r="G318" t="str">
            <v>原田  修</v>
          </cell>
          <cell r="J318" t="str">
            <v>241</v>
          </cell>
          <cell r="K318" t="str">
            <v>横浜市旭区上白根3-41-1</v>
          </cell>
          <cell r="L318" t="str">
            <v xml:space="preserve"> </v>
          </cell>
          <cell r="M318" t="str">
            <v>045-953-1172</v>
          </cell>
          <cell r="N318" t="str">
            <v>/955-0320</v>
          </cell>
          <cell r="O318" t="str">
            <v>計器・電線</v>
          </cell>
          <cell r="Q318" t="str">
            <v xml:space="preserve"> </v>
          </cell>
          <cell r="T318" t="str">
            <v>ﾔｻﾞｷｿｳｷﾞｮｳ</v>
          </cell>
          <cell r="V318" t="str">
            <v>62</v>
          </cell>
        </row>
        <row r="319">
          <cell r="B319" t="str">
            <v>2626</v>
          </cell>
          <cell r="C319" t="str">
            <v>B</v>
          </cell>
          <cell r="D319" t="str">
            <v>矢崎総業(株)</v>
          </cell>
          <cell r="E319" t="str">
            <v>営業事業部</v>
          </cell>
          <cell r="K319" t="str">
            <v xml:space="preserve"> </v>
          </cell>
          <cell r="L319" t="str">
            <v xml:space="preserve"> </v>
          </cell>
          <cell r="N319" t="str">
            <v>/</v>
          </cell>
          <cell r="Q319" t="str">
            <v xml:space="preserve"> </v>
          </cell>
          <cell r="T319" t="str">
            <v>ﾔｻﾞｷｿｳｷﾞｮｳ</v>
          </cell>
          <cell r="V319" t="str">
            <v>62</v>
          </cell>
        </row>
        <row r="320">
          <cell r="B320" t="str">
            <v>2629</v>
          </cell>
          <cell r="C320" t="str">
            <v>#</v>
          </cell>
          <cell r="D320" t="str">
            <v>三洋ﾗｲﾌｴﾚｸﾄﾛﾆｸｽ(株)</v>
          </cell>
          <cell r="F320" t="str">
            <v>取締役社長</v>
          </cell>
          <cell r="G320" t="str">
            <v>後藤  泰則</v>
          </cell>
          <cell r="H320">
            <v>1800</v>
          </cell>
          <cell r="I320">
            <v>2600</v>
          </cell>
          <cell r="J320" t="str">
            <v>570</v>
          </cell>
          <cell r="K320" t="str">
            <v>守口市大日東町1-1</v>
          </cell>
          <cell r="L320" t="str">
            <v xml:space="preserve"> </v>
          </cell>
          <cell r="M320" t="str">
            <v xml:space="preserve">06-901-1111 </v>
          </cell>
          <cell r="N320" t="str">
            <v>/901-1010</v>
          </cell>
          <cell r="O320" t="str">
            <v>家電</v>
          </cell>
          <cell r="Q320" t="str">
            <v xml:space="preserve"> </v>
          </cell>
          <cell r="T320" t="str">
            <v>ｻﾝﾖｳﾗｲﾌｴﾚｸﾄﾛﾆｸｽ</v>
          </cell>
          <cell r="V320" t="str">
            <v>64</v>
          </cell>
        </row>
        <row r="321">
          <cell r="B321" t="str">
            <v>2631</v>
          </cell>
          <cell r="C321" t="str">
            <v>#</v>
          </cell>
          <cell r="D321" t="str">
            <v>(株)北原製作所</v>
          </cell>
          <cell r="F321" t="str">
            <v>代表取締役社長</v>
          </cell>
          <cell r="G321" t="str">
            <v>遠藤　秀壽</v>
          </cell>
          <cell r="H321">
            <v>80</v>
          </cell>
          <cell r="I321">
            <v>170</v>
          </cell>
          <cell r="J321" t="str">
            <v>193</v>
          </cell>
          <cell r="K321" t="str">
            <v>八王子市楢原町1457-1</v>
          </cell>
          <cell r="L321" t="str">
            <v xml:space="preserve"> </v>
          </cell>
          <cell r="M321" t="str">
            <v>0426-24-1171</v>
          </cell>
          <cell r="N321" t="str">
            <v>/26-2520</v>
          </cell>
          <cell r="O321" t="str">
            <v>ｴｱﾎｰﾝ､ﾏｸﾞﾈﾁｯｸﾊﾞﾙﾌﾞ</v>
          </cell>
          <cell r="P321" t="str">
            <v>▽</v>
          </cell>
          <cell r="Q321" t="str">
            <v>◎</v>
          </cell>
          <cell r="R321" t="str">
            <v>□</v>
          </cell>
          <cell r="S321" t="str">
            <v>☆</v>
          </cell>
          <cell r="T321" t="str">
            <v>ｷﾀﾊﾗｾｲｻｸｼｮ</v>
          </cell>
          <cell r="V321" t="str">
            <v>62</v>
          </cell>
        </row>
        <row r="322">
          <cell r="B322" t="str">
            <v>2632</v>
          </cell>
          <cell r="C322" t="str">
            <v>#</v>
          </cell>
          <cell r="D322" t="str">
            <v>市光工業(株)</v>
          </cell>
          <cell r="F322" t="str">
            <v>代表取締役社長</v>
          </cell>
          <cell r="G322" t="str">
            <v>高田　重男</v>
          </cell>
          <cell r="H322">
            <v>3234</v>
          </cell>
          <cell r="I322">
            <v>3087</v>
          </cell>
          <cell r="J322" t="str">
            <v>141</v>
          </cell>
          <cell r="K322" t="str">
            <v>品川区東五反田5-10-18</v>
          </cell>
          <cell r="L322" t="str">
            <v xml:space="preserve"> </v>
          </cell>
          <cell r="M322" t="str">
            <v>03-3443-7781</v>
          </cell>
          <cell r="N322" t="str">
            <v>/3449-7610</v>
          </cell>
          <cell r="O322" t="str">
            <v>ランプ・バックミラー</v>
          </cell>
          <cell r="Q322" t="str">
            <v>◎</v>
          </cell>
          <cell r="R322" t="str">
            <v>□</v>
          </cell>
          <cell r="S322" t="str">
            <v>☆</v>
          </cell>
          <cell r="T322" t="str">
            <v>ｲﾁｺｳｺｳｷﾞｮｳ</v>
          </cell>
          <cell r="V322" t="str">
            <v>62</v>
          </cell>
        </row>
        <row r="323">
          <cell r="B323" t="str">
            <v>2632</v>
          </cell>
          <cell r="C323" t="str">
            <v>A</v>
          </cell>
          <cell r="D323" t="str">
            <v>市光工業(株)</v>
          </cell>
          <cell r="E323" t="str">
            <v>伊勢原製造所</v>
          </cell>
          <cell r="J323" t="str">
            <v>259-11</v>
          </cell>
          <cell r="K323" t="str">
            <v>伊勢原市板戸80</v>
          </cell>
          <cell r="L323" t="str">
            <v xml:space="preserve"> </v>
          </cell>
          <cell r="M323" t="str">
            <v>0463-96-1711</v>
          </cell>
          <cell r="N323" t="str">
            <v>/</v>
          </cell>
          <cell r="O323" t="str">
            <v>ランプ・バックミラー</v>
          </cell>
          <cell r="Q323" t="str">
            <v xml:space="preserve"> </v>
          </cell>
          <cell r="T323" t="str">
            <v>ｲﾁｺｳｺｳｷﾞｮｳ</v>
          </cell>
          <cell r="V323" t="str">
            <v>62</v>
          </cell>
        </row>
        <row r="324">
          <cell r="B324" t="str">
            <v>2632</v>
          </cell>
          <cell r="C324" t="str">
            <v>B</v>
          </cell>
          <cell r="D324" t="str">
            <v>市光工業(株)</v>
          </cell>
          <cell r="E324" t="str">
            <v>蓮田製造所</v>
          </cell>
          <cell r="J324" t="str">
            <v>349-01</v>
          </cell>
          <cell r="K324" t="str">
            <v>蓮田市東4-1-11</v>
          </cell>
          <cell r="L324" t="str">
            <v xml:space="preserve"> </v>
          </cell>
          <cell r="M324" t="str">
            <v>0487-68-2121</v>
          </cell>
          <cell r="N324" t="str">
            <v>/</v>
          </cell>
          <cell r="O324" t="str">
            <v>ランプ・バックミラー</v>
          </cell>
          <cell r="Q324" t="str">
            <v xml:space="preserve"> </v>
          </cell>
          <cell r="T324" t="str">
            <v>ｲﾁｺｳｺｳｷﾞｮｳ</v>
          </cell>
          <cell r="V324" t="str">
            <v>62</v>
          </cell>
        </row>
        <row r="325">
          <cell r="B325" t="str">
            <v>2632</v>
          </cell>
          <cell r="C325" t="str">
            <v>C</v>
          </cell>
          <cell r="D325" t="str">
            <v>市光工業(株)</v>
          </cell>
          <cell r="E325" t="str">
            <v>藤岡製造所</v>
          </cell>
          <cell r="J325" t="str">
            <v>375</v>
          </cell>
          <cell r="K325" t="str">
            <v>藤岡市藤岡1360</v>
          </cell>
          <cell r="L325" t="str">
            <v xml:space="preserve"> </v>
          </cell>
          <cell r="M325" t="str">
            <v>0274-23-2121</v>
          </cell>
          <cell r="N325" t="str">
            <v>/</v>
          </cell>
          <cell r="O325" t="str">
            <v>ランプ・バックミラー</v>
          </cell>
          <cell r="Q325" t="str">
            <v xml:space="preserve"> </v>
          </cell>
          <cell r="T325" t="str">
            <v>ｲﾁｺｳｺｳｷﾞｮｳ</v>
          </cell>
          <cell r="V325" t="str">
            <v>62</v>
          </cell>
        </row>
        <row r="326">
          <cell r="B326" t="str">
            <v>2633</v>
          </cell>
          <cell r="C326" t="str">
            <v>#</v>
          </cell>
          <cell r="D326" t="str">
            <v>クラリオン(株)</v>
          </cell>
          <cell r="F326" t="str">
            <v>取締役社長</v>
          </cell>
          <cell r="G326" t="str">
            <v>石坪  一三</v>
          </cell>
          <cell r="H326">
            <v>12632</v>
          </cell>
          <cell r="I326">
            <v>2537</v>
          </cell>
          <cell r="J326" t="str">
            <v>150</v>
          </cell>
          <cell r="K326" t="str">
            <v>渋谷区渋谷2-22-3</v>
          </cell>
          <cell r="L326" t="str">
            <v>渋谷東口ビル</v>
          </cell>
          <cell r="M326" t="str">
            <v>03-3400-1121</v>
          </cell>
          <cell r="N326" t="str">
            <v>/3400-8505</v>
          </cell>
          <cell r="O326" t="str">
            <v>ｶｰｵｰﾃﾞｨｵ</v>
          </cell>
          <cell r="Q326" t="str">
            <v>◎</v>
          </cell>
          <cell r="R326" t="str">
            <v>□</v>
          </cell>
          <cell r="S326" t="str">
            <v>☆</v>
          </cell>
          <cell r="T326" t="str">
            <v>ｸﾗﾘｵﾝ</v>
          </cell>
          <cell r="V326" t="str">
            <v>62</v>
          </cell>
        </row>
        <row r="327">
          <cell r="B327" t="str">
            <v>2634</v>
          </cell>
          <cell r="C327" t="str">
            <v>#</v>
          </cell>
          <cell r="D327" t="str">
            <v>三洋電機ｶｰｴﾚｸﾄﾛﾆｸｽ(株)</v>
          </cell>
          <cell r="F327" t="str">
            <v>代表取締役社長</v>
          </cell>
          <cell r="G327" t="str">
            <v>後藤  秦則</v>
          </cell>
          <cell r="H327">
            <v>110</v>
          </cell>
          <cell r="I327">
            <v>70</v>
          </cell>
          <cell r="J327" t="str">
            <v>570</v>
          </cell>
          <cell r="K327" t="str">
            <v>守口市京阪本通2-18</v>
          </cell>
          <cell r="L327" t="str">
            <v xml:space="preserve"> </v>
          </cell>
          <cell r="M327" t="str">
            <v xml:space="preserve">06-994-3411 </v>
          </cell>
          <cell r="N327" t="str">
            <v>/</v>
          </cell>
          <cell r="O327" t="str">
            <v>ｶｰﾗｼﾞｵ</v>
          </cell>
          <cell r="Q327" t="str">
            <v>◎</v>
          </cell>
          <cell r="R327" t="str">
            <v>□</v>
          </cell>
          <cell r="S327" t="str">
            <v>☆</v>
          </cell>
          <cell r="T327" t="str">
            <v>ｻﾝﾖｳﾃﾞﾝｷｶｰｴﾚｸﾄﾛﾆｸｽ</v>
          </cell>
          <cell r="V327" t="str">
            <v>62</v>
          </cell>
        </row>
        <row r="328">
          <cell r="B328" t="str">
            <v>2634</v>
          </cell>
          <cell r="C328" t="str">
            <v>A</v>
          </cell>
          <cell r="D328" t="str">
            <v>三洋電機ｶｰｴﾚｸﾄﾛﾆｸｽ(株)</v>
          </cell>
          <cell r="E328" t="str">
            <v>東日本営業部</v>
          </cell>
          <cell r="F328" t="str">
            <v>専務取締役営業部長</v>
          </cell>
          <cell r="G328" t="str">
            <v>小林  卓二</v>
          </cell>
          <cell r="J328" t="str">
            <v>101</v>
          </cell>
          <cell r="K328" t="str">
            <v>千代田区外神田6-15-13</v>
          </cell>
          <cell r="L328" t="str">
            <v>三洋電機株式会社東京ビル別館</v>
          </cell>
          <cell r="M328" t="str">
            <v>03-3836-9009</v>
          </cell>
          <cell r="N328" t="str">
            <v>/3836-0523</v>
          </cell>
          <cell r="O328" t="str">
            <v>ｶｰﾗｼﾞｵ</v>
          </cell>
          <cell r="Q328" t="str">
            <v xml:space="preserve"> </v>
          </cell>
          <cell r="T328" t="str">
            <v>ｻﾝﾖｳﾃﾞﾝｷｶｰｴﾚｸﾄﾛﾆｸｽ</v>
          </cell>
          <cell r="V328" t="str">
            <v>62</v>
          </cell>
        </row>
        <row r="329">
          <cell r="B329" t="str">
            <v>2635</v>
          </cell>
          <cell r="C329" t="str">
            <v>#</v>
          </cell>
          <cell r="D329" t="str">
            <v>(株)東海理化電機製作所</v>
          </cell>
          <cell r="F329" t="str">
            <v>取締役社長</v>
          </cell>
          <cell r="G329" t="str">
            <v>木崎  晃</v>
          </cell>
          <cell r="H329">
            <v>12973</v>
          </cell>
          <cell r="I329">
            <v>6436</v>
          </cell>
          <cell r="J329" t="str">
            <v>480-01</v>
          </cell>
          <cell r="K329" t="str">
            <v>愛知県丹羽郡大口町</v>
          </cell>
          <cell r="L329" t="str">
            <v>大字豊田字野田1</v>
          </cell>
          <cell r="M329" t="str">
            <v>0587-95-5211</v>
          </cell>
          <cell r="N329" t="str">
            <v>/</v>
          </cell>
          <cell r="O329" t="str">
            <v>ｷｰ､ｼﾘﾝﾀﾞｰﾛｯｸ､ﾜｲﾊﾟｰ</v>
          </cell>
          <cell r="Q329" t="str">
            <v>◎</v>
          </cell>
          <cell r="R329" t="str">
            <v>□</v>
          </cell>
          <cell r="S329" t="str">
            <v>☆</v>
          </cell>
          <cell r="T329" t="str">
            <v>ﾄｳｶｲﾘｶﾃﾞﾝｷｾｲｻｸｼｮ</v>
          </cell>
          <cell r="V329" t="str">
            <v>62</v>
          </cell>
        </row>
        <row r="330">
          <cell r="B330" t="str">
            <v>2635</v>
          </cell>
          <cell r="C330" t="str">
            <v>A</v>
          </cell>
          <cell r="D330" t="str">
            <v>(株)東海理化電機製作所</v>
          </cell>
          <cell r="E330" t="str">
            <v>東京事務所</v>
          </cell>
          <cell r="F330" t="str">
            <v>所長</v>
          </cell>
          <cell r="G330" t="str">
            <v>原津　毅之</v>
          </cell>
          <cell r="J330" t="str">
            <v>222</v>
          </cell>
          <cell r="K330" t="str">
            <v>横浜市港北区新横浜3-6-5</v>
          </cell>
          <cell r="L330" t="str">
            <v>第1生命ビル4F</v>
          </cell>
          <cell r="M330" t="str">
            <v>045-473-4211</v>
          </cell>
          <cell r="N330" t="str">
            <v>/473-1181</v>
          </cell>
          <cell r="O330" t="str">
            <v>ｼｶﾞｰﾗｲﾀｰ､ｼｰﾄﾍﾞﾙﾄ</v>
          </cell>
          <cell r="Q330" t="str">
            <v xml:space="preserve"> </v>
          </cell>
          <cell r="T330" t="str">
            <v>ﾄｳｶｲﾘｶﾃﾞﾝｷｾｲｻｸｼｮ</v>
          </cell>
          <cell r="V330" t="str">
            <v>62</v>
          </cell>
        </row>
        <row r="331">
          <cell r="B331" t="str">
            <v>2636</v>
          </cell>
          <cell r="C331" t="str">
            <v>#</v>
          </cell>
          <cell r="D331" t="str">
            <v>富士通テン(株)</v>
          </cell>
          <cell r="F331" t="str">
            <v>代表取締役社長</v>
          </cell>
          <cell r="G331" t="str">
            <v>野澤  興一</v>
          </cell>
          <cell r="H331">
            <v>1300</v>
          </cell>
          <cell r="I331">
            <v>1878</v>
          </cell>
          <cell r="J331" t="str">
            <v>652</v>
          </cell>
          <cell r="K331" t="str">
            <v>神戸市兵庫区御所通1-2-28</v>
          </cell>
          <cell r="L331" t="str">
            <v xml:space="preserve"> </v>
          </cell>
          <cell r="M331" t="str">
            <v>078-671-5081</v>
          </cell>
          <cell r="N331" t="str">
            <v>/</v>
          </cell>
          <cell r="O331" t="str">
            <v>ラジオ・ステレオ</v>
          </cell>
          <cell r="Q331" t="str">
            <v>◎</v>
          </cell>
          <cell r="R331" t="str">
            <v>□</v>
          </cell>
          <cell r="S331" t="str">
            <v>☆</v>
          </cell>
          <cell r="T331" t="str">
            <v>ﾌｼﾞﾂｳﾃﾝ</v>
          </cell>
          <cell r="V331" t="str">
            <v>62</v>
          </cell>
        </row>
        <row r="332">
          <cell r="B332" t="str">
            <v>2636</v>
          </cell>
          <cell r="C332" t="str">
            <v>A</v>
          </cell>
          <cell r="D332" t="str">
            <v>富士通テン(株)</v>
          </cell>
          <cell r="E332" t="str">
            <v>東京営業所</v>
          </cell>
          <cell r="F332" t="str">
            <v>所長</v>
          </cell>
          <cell r="G332" t="str">
            <v>川島　陽一</v>
          </cell>
          <cell r="J332" t="str">
            <v>160</v>
          </cell>
          <cell r="K332" t="str">
            <v>新宿区西新宿8-14-24</v>
          </cell>
          <cell r="L332" t="str">
            <v>西新宿KFﾋﾞﾙ2F</v>
          </cell>
          <cell r="M332" t="str">
            <v>03-5330-6410</v>
          </cell>
          <cell r="N332" t="str">
            <v>/3366-8662</v>
          </cell>
          <cell r="O332" t="str">
            <v>ラジオ・ステレオ</v>
          </cell>
          <cell r="Q332" t="str">
            <v xml:space="preserve"> </v>
          </cell>
          <cell r="T332" t="str">
            <v>ﾌｼﾞﾂｳﾃﾝ</v>
          </cell>
          <cell r="V332" t="str">
            <v>62</v>
          </cell>
        </row>
        <row r="333">
          <cell r="B333" t="str">
            <v>2637</v>
          </cell>
          <cell r="C333" t="str">
            <v>#</v>
          </cell>
          <cell r="D333" t="str">
            <v>(株)東海理機製作所</v>
          </cell>
          <cell r="F333" t="str">
            <v>代表取締役社長</v>
          </cell>
          <cell r="G333" t="str">
            <v>西  　豊司</v>
          </cell>
          <cell r="H333">
            <v>10</v>
          </cell>
          <cell r="I333">
            <v>444</v>
          </cell>
          <cell r="J333" t="str">
            <v>474</v>
          </cell>
          <cell r="K333" t="str">
            <v>大府市横根町惣作70</v>
          </cell>
          <cell r="L333" t="str">
            <v xml:space="preserve"> </v>
          </cell>
          <cell r="M333" t="str">
            <v>0562-48-2281</v>
          </cell>
          <cell r="N333" t="str">
            <v>/</v>
          </cell>
          <cell r="O333" t="str">
            <v>ワイパーアーム・ブレード</v>
          </cell>
          <cell r="P333" t="str">
            <v>▽</v>
          </cell>
          <cell r="Q333" t="str">
            <v xml:space="preserve"> </v>
          </cell>
          <cell r="T333" t="str">
            <v>ﾄｳｶｲﾘｷｾｲｻｸｼｮ</v>
          </cell>
          <cell r="V333" t="str">
            <v>64</v>
          </cell>
        </row>
        <row r="334">
          <cell r="B334" t="str">
            <v>2638</v>
          </cell>
          <cell r="C334" t="str">
            <v>#</v>
          </cell>
          <cell r="D334" t="str">
            <v>(株)東芝</v>
          </cell>
          <cell r="F334" t="str">
            <v>取締役社長</v>
          </cell>
          <cell r="G334" t="str">
            <v>佐藤  文夫</v>
          </cell>
          <cell r="H334">
            <v>132310</v>
          </cell>
          <cell r="I334">
            <v>66920</v>
          </cell>
          <cell r="J334" t="str">
            <v>105</v>
          </cell>
          <cell r="K334" t="str">
            <v>港区芝浦1-1-1</v>
          </cell>
          <cell r="L334" t="str">
            <v>東芝ビル</v>
          </cell>
          <cell r="M334" t="str">
            <v>03-3457-4234</v>
          </cell>
          <cell r="N334" t="str">
            <v>/5444-9228</v>
          </cell>
          <cell r="O334" t="str">
            <v>家電</v>
          </cell>
          <cell r="Q334" t="str">
            <v xml:space="preserve"> </v>
          </cell>
          <cell r="T334" t="str">
            <v>ﾄｳｼﾊﾞ</v>
          </cell>
          <cell r="V334" t="str">
            <v>30</v>
          </cell>
        </row>
        <row r="335">
          <cell r="B335" t="str">
            <v>2640</v>
          </cell>
          <cell r="C335" t="str">
            <v>#</v>
          </cell>
          <cell r="D335" t="str">
            <v>(株)ミツバ</v>
          </cell>
          <cell r="F335" t="str">
            <v>取締役社長</v>
          </cell>
          <cell r="G335" t="str">
            <v>日野　昇</v>
          </cell>
          <cell r="H335">
            <v>9238</v>
          </cell>
          <cell r="I335">
            <v>2905</v>
          </cell>
          <cell r="J335" t="str">
            <v>376</v>
          </cell>
          <cell r="K335" t="str">
            <v>桐生市広沢町1-2681</v>
          </cell>
          <cell r="L335" t="str">
            <v xml:space="preserve"> </v>
          </cell>
          <cell r="M335" t="str">
            <v>0277-52-0111</v>
          </cell>
          <cell r="N335" t="str">
            <v>/52-5160</v>
          </cell>
          <cell r="O335" t="str">
            <v>ﾜｲﾊﾟｰ･ﾎｰﾝ･ﾘﾚｰ</v>
          </cell>
          <cell r="Q335" t="str">
            <v>◎</v>
          </cell>
          <cell r="R335" t="str">
            <v>□</v>
          </cell>
          <cell r="S335" t="str">
            <v>☆</v>
          </cell>
          <cell r="T335" t="str">
            <v>ﾐﾂﾊﾞ</v>
          </cell>
          <cell r="V335" t="str">
            <v>62</v>
          </cell>
        </row>
        <row r="336">
          <cell r="B336" t="str">
            <v>2640</v>
          </cell>
          <cell r="C336" t="str">
            <v>A</v>
          </cell>
          <cell r="D336" t="str">
            <v>(株)ミツバ</v>
          </cell>
          <cell r="E336" t="str">
            <v>東京営業所</v>
          </cell>
          <cell r="F336" t="str">
            <v>取締役営業所長</v>
          </cell>
          <cell r="G336" t="str">
            <v>中村　太以記</v>
          </cell>
          <cell r="J336" t="str">
            <v>162</v>
          </cell>
          <cell r="K336" t="str">
            <v>新宿区二十騎町2-24</v>
          </cell>
          <cell r="L336" t="str">
            <v xml:space="preserve"> </v>
          </cell>
          <cell r="M336" t="str">
            <v>03-3260-7181</v>
          </cell>
          <cell r="N336" t="str">
            <v>/3267-5237</v>
          </cell>
          <cell r="O336" t="str">
            <v>ワイパーモーター・ホーン</v>
          </cell>
          <cell r="Q336" t="str">
            <v xml:space="preserve"> </v>
          </cell>
          <cell r="T336" t="str">
            <v>ﾐﾂﾊﾞ</v>
          </cell>
          <cell r="V336" t="str">
            <v>62</v>
          </cell>
        </row>
        <row r="337">
          <cell r="B337" t="str">
            <v>2642</v>
          </cell>
          <cell r="C337" t="str">
            <v>#</v>
          </cell>
          <cell r="D337" t="str">
            <v>山武ハネウエル(株)</v>
          </cell>
          <cell r="F337" t="str">
            <v>取締役社長</v>
          </cell>
          <cell r="G337" t="str">
            <v>井戸　一朗</v>
          </cell>
          <cell r="H337">
            <v>4200</v>
          </cell>
          <cell r="I337">
            <v>4301</v>
          </cell>
          <cell r="J337" t="str">
            <v>150</v>
          </cell>
          <cell r="K337" t="str">
            <v>渋谷区渋谷2-12-19</v>
          </cell>
          <cell r="L337" t="str">
            <v xml:space="preserve"> </v>
          </cell>
          <cell r="M337" t="str">
            <v>03-3486-2031</v>
          </cell>
          <cell r="N337" t="str">
            <v>/</v>
          </cell>
          <cell r="O337" t="str">
            <v>マイクロスイッチ</v>
          </cell>
          <cell r="Q337" t="str">
            <v xml:space="preserve"> </v>
          </cell>
          <cell r="R337" t="str">
            <v>□</v>
          </cell>
          <cell r="S337" t="str">
            <v>☆</v>
          </cell>
          <cell r="T337" t="str">
            <v>ﾔﾏﾀｹﾊﾈｳｪﾙ</v>
          </cell>
          <cell r="V337" t="str">
            <v>62</v>
          </cell>
        </row>
        <row r="338">
          <cell r="B338" t="str">
            <v>2642</v>
          </cell>
          <cell r="C338" t="str">
            <v>A</v>
          </cell>
          <cell r="D338" t="str">
            <v>山武ハネウエル(株)</v>
          </cell>
          <cell r="E338" t="str">
            <v>横浜支店</v>
          </cell>
          <cell r="F338" t="str">
            <v>支店長</v>
          </cell>
          <cell r="G338" t="str">
            <v>立野　皓庸</v>
          </cell>
          <cell r="J338" t="str">
            <v>220</v>
          </cell>
          <cell r="K338" t="str">
            <v>横浜市西区北幸2-8-29</v>
          </cell>
          <cell r="L338" t="str">
            <v>東武横浜第3ビル</v>
          </cell>
          <cell r="M338" t="str">
            <v>045-312-7676</v>
          </cell>
          <cell r="N338" t="str">
            <v>/312-7374</v>
          </cell>
          <cell r="O338" t="str">
            <v>マイクロスイッチ</v>
          </cell>
          <cell r="Q338" t="str">
            <v xml:space="preserve"> </v>
          </cell>
          <cell r="T338" t="str">
            <v>ﾔﾏﾀｹﾊﾈｳｪﾙ</v>
          </cell>
          <cell r="V338" t="str">
            <v>62</v>
          </cell>
        </row>
        <row r="339">
          <cell r="B339" t="str">
            <v>2644</v>
          </cell>
          <cell r="C339" t="str">
            <v>#</v>
          </cell>
          <cell r="D339" t="str">
            <v>三菱電機(株)</v>
          </cell>
          <cell r="F339" t="str">
            <v>代表取締役社長</v>
          </cell>
          <cell r="G339" t="str">
            <v>北岡　隆</v>
          </cell>
          <cell r="H339">
            <v>175775</v>
          </cell>
          <cell r="I339">
            <v>48421</v>
          </cell>
          <cell r="J339" t="str">
            <v>100</v>
          </cell>
          <cell r="K339" t="str">
            <v>千代田区丸の内2-2-3</v>
          </cell>
          <cell r="L339" t="str">
            <v xml:space="preserve"> </v>
          </cell>
          <cell r="M339" t="str">
            <v>03-3218-2831</v>
          </cell>
          <cell r="N339" t="str">
            <v>/3218-2931</v>
          </cell>
          <cell r="O339" t="str">
            <v>電装品・EGRバルブ</v>
          </cell>
          <cell r="Q339" t="str">
            <v>◎</v>
          </cell>
          <cell r="R339" t="str">
            <v>□</v>
          </cell>
          <cell r="S339" t="str">
            <v>☆</v>
          </cell>
          <cell r="T339" t="str">
            <v>ﾐﾂﾋﾞｼﾃﾞﾝｷ</v>
          </cell>
          <cell r="V339" t="str">
            <v>51</v>
          </cell>
        </row>
        <row r="340">
          <cell r="B340" t="str">
            <v>2645</v>
          </cell>
          <cell r="C340" t="str">
            <v>#</v>
          </cell>
          <cell r="D340" t="str">
            <v>リズム時計工業(株)</v>
          </cell>
          <cell r="F340" t="str">
            <v>取締役社長</v>
          </cell>
          <cell r="G340" t="str">
            <v>大津  学</v>
          </cell>
          <cell r="H340">
            <v>3921</v>
          </cell>
          <cell r="I340">
            <v>1889</v>
          </cell>
          <cell r="J340" t="str">
            <v>110</v>
          </cell>
          <cell r="K340" t="str">
            <v>台東区台東2-27-7</v>
          </cell>
          <cell r="L340" t="str">
            <v xml:space="preserve"> </v>
          </cell>
          <cell r="M340" t="str">
            <v>03-3833-7311</v>
          </cell>
          <cell r="N340" t="str">
            <v>/</v>
          </cell>
          <cell r="O340" t="str">
            <v>自動車用時計</v>
          </cell>
          <cell r="Q340" t="str">
            <v xml:space="preserve"> </v>
          </cell>
          <cell r="T340" t="str">
            <v>ﾘｽﾞﾑﾄｹｲｺｳｷﾞｮｳ</v>
          </cell>
          <cell r="V340" t="str">
            <v>62</v>
          </cell>
        </row>
        <row r="341">
          <cell r="B341" t="str">
            <v>2645</v>
          </cell>
          <cell r="C341" t="str">
            <v>A</v>
          </cell>
          <cell r="D341" t="str">
            <v>リズム時計工業(株)</v>
          </cell>
          <cell r="E341" t="str">
            <v>自動車機器事業部</v>
          </cell>
          <cell r="F341" t="str">
            <v>事業部長</v>
          </cell>
          <cell r="G341" t="str">
            <v>木村　恭</v>
          </cell>
          <cell r="J341" t="str">
            <v>344-01</v>
          </cell>
          <cell r="K341" t="str">
            <v>埼玉県北葛飾郡庄和町大衾</v>
          </cell>
          <cell r="L341" t="str">
            <v>496</v>
          </cell>
          <cell r="M341" t="str">
            <v>048-745-1226</v>
          </cell>
          <cell r="N341" t="str">
            <v>/745-1544</v>
          </cell>
          <cell r="O341" t="str">
            <v>自動車用時計</v>
          </cell>
          <cell r="Q341" t="str">
            <v xml:space="preserve"> </v>
          </cell>
          <cell r="T341" t="str">
            <v>ﾘｽﾞﾑﾄｹｲｺｳｷﾞｮｳ</v>
          </cell>
          <cell r="V341" t="str">
            <v>62</v>
          </cell>
        </row>
        <row r="342">
          <cell r="B342" t="str">
            <v>2646</v>
          </cell>
          <cell r="C342" t="str">
            <v>#</v>
          </cell>
          <cell r="D342" t="str">
            <v>(株)ケンウッド</v>
          </cell>
          <cell r="F342" t="str">
            <v>代表取締役社長</v>
          </cell>
          <cell r="G342" t="str">
            <v>岡　　誠</v>
          </cell>
          <cell r="H342">
            <v>6683</v>
          </cell>
          <cell r="I342">
            <v>2375</v>
          </cell>
          <cell r="J342" t="str">
            <v>150</v>
          </cell>
          <cell r="K342" t="str">
            <v>渋谷区道玄坂1-14-6</v>
          </cell>
          <cell r="L342" t="str">
            <v/>
          </cell>
          <cell r="M342" t="str">
            <v>03-5457-7257</v>
          </cell>
          <cell r="N342" t="str">
            <v>/5457-7250</v>
          </cell>
          <cell r="O342" t="str">
            <v>自動車用音響機器</v>
          </cell>
          <cell r="Q342" t="str">
            <v xml:space="preserve"> </v>
          </cell>
          <cell r="R342" t="str">
            <v>□</v>
          </cell>
          <cell r="T342" t="str">
            <v>ｹﾝｳｯﾄﾞ</v>
          </cell>
          <cell r="V342" t="str">
            <v>64</v>
          </cell>
        </row>
        <row r="343">
          <cell r="B343" t="str">
            <v>2647</v>
          </cell>
          <cell r="C343" t="str">
            <v>#</v>
          </cell>
          <cell r="D343" t="str">
            <v>アルパイン(株)</v>
          </cell>
          <cell r="F343" t="str">
            <v>代表取締役</v>
          </cell>
          <cell r="G343" t="str">
            <v>沓沢　虔太郎</v>
          </cell>
          <cell r="H343">
            <v>1903</v>
          </cell>
          <cell r="I343">
            <v>1349</v>
          </cell>
          <cell r="J343" t="str">
            <v>141</v>
          </cell>
          <cell r="K343" t="str">
            <v>品川区西五反田1-1-8</v>
          </cell>
          <cell r="L343" t="str">
            <v xml:space="preserve"> </v>
          </cell>
          <cell r="M343" t="str">
            <v>03-3494-1610</v>
          </cell>
          <cell r="N343" t="str">
            <v>/3494-1109</v>
          </cell>
          <cell r="O343" t="str">
            <v>自動車用音響機器</v>
          </cell>
          <cell r="Q343" t="str">
            <v xml:space="preserve"> </v>
          </cell>
          <cell r="R343" t="str">
            <v>□</v>
          </cell>
          <cell r="T343" t="str">
            <v>ｱﾙﾊﾟｲﾝ</v>
          </cell>
          <cell r="V343" t="str">
            <v>64</v>
          </cell>
        </row>
        <row r="344">
          <cell r="B344" t="str">
            <v>2648</v>
          </cell>
          <cell r="C344" t="str">
            <v>#</v>
          </cell>
          <cell r="D344" t="str">
            <v>(株)カンセイ</v>
          </cell>
          <cell r="F344" t="str">
            <v>取締役社長</v>
          </cell>
          <cell r="G344" t="str">
            <v>田村　欣一</v>
          </cell>
          <cell r="H344">
            <v>2400</v>
          </cell>
          <cell r="I344">
            <v>3077</v>
          </cell>
          <cell r="J344" t="str">
            <v>331</v>
          </cell>
          <cell r="K344" t="str">
            <v>大宮市日進町2-1910</v>
          </cell>
          <cell r="L344" t="str">
            <v xml:space="preserve"> </v>
          </cell>
          <cell r="M344" t="str">
            <v>048-652-5331</v>
          </cell>
          <cell r="N344" t="str">
            <v>/652-9328</v>
          </cell>
          <cell r="O344" t="str">
            <v>ｾﾝｻｰ</v>
          </cell>
          <cell r="Q344" t="str">
            <v xml:space="preserve"> </v>
          </cell>
          <cell r="R344" t="str">
            <v>□</v>
          </cell>
          <cell r="S344" t="str">
            <v>☆</v>
          </cell>
          <cell r="T344" t="str">
            <v>ｶﾝｾｲ</v>
          </cell>
          <cell r="V344" t="str">
            <v>62</v>
          </cell>
        </row>
        <row r="345">
          <cell r="B345" t="str">
            <v>2649</v>
          </cell>
          <cell r="C345" t="str">
            <v>#</v>
          </cell>
          <cell r="D345" t="str">
            <v>ｾﾝｻｰﾃｸﾉﾛｼﾞｰ(株)</v>
          </cell>
          <cell r="F345" t="str">
            <v>代表取締役社長</v>
          </cell>
          <cell r="G345" t="str">
            <v>栗林　省治</v>
          </cell>
          <cell r="H345">
            <v>250</v>
          </cell>
          <cell r="I345">
            <v>68</v>
          </cell>
          <cell r="J345" t="str">
            <v>103</v>
          </cell>
          <cell r="K345" t="str">
            <v>中央区八重洲1-3-3</v>
          </cell>
          <cell r="L345" t="str">
            <v>呉服橋ビル</v>
          </cell>
          <cell r="M345" t="str">
            <v>0299-59-6411</v>
          </cell>
          <cell r="N345" t="str">
            <v>/59-6122</v>
          </cell>
          <cell r="O345" t="str">
            <v>ｾﾝｻｰ</v>
          </cell>
          <cell r="Q345" t="str">
            <v xml:space="preserve"> </v>
          </cell>
          <cell r="R345" t="str">
            <v>□</v>
          </cell>
          <cell r="S345" t="str">
            <v>☆</v>
          </cell>
          <cell r="T345" t="str">
            <v>ｾﾝｻｰﾃｸﾉﾛｼﾞｰ</v>
          </cell>
          <cell r="V345" t="str">
            <v>62</v>
          </cell>
        </row>
        <row r="346">
          <cell r="B346" t="str">
            <v>2650</v>
          </cell>
          <cell r="C346" t="str">
            <v>#</v>
          </cell>
          <cell r="D346" t="str">
            <v>(株)トランストロン</v>
          </cell>
          <cell r="F346" t="str">
            <v>代表取締役社長</v>
          </cell>
          <cell r="G346" t="str">
            <v>田中  英男</v>
          </cell>
          <cell r="H346">
            <v>1000</v>
          </cell>
          <cell r="I346">
            <v>118</v>
          </cell>
          <cell r="J346" t="str">
            <v>211-88</v>
          </cell>
          <cell r="K346" t="str">
            <v>川崎市中原区上小田中4-1-1</v>
          </cell>
          <cell r="L346" t="str">
            <v xml:space="preserve"> </v>
          </cell>
          <cell r="M346" t="str">
            <v>044-754-2552</v>
          </cell>
          <cell r="N346" t="str">
            <v>/751-7027</v>
          </cell>
          <cell r="O346" t="str">
            <v>ｺﾝﾄﾛｰﾙﾕﾆｯﾄ</v>
          </cell>
          <cell r="Q346" t="str">
            <v xml:space="preserve"> </v>
          </cell>
          <cell r="R346" t="str">
            <v>□</v>
          </cell>
          <cell r="S346" t="str">
            <v>☆</v>
          </cell>
          <cell r="T346" t="str">
            <v>ﾄﾗﾝｽﾄﾛﾝ</v>
          </cell>
          <cell r="V346" t="str">
            <v>62</v>
          </cell>
        </row>
        <row r="347">
          <cell r="B347" t="str">
            <v>2651</v>
          </cell>
          <cell r="C347" t="str">
            <v>#</v>
          </cell>
          <cell r="D347" t="str">
            <v>東芝東日本ﾗｲﾌｴﾚｸﾄﾛﾆｸｽ(株)</v>
          </cell>
          <cell r="F347" t="str">
            <v>代表取締役社長</v>
          </cell>
          <cell r="G347" t="str">
            <v>中山  和人</v>
          </cell>
          <cell r="H347">
            <v>856</v>
          </cell>
          <cell r="I347">
            <v>2300</v>
          </cell>
          <cell r="J347" t="str">
            <v>101</v>
          </cell>
          <cell r="K347" t="str">
            <v>千代田区外神田1-1-8</v>
          </cell>
          <cell r="L347" t="str">
            <v>東芝万世橋ビル</v>
          </cell>
          <cell r="M347" t="str">
            <v>03-3257-5921</v>
          </cell>
          <cell r="N347" t="str">
            <v>/</v>
          </cell>
          <cell r="Q347" t="str">
            <v xml:space="preserve"> </v>
          </cell>
          <cell r="T347" t="str">
            <v>ﾄｳｼﾊﾞﾋｶﾞｼﾆﾎﾝﾗｲﾌｴﾚｸﾄﾛﾆｸｽ</v>
          </cell>
          <cell r="V347" t="str">
            <v>64</v>
          </cell>
        </row>
        <row r="348">
          <cell r="B348" t="str">
            <v>2652</v>
          </cell>
          <cell r="C348" t="str">
            <v>#</v>
          </cell>
          <cell r="D348" t="str">
            <v>日本ビクター(株)</v>
          </cell>
          <cell r="F348" t="str">
            <v>営業部長</v>
          </cell>
          <cell r="G348" t="str">
            <v>大石  岩男</v>
          </cell>
          <cell r="H348">
            <v>34106</v>
          </cell>
          <cell r="J348" t="str">
            <v>371</v>
          </cell>
          <cell r="K348" t="str">
            <v>前橋市大渡町1-10-1</v>
          </cell>
          <cell r="L348" t="str">
            <v xml:space="preserve"> </v>
          </cell>
          <cell r="M348" t="str">
            <v>0272-51-8091</v>
          </cell>
          <cell r="N348" t="str">
            <v>/</v>
          </cell>
          <cell r="O348" t="str">
            <v>ｶｰｵｰﾃﾞｨｵ</v>
          </cell>
          <cell r="Q348" t="str">
            <v xml:space="preserve"> </v>
          </cell>
          <cell r="T348" t="str">
            <v>ﾆﾎﾝﾋﾞｸﾀｰ</v>
          </cell>
          <cell r="V348" t="str">
            <v>64</v>
          </cell>
        </row>
        <row r="349">
          <cell r="B349" t="str">
            <v>2652</v>
          </cell>
          <cell r="C349" t="str">
            <v>##</v>
          </cell>
          <cell r="D349" t="str">
            <v>日本ビクター(株)</v>
          </cell>
          <cell r="E349" t="str">
            <v>ﾊﾟｰｿﾅﾙｵｰﾃﾞｨｵ事業部</v>
          </cell>
          <cell r="J349" t="str">
            <v>103</v>
          </cell>
          <cell r="K349" t="str">
            <v>中央区日本橋浜町2-1-1</v>
          </cell>
          <cell r="L349" t="str">
            <v xml:space="preserve"> </v>
          </cell>
          <cell r="N349" t="str">
            <v>/</v>
          </cell>
          <cell r="Q349" t="str">
            <v xml:space="preserve"> </v>
          </cell>
          <cell r="T349" t="str">
            <v>ﾆﾎﾝﾋﾞｸﾀｰ</v>
          </cell>
          <cell r="V349" t="str">
            <v>64</v>
          </cell>
        </row>
        <row r="350">
          <cell r="B350" t="str">
            <v>2653</v>
          </cell>
          <cell r="C350" t="str">
            <v>#</v>
          </cell>
          <cell r="D350" t="str">
            <v>日立電子ｼｽﾃﾑｻｰﾋﾞｽ(株)</v>
          </cell>
          <cell r="F350" t="str">
            <v>代表取締役社長</v>
          </cell>
          <cell r="G350" t="str">
            <v>佐藤  永</v>
          </cell>
          <cell r="H350">
            <v>100</v>
          </cell>
          <cell r="I350">
            <v>260</v>
          </cell>
          <cell r="J350" t="str">
            <v>169</v>
          </cell>
          <cell r="K350" t="str">
            <v>新宿区高田馬場3-18-25</v>
          </cell>
          <cell r="L350" t="str">
            <v>日立康洋ビル</v>
          </cell>
          <cell r="M350" t="str">
            <v>03-3362-6131</v>
          </cell>
          <cell r="N350" t="str">
            <v>/</v>
          </cell>
          <cell r="O350" t="str">
            <v>無線機</v>
          </cell>
          <cell r="Q350" t="str">
            <v xml:space="preserve"> </v>
          </cell>
          <cell r="T350" t="str">
            <v>ﾋﾀﾁﾃﾞﾝｼｼｽﾃﾑｻｰﾋﾞｽ</v>
          </cell>
          <cell r="V350" t="str">
            <v>64</v>
          </cell>
        </row>
        <row r="351">
          <cell r="B351" t="str">
            <v>2654</v>
          </cell>
          <cell r="C351" t="str">
            <v>#</v>
          </cell>
          <cell r="D351" t="str">
            <v>オムロン(株)</v>
          </cell>
          <cell r="F351" t="str">
            <v>代表取締役社長</v>
          </cell>
          <cell r="G351" t="str">
            <v>立石  義雄</v>
          </cell>
          <cell r="H351">
            <v>38687</v>
          </cell>
          <cell r="I351">
            <v>7972</v>
          </cell>
          <cell r="J351" t="str">
            <v>600</v>
          </cell>
          <cell r="K351" t="str">
            <v>京都府京都市下京区</v>
          </cell>
          <cell r="L351" t="str">
            <v>鳥丸通七条下ル</v>
          </cell>
          <cell r="M351" t="str">
            <v>075-344-7000</v>
          </cell>
          <cell r="N351" t="str">
            <v>/</v>
          </cell>
          <cell r="O351" t="str">
            <v>ｱｸｾﾙｾﾝｻ-</v>
          </cell>
          <cell r="Q351" t="str">
            <v xml:space="preserve"> </v>
          </cell>
          <cell r="S351" t="str">
            <v>☆</v>
          </cell>
          <cell r="T351" t="str">
            <v>ｵﾑﾛﾝ</v>
          </cell>
          <cell r="V351" t="str">
            <v>62</v>
          </cell>
        </row>
        <row r="352">
          <cell r="B352" t="str">
            <v>2654</v>
          </cell>
          <cell r="C352" t="str">
            <v>A</v>
          </cell>
          <cell r="D352" t="str">
            <v>オムロン(株)</v>
          </cell>
          <cell r="E352" t="str">
            <v>車載電装事業部車部営業部</v>
          </cell>
          <cell r="J352" t="str">
            <v>243</v>
          </cell>
          <cell r="K352" t="str">
            <v>厚木市中町2-8-13</v>
          </cell>
          <cell r="L352" t="str">
            <v>厚木三井ﾋﾞﾙﾃﾞｨﾝｸﾞ8F</v>
          </cell>
          <cell r="M352" t="str">
            <v>0462-24-4073</v>
          </cell>
          <cell r="N352" t="str">
            <v>/23-1647</v>
          </cell>
          <cell r="Q352" t="str">
            <v xml:space="preserve"> </v>
          </cell>
          <cell r="T352" t="str">
            <v xml:space="preserve">ｵﾑﾛﾝ </v>
          </cell>
          <cell r="V352" t="str">
            <v>62</v>
          </cell>
        </row>
        <row r="353">
          <cell r="B353" t="str">
            <v>2655</v>
          </cell>
          <cell r="C353" t="str">
            <v>#</v>
          </cell>
          <cell r="D353" t="str">
            <v>(有)豊洋パーツサプライ</v>
          </cell>
          <cell r="F353" t="str">
            <v>代表取締役</v>
          </cell>
          <cell r="G353" t="str">
            <v>加藤  信彦</v>
          </cell>
          <cell r="H353">
            <v>3</v>
          </cell>
          <cell r="I353">
            <v>2</v>
          </cell>
          <cell r="J353" t="str">
            <v>228</v>
          </cell>
          <cell r="K353" t="str">
            <v>相模原市相模大野9-22-41</v>
          </cell>
          <cell r="L353" t="str">
            <v xml:space="preserve"> </v>
          </cell>
          <cell r="M353" t="str">
            <v>0427-43-4114</v>
          </cell>
          <cell r="N353" t="str">
            <v>/43-4224</v>
          </cell>
          <cell r="O353" t="str">
            <v>ｻｰﾁﾗｲﾄ･電装部品　</v>
          </cell>
          <cell r="P353" t="str">
            <v>▽</v>
          </cell>
          <cell r="Q353" t="str">
            <v xml:space="preserve"> </v>
          </cell>
          <cell r="R353" t="str">
            <v>□</v>
          </cell>
          <cell r="T353" t="str">
            <v>ﾎｳﾖｳﾊﾟｰﾂｻﾌﾟﾗｲ</v>
          </cell>
          <cell r="V353" t="str">
            <v>75</v>
          </cell>
        </row>
        <row r="354">
          <cell r="B354" t="str">
            <v>2656</v>
          </cell>
          <cell r="C354" t="str">
            <v>#</v>
          </cell>
          <cell r="D354" t="str">
            <v>ｸｰﾊﾟｰｵｰﾄﾓｰﾃｨﾌﾞ(株)</v>
          </cell>
          <cell r="F354" t="str">
            <v>代表取締役</v>
          </cell>
          <cell r="G354" t="str">
            <v>戸井  陽司</v>
          </cell>
          <cell r="H354">
            <v>680</v>
          </cell>
          <cell r="I354">
            <v>14</v>
          </cell>
          <cell r="J354" t="str">
            <v>231</v>
          </cell>
          <cell r="K354" t="str">
            <v>横浜市中区日本大通18</v>
          </cell>
          <cell r="L354" t="str">
            <v>KRCﾋﾞﾙ9F</v>
          </cell>
          <cell r="M354" t="str">
            <v>045-641-5876</v>
          </cell>
          <cell r="N354" t="str">
            <v>/662-5384</v>
          </cell>
          <cell r="O354" t="str">
            <v>スパークプラグ</v>
          </cell>
          <cell r="Q354" t="str">
            <v xml:space="preserve"> </v>
          </cell>
          <cell r="S354" t="str">
            <v>☆</v>
          </cell>
          <cell r="T354" t="str">
            <v>ｸｰﾊﾟｰｵｰﾄﾓｰﾃｨﾌﾞ</v>
          </cell>
          <cell r="V354" t="str">
            <v>75</v>
          </cell>
        </row>
        <row r="355">
          <cell r="B355" t="str">
            <v>2657</v>
          </cell>
          <cell r="C355" t="str">
            <v>#</v>
          </cell>
          <cell r="D355" t="str">
            <v>(株)ホンダロック</v>
          </cell>
          <cell r="F355" t="str">
            <v>代表取締役社長</v>
          </cell>
          <cell r="G355" t="str">
            <v>足達  明聖</v>
          </cell>
          <cell r="H355" t="str">
            <v>640</v>
          </cell>
          <cell r="I355" t="str">
            <v>944</v>
          </cell>
          <cell r="J355" t="str">
            <v>880-22</v>
          </cell>
          <cell r="K355" t="str">
            <v>宮崎県宮崎郡佐土原町大字下</v>
          </cell>
          <cell r="L355" t="str">
            <v>那珂3700</v>
          </cell>
          <cell r="M355" t="str">
            <v>0985-73-7142</v>
          </cell>
          <cell r="N355" t="str">
            <v>/73-6957</v>
          </cell>
          <cell r="O355" t="str">
            <v>ﾌﾟｯｼｭｽｲｯﾁ･ﾐﾗｰ･ﾛｯｸｾｯﾄ</v>
          </cell>
          <cell r="T355" t="str">
            <v>ﾎﾝﾀﾞﾛｯｸ</v>
          </cell>
          <cell r="V355" t="str">
            <v>62</v>
          </cell>
        </row>
        <row r="356">
          <cell r="B356" t="str">
            <v>2658</v>
          </cell>
          <cell r="C356" t="str">
            <v>#</v>
          </cell>
          <cell r="D356" t="str">
            <v>水戸工業(株)</v>
          </cell>
          <cell r="F356" t="str">
            <v>取締役社長</v>
          </cell>
          <cell r="G356" t="str">
            <v>成田  茂之</v>
          </cell>
          <cell r="H356" t="str">
            <v>48</v>
          </cell>
          <cell r="I356" t="str">
            <v>164</v>
          </cell>
          <cell r="J356" t="str">
            <v>101</v>
          </cell>
          <cell r="K356" t="str">
            <v>千代田区神田北乗物町6</v>
          </cell>
          <cell r="L356" t="str">
            <v xml:space="preserve"> </v>
          </cell>
          <cell r="M356" t="str">
            <v>03-3252-1217</v>
          </cell>
          <cell r="N356" t="str">
            <v>/3252-0383</v>
          </cell>
          <cell r="O356" t="str">
            <v>RV車他搭載工具</v>
          </cell>
          <cell r="P356" t="str">
            <v>▽</v>
          </cell>
          <cell r="T356" t="str">
            <v>ﾐﾄｺｳｷﾞｮｳ</v>
          </cell>
          <cell r="V356" t="str">
            <v>64</v>
          </cell>
        </row>
        <row r="357">
          <cell r="B357" t="str">
            <v>2702</v>
          </cell>
          <cell r="C357" t="str">
            <v>#</v>
          </cell>
          <cell r="D357" t="str">
            <v>大同メタル工業(株)</v>
          </cell>
          <cell r="F357" t="str">
            <v>代表取締役社長</v>
          </cell>
          <cell r="G357" t="str">
            <v>判治  誠吾</v>
          </cell>
          <cell r="H357">
            <v>2973</v>
          </cell>
          <cell r="I357">
            <v>1579</v>
          </cell>
          <cell r="J357" t="str">
            <v>462</v>
          </cell>
          <cell r="K357" t="str">
            <v>名古屋市北区猿投町2</v>
          </cell>
          <cell r="L357" t="str">
            <v xml:space="preserve"> </v>
          </cell>
          <cell r="M357" t="str">
            <v>052-913-1161</v>
          </cell>
          <cell r="N357" t="str">
            <v>/</v>
          </cell>
          <cell r="O357" t="str">
            <v>ｸﾗﾝｸBRG</v>
          </cell>
          <cell r="Q357" t="str">
            <v>◎</v>
          </cell>
          <cell r="R357" t="str">
            <v>□</v>
          </cell>
          <cell r="S357" t="str">
            <v>☆</v>
          </cell>
          <cell r="T357" t="str">
            <v>ﾀﾞｲﾄﾞｳﾒﾀﾙｺｳｷﾞｮｳ</v>
          </cell>
          <cell r="V357" t="str">
            <v>51</v>
          </cell>
        </row>
        <row r="358">
          <cell r="B358" t="str">
            <v>2702</v>
          </cell>
          <cell r="C358" t="str">
            <v>A</v>
          </cell>
          <cell r="D358" t="str">
            <v>大同メタル工業(株)</v>
          </cell>
          <cell r="E358" t="str">
            <v>東京営業所</v>
          </cell>
          <cell r="F358" t="str">
            <v>所長</v>
          </cell>
          <cell r="G358" t="str">
            <v>白石  晃己</v>
          </cell>
          <cell r="J358" t="str">
            <v>105</v>
          </cell>
          <cell r="K358" t="str">
            <v>港区虎ノ門2-5-5</v>
          </cell>
          <cell r="L358" t="str">
            <v>桜ビル8F</v>
          </cell>
          <cell r="M358" t="str">
            <v>03-3502-7261</v>
          </cell>
          <cell r="N358" t="str">
            <v>/3504-6719</v>
          </cell>
          <cell r="O358" t="str">
            <v>ｺﾝﾛｯﾄﾞBRG.</v>
          </cell>
          <cell r="Q358" t="str">
            <v xml:space="preserve"> </v>
          </cell>
          <cell r="T358" t="str">
            <v>ﾀﾞｲﾄﾞｳﾒﾀﾙｺｳｷﾞｮｳ</v>
          </cell>
          <cell r="V358" t="str">
            <v>51</v>
          </cell>
        </row>
        <row r="359">
          <cell r="B359" t="str">
            <v>2702</v>
          </cell>
          <cell r="C359" t="str">
            <v>B</v>
          </cell>
          <cell r="D359" t="str">
            <v>大同メタル工業(株)</v>
          </cell>
          <cell r="E359" t="str">
            <v>犬山工場</v>
          </cell>
          <cell r="J359" t="str">
            <v>484</v>
          </cell>
          <cell r="K359" t="str">
            <v>犬山市大字前原字天道新田</v>
          </cell>
          <cell r="L359" t="str">
            <v xml:space="preserve"> </v>
          </cell>
          <cell r="M359" t="str">
            <v>0568-61-1350</v>
          </cell>
          <cell r="N359" t="str">
            <v>/</v>
          </cell>
          <cell r="O359" t="str">
            <v>ｽﾗｽﾄﾜｯｼｬｰ</v>
          </cell>
          <cell r="Q359" t="str">
            <v xml:space="preserve"> </v>
          </cell>
          <cell r="T359" t="str">
            <v>ﾀﾞｲﾄﾞｳﾒﾀﾙｺｳｷﾞｮｳ</v>
          </cell>
          <cell r="V359" t="str">
            <v>51</v>
          </cell>
        </row>
        <row r="360">
          <cell r="B360" t="str">
            <v>2702</v>
          </cell>
          <cell r="C360" t="str">
            <v>C</v>
          </cell>
          <cell r="D360" t="str">
            <v>大同メタル工業(株)</v>
          </cell>
          <cell r="E360" t="str">
            <v>岐阜工場</v>
          </cell>
          <cell r="J360" t="str">
            <v>501-41</v>
          </cell>
          <cell r="K360" t="str">
            <v>岐阜県郡上郡美並村</v>
          </cell>
          <cell r="L360" t="str">
            <v>大字大原字野倉135</v>
          </cell>
          <cell r="M360" t="str">
            <v xml:space="preserve">057579-2221 </v>
          </cell>
          <cell r="N360" t="str">
            <v>/</v>
          </cell>
          <cell r="O360" t="str">
            <v>各種プッシュ</v>
          </cell>
          <cell r="Q360" t="str">
            <v xml:space="preserve"> </v>
          </cell>
          <cell r="T360" t="str">
            <v>ﾀﾞｲﾄﾞｳﾒﾀﾙｺｳｷﾞｮｳ</v>
          </cell>
          <cell r="V360" t="str">
            <v>51</v>
          </cell>
        </row>
        <row r="361">
          <cell r="B361" t="str">
            <v>2702</v>
          </cell>
          <cell r="C361" t="str">
            <v>D</v>
          </cell>
          <cell r="D361" t="str">
            <v>大同メタル工業(株)</v>
          </cell>
          <cell r="E361" t="str">
            <v>東京工場</v>
          </cell>
          <cell r="J361" t="str">
            <v>223</v>
          </cell>
          <cell r="K361" t="str">
            <v>横浜市港北区高田町569</v>
          </cell>
          <cell r="L361" t="str">
            <v xml:space="preserve"> </v>
          </cell>
          <cell r="M361" t="str">
            <v>045-592-3841</v>
          </cell>
          <cell r="N361" t="str">
            <v>/</v>
          </cell>
          <cell r="Q361" t="str">
            <v xml:space="preserve"> </v>
          </cell>
          <cell r="T361" t="str">
            <v>ﾀﾞｲﾄﾞｳﾒﾀﾙｺｳｷﾞｮｳ</v>
          </cell>
          <cell r="V361" t="str">
            <v>51</v>
          </cell>
        </row>
        <row r="362">
          <cell r="B362" t="str">
            <v>2704</v>
          </cell>
          <cell r="C362" t="str">
            <v>#</v>
          </cell>
          <cell r="D362" t="str">
            <v>(株)ライフエレックス</v>
          </cell>
          <cell r="F362" t="str">
            <v>取締役社長</v>
          </cell>
          <cell r="G362" t="str">
            <v>藤野  四郎</v>
          </cell>
          <cell r="H362">
            <v>45</v>
          </cell>
          <cell r="I362">
            <v>107</v>
          </cell>
          <cell r="J362" t="str">
            <v>370-06</v>
          </cell>
          <cell r="K362" t="str">
            <v>郡馬県邑楽郡邑楽町篠塚971</v>
          </cell>
          <cell r="L362" t="str">
            <v xml:space="preserve"> </v>
          </cell>
          <cell r="M362" t="str">
            <v>0276-88-3911</v>
          </cell>
          <cell r="N362" t="str">
            <v>/88-6665</v>
          </cell>
          <cell r="O362" t="str">
            <v>電球</v>
          </cell>
          <cell r="P362" t="str">
            <v>▽</v>
          </cell>
          <cell r="Q362" t="str">
            <v xml:space="preserve"> </v>
          </cell>
          <cell r="T362" t="str">
            <v>ﾗｲﾌｴﾚｯｸｽ</v>
          </cell>
          <cell r="V362" t="str">
            <v>64</v>
          </cell>
        </row>
        <row r="363">
          <cell r="B363" t="str">
            <v>2708</v>
          </cell>
          <cell r="C363" t="str">
            <v>#</v>
          </cell>
          <cell r="D363" t="str">
            <v>三菱マテリアル(株)</v>
          </cell>
          <cell r="F363" t="str">
            <v>取締役社長</v>
          </cell>
          <cell r="G363" t="str">
            <v>秋元  勇巳</v>
          </cell>
          <cell r="H363">
            <v>99358</v>
          </cell>
          <cell r="I363">
            <v>9936</v>
          </cell>
          <cell r="J363" t="str">
            <v>100</v>
          </cell>
          <cell r="K363" t="str">
            <v>千代田区大手町1-5-1</v>
          </cell>
          <cell r="L363" t="str">
            <v>大手町ファーストスクエア</v>
          </cell>
          <cell r="M363" t="str">
            <v>03-5252-5200</v>
          </cell>
          <cell r="N363" t="str">
            <v>/</v>
          </cell>
          <cell r="O363" t="str">
            <v>焼結合金</v>
          </cell>
          <cell r="Q363" t="str">
            <v>◎</v>
          </cell>
          <cell r="R363" t="str">
            <v>□</v>
          </cell>
          <cell r="S363" t="str">
            <v>☆</v>
          </cell>
          <cell r="T363" t="str">
            <v>ﾐﾂﾋﾞｼﾏﾃﾘｱﾙ</v>
          </cell>
          <cell r="V363" t="str">
            <v>53</v>
          </cell>
        </row>
        <row r="364">
          <cell r="B364" t="str">
            <v>2708</v>
          </cell>
          <cell r="C364" t="str">
            <v>A</v>
          </cell>
          <cell r="D364" t="str">
            <v>三菱マテリアル(株)</v>
          </cell>
          <cell r="E364" t="str">
            <v>東京加工支店</v>
          </cell>
          <cell r="J364" t="str">
            <v>105</v>
          </cell>
          <cell r="K364" t="str">
            <v>港区浜松町2-4-1</v>
          </cell>
          <cell r="L364" t="str">
            <v>世界貿易センタービル23F</v>
          </cell>
          <cell r="M364" t="str">
            <v>03-3435-4637</v>
          </cell>
          <cell r="N364" t="str">
            <v>/</v>
          </cell>
          <cell r="O364" t="str">
            <v>焼結合金</v>
          </cell>
          <cell r="Q364" t="str">
            <v xml:space="preserve"> </v>
          </cell>
          <cell r="T364" t="str">
            <v>ﾐﾂﾋﾞｼﾏﾃﾘｱﾙ</v>
          </cell>
          <cell r="V364" t="str">
            <v>53</v>
          </cell>
        </row>
        <row r="365">
          <cell r="B365" t="str">
            <v>2708</v>
          </cell>
          <cell r="C365" t="str">
            <v>B</v>
          </cell>
          <cell r="D365" t="str">
            <v>三菱マテリアル(株)</v>
          </cell>
          <cell r="E365" t="str">
            <v>新潟製作所</v>
          </cell>
          <cell r="J365" t="str">
            <v>950</v>
          </cell>
          <cell r="K365" t="str">
            <v>新潟市小金町3-1</v>
          </cell>
          <cell r="L365" t="str">
            <v xml:space="preserve"> </v>
          </cell>
          <cell r="M365" t="str">
            <v>0252-75-0111</v>
          </cell>
          <cell r="N365" t="str">
            <v>/</v>
          </cell>
          <cell r="O365" t="str">
            <v>焼結合金</v>
          </cell>
          <cell r="Q365" t="str">
            <v xml:space="preserve"> </v>
          </cell>
          <cell r="T365" t="str">
            <v>ﾐﾂﾋﾞｼﾏﾃﾘｱﾙ</v>
          </cell>
          <cell r="V365" t="str">
            <v>53</v>
          </cell>
        </row>
        <row r="366">
          <cell r="B366" t="str">
            <v>2708</v>
          </cell>
          <cell r="C366" t="str">
            <v>C</v>
          </cell>
          <cell r="D366" t="str">
            <v>三菱マテリアル(株)</v>
          </cell>
          <cell r="E366" t="str">
            <v>桶川工場</v>
          </cell>
          <cell r="J366" t="str">
            <v>363</v>
          </cell>
          <cell r="K366" t="str">
            <v>桶川市上日出谷1230</v>
          </cell>
          <cell r="L366" t="str">
            <v xml:space="preserve"> </v>
          </cell>
          <cell r="M366" t="str">
            <v>0487-71-3321</v>
          </cell>
          <cell r="N366" t="str">
            <v>/</v>
          </cell>
          <cell r="O366" t="str">
            <v>焼結合金</v>
          </cell>
          <cell r="Q366" t="str">
            <v xml:space="preserve"> </v>
          </cell>
          <cell r="T366" t="str">
            <v>ﾐﾂﾋﾞｼﾏﾃﾘｱﾙ</v>
          </cell>
          <cell r="V366" t="str">
            <v>53</v>
          </cell>
        </row>
        <row r="367">
          <cell r="B367" t="str">
            <v>2708</v>
          </cell>
          <cell r="C367" t="str">
            <v>D</v>
          </cell>
          <cell r="D367" t="str">
            <v>三菱マテリアル(株)</v>
          </cell>
          <cell r="E367" t="str">
            <v>南関東営業所</v>
          </cell>
          <cell r="F367" t="str">
            <v>所長</v>
          </cell>
          <cell r="G367" t="str">
            <v>中島  正志</v>
          </cell>
          <cell r="J367" t="str">
            <v>243</v>
          </cell>
          <cell r="K367" t="str">
            <v>厚木市中町3-5-15</v>
          </cell>
          <cell r="L367" t="str">
            <v>進晴ビル3F</v>
          </cell>
          <cell r="M367" t="str">
            <v>0462-95-0444</v>
          </cell>
          <cell r="N367" t="str">
            <v>/95-0449</v>
          </cell>
          <cell r="O367" t="str">
            <v>焼結合金</v>
          </cell>
          <cell r="Q367" t="str">
            <v xml:space="preserve"> </v>
          </cell>
          <cell r="T367" t="str">
            <v>ﾐﾂﾋﾞｼﾏﾃﾘｱﾙ</v>
          </cell>
          <cell r="V367" t="str">
            <v>53</v>
          </cell>
        </row>
        <row r="368">
          <cell r="B368" t="str">
            <v>2709</v>
          </cell>
          <cell r="C368" t="str">
            <v>#</v>
          </cell>
          <cell r="D368" t="str">
            <v>(株)折橋製作所</v>
          </cell>
          <cell r="F368" t="str">
            <v>取締役社長</v>
          </cell>
          <cell r="G368" t="str">
            <v>折橋　治郎</v>
          </cell>
          <cell r="H368">
            <v>60</v>
          </cell>
          <cell r="I368">
            <v>143</v>
          </cell>
          <cell r="J368" t="str">
            <v>144</v>
          </cell>
          <cell r="K368" t="str">
            <v>大田区北糀谷1-18-4</v>
          </cell>
          <cell r="L368" t="str">
            <v xml:space="preserve"> </v>
          </cell>
          <cell r="M368" t="str">
            <v>03-3742-3151</v>
          </cell>
          <cell r="N368" t="str">
            <v>/3743-4356</v>
          </cell>
          <cell r="O368" t="str">
            <v>巻ブッシュ</v>
          </cell>
          <cell r="P368" t="str">
            <v>▽</v>
          </cell>
          <cell r="Q368" t="str">
            <v>◎</v>
          </cell>
          <cell r="R368" t="str">
            <v>□</v>
          </cell>
          <cell r="S368" t="str">
            <v>☆</v>
          </cell>
          <cell r="T368" t="str">
            <v>ｵﾘﾊｼｾｲｻｸｼｮ</v>
          </cell>
          <cell r="V368" t="str">
            <v>51</v>
          </cell>
        </row>
        <row r="369">
          <cell r="B369" t="str">
            <v>2709</v>
          </cell>
          <cell r="C369" t="str">
            <v>A</v>
          </cell>
          <cell r="D369" t="str">
            <v>(株)折橋製作所</v>
          </cell>
          <cell r="E369" t="str">
            <v>諸川工場</v>
          </cell>
          <cell r="J369" t="str">
            <v>306-01</v>
          </cell>
          <cell r="K369" t="str">
            <v>茨城県猿島郡三和町諸川973</v>
          </cell>
          <cell r="L369" t="str">
            <v xml:space="preserve"> </v>
          </cell>
          <cell r="M369" t="str">
            <v>02807-6-0711</v>
          </cell>
          <cell r="N369" t="str">
            <v>/</v>
          </cell>
          <cell r="O369" t="str">
            <v>巻ブッシュ</v>
          </cell>
          <cell r="P369" t="str">
            <v>▽</v>
          </cell>
          <cell r="Q369" t="str">
            <v xml:space="preserve"> </v>
          </cell>
          <cell r="T369" t="str">
            <v>ｵﾘﾊｼｾｲｻｸｼｮ</v>
          </cell>
          <cell r="V369" t="str">
            <v>51</v>
          </cell>
        </row>
        <row r="370">
          <cell r="B370" t="str">
            <v>2714</v>
          </cell>
          <cell r="C370" t="str">
            <v>#</v>
          </cell>
          <cell r="D370" t="str">
            <v>スタンレー電気(株)</v>
          </cell>
          <cell r="F370" t="str">
            <v>代表取締役社長</v>
          </cell>
          <cell r="G370" t="str">
            <v>篠田　在宏</v>
          </cell>
          <cell r="H370">
            <v>7024</v>
          </cell>
          <cell r="I370">
            <v>2442</v>
          </cell>
          <cell r="J370" t="str">
            <v>153</v>
          </cell>
          <cell r="K370" t="str">
            <v>目黒区中目黒2-9-13</v>
          </cell>
          <cell r="L370" t="str">
            <v xml:space="preserve"> </v>
          </cell>
          <cell r="M370" t="str">
            <v>03-3710-2420</v>
          </cell>
          <cell r="N370" t="str">
            <v>/3710-2528</v>
          </cell>
          <cell r="O370" t="str">
            <v>ランプ</v>
          </cell>
          <cell r="Q370" t="str">
            <v>◎</v>
          </cell>
          <cell r="R370" t="str">
            <v>□</v>
          </cell>
          <cell r="S370" t="str">
            <v>☆</v>
          </cell>
          <cell r="T370" t="str">
            <v>ｽﾀﾝﾚｰﾃﾞﾝｷ</v>
          </cell>
          <cell r="V370" t="str">
            <v>62</v>
          </cell>
        </row>
        <row r="371">
          <cell r="B371" t="str">
            <v>2716</v>
          </cell>
          <cell r="C371" t="str">
            <v>#</v>
          </cell>
          <cell r="D371" t="str">
            <v>(株)小糸製作所</v>
          </cell>
          <cell r="F371" t="str">
            <v>代表取締役社長</v>
          </cell>
          <cell r="G371" t="str">
            <v>長村  義郎</v>
          </cell>
          <cell r="H371">
            <v>6730</v>
          </cell>
          <cell r="I371">
            <v>3259</v>
          </cell>
          <cell r="J371" t="str">
            <v>108</v>
          </cell>
          <cell r="K371" t="str">
            <v>港区高輪4-8-3</v>
          </cell>
          <cell r="L371" t="str">
            <v xml:space="preserve"> </v>
          </cell>
          <cell r="M371" t="str">
            <v>03-3447-5101</v>
          </cell>
          <cell r="N371" t="str">
            <v>/</v>
          </cell>
          <cell r="O371" t="str">
            <v>ランプ</v>
          </cell>
          <cell r="Q371" t="str">
            <v>◎</v>
          </cell>
          <cell r="R371" t="str">
            <v>□</v>
          </cell>
          <cell r="S371" t="str">
            <v>☆</v>
          </cell>
          <cell r="T371" t="str">
            <v>ｺｲﾄｾｲｻｸｼｮ</v>
          </cell>
          <cell r="V371" t="str">
            <v>62</v>
          </cell>
        </row>
        <row r="372">
          <cell r="B372" t="str">
            <v>2716</v>
          </cell>
          <cell r="C372" t="str">
            <v>A</v>
          </cell>
          <cell r="D372" t="str">
            <v>(株)小糸製作所</v>
          </cell>
          <cell r="E372" t="str">
            <v>東京支店</v>
          </cell>
          <cell r="F372" t="str">
            <v>専務取締役</v>
          </cell>
          <cell r="G372" t="str">
            <v>小糸  彰</v>
          </cell>
          <cell r="J372" t="str">
            <v>108</v>
          </cell>
          <cell r="K372" t="str">
            <v>港区高輪4-8-3</v>
          </cell>
          <cell r="L372" t="str">
            <v xml:space="preserve"> </v>
          </cell>
          <cell r="M372" t="str">
            <v>03-3447-5161</v>
          </cell>
          <cell r="N372" t="str">
            <v>/3447-1660</v>
          </cell>
          <cell r="O372" t="str">
            <v>ランプ</v>
          </cell>
          <cell r="Q372" t="str">
            <v xml:space="preserve"> </v>
          </cell>
          <cell r="T372" t="str">
            <v>ｺｲﾄｾｲｻｸｼｮ</v>
          </cell>
          <cell r="V372" t="str">
            <v>62</v>
          </cell>
        </row>
        <row r="373">
          <cell r="B373" t="str">
            <v>2716</v>
          </cell>
          <cell r="C373" t="str">
            <v>B</v>
          </cell>
          <cell r="D373" t="str">
            <v>(株)小糸製作所</v>
          </cell>
          <cell r="E373" t="str">
            <v>静岡工場</v>
          </cell>
          <cell r="J373" t="str">
            <v>424</v>
          </cell>
          <cell r="K373" t="str">
            <v>清水市北脇500</v>
          </cell>
          <cell r="L373" t="str">
            <v xml:space="preserve"> </v>
          </cell>
          <cell r="M373" t="str">
            <v>0543-45-2251</v>
          </cell>
          <cell r="N373" t="str">
            <v>/</v>
          </cell>
          <cell r="O373" t="str">
            <v>ランプ</v>
          </cell>
          <cell r="Q373" t="str">
            <v xml:space="preserve"> </v>
          </cell>
          <cell r="T373" t="str">
            <v>ｺｲﾄｾｲｻｸｼｮ</v>
          </cell>
          <cell r="V373" t="str">
            <v>62</v>
          </cell>
        </row>
        <row r="374">
          <cell r="B374" t="str">
            <v>2717</v>
          </cell>
          <cell r="C374" t="str">
            <v>#</v>
          </cell>
          <cell r="D374" t="str">
            <v>日本精機(株)</v>
          </cell>
          <cell r="F374" t="str">
            <v>代表取締役</v>
          </cell>
          <cell r="G374" t="str">
            <v>永井　淳夫</v>
          </cell>
          <cell r="H374">
            <v>300</v>
          </cell>
          <cell r="I374">
            <v>1194</v>
          </cell>
          <cell r="J374" t="str">
            <v>940</v>
          </cell>
          <cell r="K374" t="str">
            <v>長岡市東蔵王3-2-34</v>
          </cell>
          <cell r="L374" t="str">
            <v xml:space="preserve"> </v>
          </cell>
          <cell r="M374" t="str">
            <v>0258-24-3311</v>
          </cell>
          <cell r="N374" t="str">
            <v>/</v>
          </cell>
          <cell r="O374" t="str">
            <v>メーター</v>
          </cell>
          <cell r="Q374" t="str">
            <v xml:space="preserve"> </v>
          </cell>
          <cell r="R374" t="str">
            <v>□</v>
          </cell>
          <cell r="S374" t="str">
            <v>☆</v>
          </cell>
          <cell r="T374" t="str">
            <v>ﾆﾎﾝｾｲｷ</v>
          </cell>
          <cell r="V374" t="str">
            <v>62</v>
          </cell>
        </row>
        <row r="375">
          <cell r="B375" t="str">
            <v>2717</v>
          </cell>
          <cell r="C375" t="str">
            <v>A</v>
          </cell>
          <cell r="D375" t="str">
            <v>日本精機(株)</v>
          </cell>
          <cell r="E375" t="str">
            <v>東京営業所</v>
          </cell>
          <cell r="F375" t="str">
            <v>所長</v>
          </cell>
          <cell r="G375" t="str">
            <v>竹部　好貴</v>
          </cell>
          <cell r="J375" t="str">
            <v>110</v>
          </cell>
          <cell r="K375" t="str">
            <v>台東区上野1-15-4</v>
          </cell>
          <cell r="L375" t="str">
            <v>上野DKビル7F</v>
          </cell>
          <cell r="M375" t="str">
            <v>03-3835-8931</v>
          </cell>
          <cell r="N375" t="str">
            <v>/3834-8116</v>
          </cell>
          <cell r="O375" t="str">
            <v>フレキシブルシャフト</v>
          </cell>
          <cell r="Q375" t="str">
            <v xml:space="preserve"> </v>
          </cell>
          <cell r="T375" t="str">
            <v>ﾆﾎﾝｾｲｷ</v>
          </cell>
          <cell r="V375" t="str">
            <v>62</v>
          </cell>
        </row>
        <row r="376">
          <cell r="B376" t="str">
            <v>2718</v>
          </cell>
          <cell r="C376" t="str">
            <v>#</v>
          </cell>
          <cell r="D376" t="str">
            <v>第一電装部品(株)</v>
          </cell>
          <cell r="F376" t="str">
            <v>社長</v>
          </cell>
          <cell r="G376" t="str">
            <v>高野  恒助</v>
          </cell>
          <cell r="H376">
            <v>40</v>
          </cell>
          <cell r="I376">
            <v>116</v>
          </cell>
          <cell r="J376" t="str">
            <v>179</v>
          </cell>
          <cell r="K376" t="str">
            <v>豊島区東池袋1-30-14-603</v>
          </cell>
          <cell r="L376" t="str">
            <v/>
          </cell>
          <cell r="M376" t="str">
            <v>0492-61-6111</v>
          </cell>
          <cell r="N376" t="str">
            <v>/66-6222</v>
          </cell>
          <cell r="O376" t="str">
            <v>ｲﾝﾃﾘｱﾗｲﾄ</v>
          </cell>
          <cell r="P376" t="str">
            <v>▽</v>
          </cell>
          <cell r="T376" t="str">
            <v xml:space="preserve">ﾀﾞｲｲﾁﾃﾞﾝｿｳﾌﾞﾋﾝ </v>
          </cell>
          <cell r="V376" t="str">
            <v>62</v>
          </cell>
        </row>
        <row r="377">
          <cell r="B377" t="str">
            <v>2800</v>
          </cell>
          <cell r="C377" t="str">
            <v>#</v>
          </cell>
          <cell r="D377" t="str">
            <v>トピー工業(株)</v>
          </cell>
          <cell r="F377" t="str">
            <v>代表取締役社長</v>
          </cell>
          <cell r="G377" t="str">
            <v>甲谷　知勝</v>
          </cell>
          <cell r="H377">
            <v>6015</v>
          </cell>
          <cell r="I377">
            <v>3604</v>
          </cell>
          <cell r="J377" t="str">
            <v>102</v>
          </cell>
          <cell r="K377" t="str">
            <v>千代田区四番町5-9</v>
          </cell>
          <cell r="L377" t="str">
            <v>東亜ビル</v>
          </cell>
          <cell r="M377" t="str">
            <v>03-3265-0111</v>
          </cell>
          <cell r="N377" t="str">
            <v>/</v>
          </cell>
          <cell r="O377" t="str">
            <v>ﾃﾞｨｽｸﾎｲｰﾙ･ｱﾙﾐﾎｲｰﾙ</v>
          </cell>
          <cell r="Q377" t="str">
            <v>◎</v>
          </cell>
          <cell r="R377" t="str">
            <v>□</v>
          </cell>
          <cell r="S377" t="str">
            <v>☆</v>
          </cell>
          <cell r="T377" t="str">
            <v>ﾄﾋﾟｰｺｳｷﾞｮｳ</v>
          </cell>
          <cell r="V377" t="str">
            <v>54</v>
          </cell>
        </row>
        <row r="378">
          <cell r="B378" t="str">
            <v>2800</v>
          </cell>
          <cell r="C378" t="str">
            <v>A</v>
          </cell>
          <cell r="D378" t="str">
            <v>トピー工業(株)</v>
          </cell>
          <cell r="E378" t="str">
            <v>プレス事業部</v>
          </cell>
          <cell r="F378" t="str">
            <v>常務取締役</v>
          </cell>
          <cell r="G378" t="str">
            <v>富山  宗三郎</v>
          </cell>
          <cell r="J378" t="str">
            <v>252</v>
          </cell>
          <cell r="K378" t="str">
            <v>綾瀬市大上2-3</v>
          </cell>
          <cell r="L378" t="str">
            <v xml:space="preserve"> </v>
          </cell>
          <cell r="M378" t="str">
            <v>0467-78-1115</v>
          </cell>
          <cell r="N378" t="str">
            <v>/79-1694</v>
          </cell>
          <cell r="Q378" t="str">
            <v xml:space="preserve"> </v>
          </cell>
          <cell r="T378" t="str">
            <v>ﾄﾋﾟｰｺｳｷﾞｮｳ</v>
          </cell>
          <cell r="V378" t="str">
            <v>54</v>
          </cell>
        </row>
        <row r="379">
          <cell r="B379" t="str">
            <v>2800</v>
          </cell>
          <cell r="C379" t="str">
            <v>B</v>
          </cell>
          <cell r="D379" t="str">
            <v>トピー工業(株)</v>
          </cell>
          <cell r="F379" t="str">
            <v>プレス事業部長</v>
          </cell>
          <cell r="K379" t="str">
            <v xml:space="preserve"> </v>
          </cell>
          <cell r="L379" t="str">
            <v xml:space="preserve"> </v>
          </cell>
          <cell r="N379" t="str">
            <v>/</v>
          </cell>
          <cell r="Q379" t="str">
            <v xml:space="preserve"> </v>
          </cell>
          <cell r="T379" t="str">
            <v>ﾄﾋﾟｰｺｳｷﾞｮｳ</v>
          </cell>
          <cell r="V379" t="str">
            <v>54</v>
          </cell>
        </row>
        <row r="380">
          <cell r="B380" t="str">
            <v>2801</v>
          </cell>
          <cell r="C380" t="str">
            <v>#</v>
          </cell>
          <cell r="D380" t="str">
            <v>フジオーゼックス(株)</v>
          </cell>
          <cell r="F380" t="str">
            <v>取締役社長</v>
          </cell>
          <cell r="G380" t="str">
            <v>栗栖  敬</v>
          </cell>
          <cell r="H380">
            <v>2050</v>
          </cell>
          <cell r="I380">
            <v>889</v>
          </cell>
          <cell r="J380" t="str">
            <v>252</v>
          </cell>
          <cell r="K380" t="str">
            <v>藤沢市円行1-22-1</v>
          </cell>
          <cell r="L380" t="str">
            <v xml:space="preserve"> </v>
          </cell>
          <cell r="M380" t="str">
            <v>0466-87-1411</v>
          </cell>
          <cell r="N380" t="str">
            <v>/</v>
          </cell>
          <cell r="O380" t="str">
            <v>ｺｯﾀｰ</v>
          </cell>
          <cell r="Q380" t="str">
            <v>◎</v>
          </cell>
          <cell r="R380" t="str">
            <v>□</v>
          </cell>
          <cell r="S380" t="str">
            <v>☆</v>
          </cell>
          <cell r="T380" t="str">
            <v>ﾌｼﾞｵｰｾﾞｯｸｽ</v>
          </cell>
          <cell r="V380" t="str">
            <v>51</v>
          </cell>
        </row>
        <row r="381">
          <cell r="B381" t="str">
            <v>2801</v>
          </cell>
          <cell r="C381" t="str">
            <v>A</v>
          </cell>
          <cell r="D381" t="str">
            <v>フジオーゼックス(株)</v>
          </cell>
          <cell r="E381" t="str">
            <v>東京本社</v>
          </cell>
          <cell r="J381" t="str">
            <v>107</v>
          </cell>
          <cell r="K381" t="str">
            <v>港区赤坂1-1-12</v>
          </cell>
          <cell r="L381" t="str">
            <v>溜池明産ビル</v>
          </cell>
          <cell r="M381" t="str">
            <v>03-3585-1202</v>
          </cell>
          <cell r="N381" t="str">
            <v>/3584-0426</v>
          </cell>
          <cell r="O381" t="str">
            <v>吸排気弁・弁座</v>
          </cell>
          <cell r="Q381" t="str">
            <v xml:space="preserve"> </v>
          </cell>
          <cell r="T381" t="str">
            <v>ﾌｼﾞｵｰｾﾞｯｸｽ</v>
          </cell>
          <cell r="V381" t="str">
            <v>51</v>
          </cell>
        </row>
        <row r="382">
          <cell r="B382" t="str">
            <v>2803</v>
          </cell>
          <cell r="C382" t="str">
            <v>#</v>
          </cell>
          <cell r="D382" t="str">
            <v>日本ﾋﾟｽﾄﾝﾘﾝｸﾞ(株)</v>
          </cell>
          <cell r="F382" t="str">
            <v>取締役社長</v>
          </cell>
          <cell r="G382" t="str">
            <v>地引  啓修</v>
          </cell>
          <cell r="H382">
            <v>7465</v>
          </cell>
          <cell r="I382">
            <v>1343</v>
          </cell>
          <cell r="J382" t="str">
            <v>102</v>
          </cell>
          <cell r="K382" t="str">
            <v>千代田区九段北4-2-6</v>
          </cell>
          <cell r="L382" t="str">
            <v>市ケ谷ビル</v>
          </cell>
          <cell r="M382" t="str">
            <v>03-3234-4171</v>
          </cell>
          <cell r="N382" t="str">
            <v>/</v>
          </cell>
          <cell r="O382" t="str">
            <v>ｶﾑｼｬﾌﾄ､ｼﾘﾝﾀﾞｰﾗｲﾅｰ</v>
          </cell>
          <cell r="Q382" t="str">
            <v>◎</v>
          </cell>
          <cell r="R382" t="str">
            <v>□</v>
          </cell>
          <cell r="S382" t="str">
            <v>☆</v>
          </cell>
          <cell r="T382" t="str">
            <v>ﾆﾎﾝﾋﾟｽﾄﾝﾘﾝｸﾞ</v>
          </cell>
          <cell r="V382" t="str">
            <v>51</v>
          </cell>
        </row>
        <row r="383">
          <cell r="B383" t="str">
            <v>2803</v>
          </cell>
          <cell r="C383" t="str">
            <v>C</v>
          </cell>
          <cell r="D383" t="str">
            <v>日本ﾋﾟｽﾄﾝﾘﾝｸﾞ(株)</v>
          </cell>
          <cell r="E383" t="str">
            <v>東京西営業所</v>
          </cell>
          <cell r="F383" t="str">
            <v>所長</v>
          </cell>
          <cell r="G383" t="str">
            <v>前山  定範</v>
          </cell>
          <cell r="J383" t="str">
            <v>243</v>
          </cell>
          <cell r="K383" t="str">
            <v>厚木市旭町1-24-4</v>
          </cell>
          <cell r="L383" t="str">
            <v>シャトーピア5F</v>
          </cell>
          <cell r="M383" t="str">
            <v>0462-27-1123</v>
          </cell>
          <cell r="N383" t="str">
            <v>/27-6336</v>
          </cell>
          <cell r="O383" t="str">
            <v>ｶﾑｼｬﾌﾄ､ｼﾘﾝﾀﾞｰﾗｲﾅｰ</v>
          </cell>
          <cell r="Q383" t="str">
            <v xml:space="preserve"> </v>
          </cell>
          <cell r="T383" t="str">
            <v>ﾆﾎﾝﾋﾟｽﾄﾝﾘﾝｸﾞ</v>
          </cell>
          <cell r="V383" t="str">
            <v>51</v>
          </cell>
        </row>
        <row r="384">
          <cell r="B384" t="str">
            <v>2803</v>
          </cell>
          <cell r="C384" t="str">
            <v>A</v>
          </cell>
          <cell r="D384" t="str">
            <v>日本ﾋﾟｽﾄﾝﾘﾝｸﾞ(株)</v>
          </cell>
          <cell r="E384" t="str">
            <v>与野工場</v>
          </cell>
          <cell r="J384" t="str">
            <v>338</v>
          </cell>
          <cell r="K384" t="str">
            <v>与野市与野1205</v>
          </cell>
          <cell r="L384" t="str">
            <v xml:space="preserve"> </v>
          </cell>
          <cell r="M384" t="str">
            <v>0488-52-5111</v>
          </cell>
          <cell r="N384" t="str">
            <v>/</v>
          </cell>
          <cell r="O384" t="str">
            <v>ｶﾑｼｬﾌﾄ､ｼﾘﾝﾀﾞｰﾗｲﾅｰ</v>
          </cell>
          <cell r="Q384" t="str">
            <v xml:space="preserve"> </v>
          </cell>
          <cell r="T384" t="str">
            <v>ﾆﾎﾝﾋﾟｽﾄﾝﾘﾝｸﾞ</v>
          </cell>
          <cell r="V384" t="str">
            <v>51</v>
          </cell>
        </row>
        <row r="385">
          <cell r="B385" t="str">
            <v>2803</v>
          </cell>
          <cell r="C385" t="str">
            <v>B</v>
          </cell>
          <cell r="D385" t="str">
            <v>日本ﾋﾟｽﾄﾝﾘﾝｸﾞ(株)</v>
          </cell>
          <cell r="E385" t="str">
            <v>川口工場</v>
          </cell>
          <cell r="J385" t="str">
            <v>332</v>
          </cell>
          <cell r="K385" t="str">
            <v>川口市元郷町2-15-1</v>
          </cell>
          <cell r="L385" t="str">
            <v xml:space="preserve"> </v>
          </cell>
          <cell r="M385" t="str">
            <v>0482-22-3121</v>
          </cell>
          <cell r="N385" t="str">
            <v>/</v>
          </cell>
          <cell r="O385" t="str">
            <v>ｶﾑｼｬﾌﾄ､ｼﾘﾝﾀﾞｰﾗｲﾅｰ</v>
          </cell>
          <cell r="Q385" t="str">
            <v xml:space="preserve"> </v>
          </cell>
          <cell r="T385" t="str">
            <v>ﾆﾎﾝﾋﾟｽﾄﾝﾘﾝｸﾞ</v>
          </cell>
          <cell r="V385" t="str">
            <v>51</v>
          </cell>
        </row>
        <row r="386">
          <cell r="B386" t="str">
            <v>2804</v>
          </cell>
          <cell r="C386" t="str">
            <v>#</v>
          </cell>
          <cell r="D386" t="str">
            <v>(株)イヤサカ</v>
          </cell>
          <cell r="F386" t="str">
            <v>代表取締役</v>
          </cell>
          <cell r="G386" t="str">
            <v>吉村  竹雄</v>
          </cell>
          <cell r="H386">
            <v>220</v>
          </cell>
          <cell r="I386">
            <v>330</v>
          </cell>
          <cell r="J386" t="str">
            <v>113</v>
          </cell>
          <cell r="K386" t="str">
            <v>文京区湯島3-26-9</v>
          </cell>
          <cell r="L386" t="str">
            <v xml:space="preserve"> </v>
          </cell>
          <cell r="M386" t="str">
            <v>03-3833-6111</v>
          </cell>
          <cell r="N386" t="str">
            <v>/</v>
          </cell>
          <cell r="O386" t="str">
            <v>工具</v>
          </cell>
          <cell r="Q386" t="str">
            <v xml:space="preserve"> </v>
          </cell>
          <cell r="R386" t="str">
            <v>□</v>
          </cell>
          <cell r="T386" t="str">
            <v>ｲﾔｻｶ</v>
          </cell>
          <cell r="V386" t="str">
            <v>64</v>
          </cell>
        </row>
        <row r="387">
          <cell r="B387" t="str">
            <v>2805</v>
          </cell>
          <cell r="C387" t="str">
            <v>#</v>
          </cell>
          <cell r="D387" t="str">
            <v>輸送機工業(株)</v>
          </cell>
          <cell r="F387" t="str">
            <v>代表取締役社長</v>
          </cell>
          <cell r="G387" t="str">
            <v>吉田  信彦</v>
          </cell>
          <cell r="H387" t="str">
            <v>1256</v>
          </cell>
          <cell r="I387" t="str">
            <v>595</v>
          </cell>
          <cell r="J387" t="str">
            <v>475</v>
          </cell>
          <cell r="K387" t="str">
            <v>半田市上浜町102</v>
          </cell>
          <cell r="L387" t="str">
            <v xml:space="preserve"> </v>
          </cell>
          <cell r="M387" t="str">
            <v>03-3861-7097</v>
          </cell>
          <cell r="N387" t="str">
            <v>/3861-7039</v>
          </cell>
          <cell r="O387" t="str">
            <v>ﾃﾞｨｽｸﾎｲｰﾙ</v>
          </cell>
          <cell r="R387" t="str">
            <v>□</v>
          </cell>
          <cell r="T387" t="str">
            <v>ﾕｿｳｷｺｳｷﾞｮｳ</v>
          </cell>
          <cell r="V387" t="str">
            <v>54</v>
          </cell>
        </row>
        <row r="388">
          <cell r="B388" t="str">
            <v>2807</v>
          </cell>
          <cell r="C388" t="str">
            <v>#</v>
          </cell>
          <cell r="D388" t="str">
            <v>(日本発条(株))</v>
          </cell>
          <cell r="K388" t="str">
            <v/>
          </cell>
          <cell r="L388" t="str">
            <v/>
          </cell>
          <cell r="R388" t="str">
            <v>□</v>
          </cell>
          <cell r="T388" t="str">
            <v xml:space="preserve">ﾆｯﾎﾟﾝﾊﾂｼﾞｮｳ </v>
          </cell>
          <cell r="V388" t="str">
            <v>62</v>
          </cell>
        </row>
        <row r="389">
          <cell r="B389" t="str">
            <v>2808</v>
          </cell>
          <cell r="C389" t="str">
            <v>#</v>
          </cell>
          <cell r="D389" t="str">
            <v>(株)マサダ製作所</v>
          </cell>
          <cell r="F389" t="str">
            <v>取締役社長</v>
          </cell>
          <cell r="G389" t="str">
            <v>正田　容章</v>
          </cell>
          <cell r="H389">
            <v>108</v>
          </cell>
          <cell r="I389">
            <v>286</v>
          </cell>
          <cell r="J389" t="str">
            <v>197</v>
          </cell>
          <cell r="K389" t="str">
            <v>あきる野市二の宮東2-1-1</v>
          </cell>
          <cell r="L389" t="str">
            <v xml:space="preserve"> </v>
          </cell>
          <cell r="M389" t="str">
            <v>0425-59-1113</v>
          </cell>
          <cell r="N389" t="str">
            <v>/59-7334</v>
          </cell>
          <cell r="O389" t="str">
            <v>油圧機器・ジャッキ</v>
          </cell>
          <cell r="Q389" t="str">
            <v>◎</v>
          </cell>
          <cell r="R389" t="str">
            <v>□</v>
          </cell>
          <cell r="S389" t="str">
            <v>☆</v>
          </cell>
          <cell r="T389" t="str">
            <v>ﾏｻﾀﾞｾｲｻｸｼｮ</v>
          </cell>
          <cell r="V389" t="str">
            <v>64</v>
          </cell>
        </row>
        <row r="390">
          <cell r="B390" t="str">
            <v>2809</v>
          </cell>
          <cell r="C390" t="str">
            <v>#</v>
          </cell>
          <cell r="D390" t="str">
            <v>荏原工業(株)</v>
          </cell>
          <cell r="F390" t="str">
            <v>取締役社長</v>
          </cell>
          <cell r="G390" t="str">
            <v>長井  俊樹</v>
          </cell>
          <cell r="H390">
            <v>16</v>
          </cell>
          <cell r="I390">
            <v>36</v>
          </cell>
          <cell r="J390" t="str">
            <v>229</v>
          </cell>
          <cell r="K390" t="str">
            <v>相模原市田名3825</v>
          </cell>
          <cell r="L390" t="str">
            <v xml:space="preserve"> </v>
          </cell>
          <cell r="M390" t="str">
            <v>0427-61-1201</v>
          </cell>
          <cell r="N390" t="str">
            <v>/61-1208</v>
          </cell>
          <cell r="P390" t="str">
            <v>▽</v>
          </cell>
          <cell r="Q390" t="str">
            <v xml:space="preserve"> </v>
          </cell>
          <cell r="S390" t="str">
            <v>☆</v>
          </cell>
          <cell r="T390" t="str">
            <v>ｴﾊﾞﾗｺｳｷﾞｮｳ</v>
          </cell>
          <cell r="V390" t="str">
            <v>53</v>
          </cell>
        </row>
        <row r="391">
          <cell r="B391" t="str">
            <v>2811</v>
          </cell>
          <cell r="C391" t="str">
            <v>#</v>
          </cell>
          <cell r="D391" t="str">
            <v>(株)ヤマダｺｰﾎﾟﾚｰｼｮﾝ</v>
          </cell>
          <cell r="F391" t="str">
            <v>取締役社長</v>
          </cell>
          <cell r="G391" t="str">
            <v>山田　豊雄</v>
          </cell>
          <cell r="H391">
            <v>600</v>
          </cell>
          <cell r="I391">
            <v>189</v>
          </cell>
          <cell r="J391" t="str">
            <v>143</v>
          </cell>
          <cell r="K391" t="str">
            <v>大田区南馬込1-1-3</v>
          </cell>
          <cell r="L391" t="str">
            <v xml:space="preserve"> </v>
          </cell>
          <cell r="M391" t="str">
            <v>03-3777-3171</v>
          </cell>
          <cell r="N391" t="str">
            <v>/3777-6770</v>
          </cell>
          <cell r="O391" t="str">
            <v>ｸﾞﾘｰｽﾎﾟﾝﾌﾟ</v>
          </cell>
          <cell r="Q391" t="str">
            <v>◎</v>
          </cell>
          <cell r="R391" t="str">
            <v>□</v>
          </cell>
          <cell r="T391" t="str">
            <v>ﾔﾏﾀﾞｺｰﾎﾟﾚｰｼｮﾝ</v>
          </cell>
          <cell r="V391" t="str">
            <v>64</v>
          </cell>
        </row>
        <row r="392">
          <cell r="B392" t="str">
            <v>2812</v>
          </cell>
          <cell r="C392" t="str">
            <v>#</v>
          </cell>
          <cell r="D392" t="str">
            <v>萬平産業(株)</v>
          </cell>
          <cell r="F392" t="str">
            <v>取締役社長</v>
          </cell>
          <cell r="G392" t="str">
            <v>武井　久</v>
          </cell>
          <cell r="H392">
            <v>25</v>
          </cell>
          <cell r="I392">
            <v>52</v>
          </cell>
          <cell r="J392" t="str">
            <v>103</v>
          </cell>
          <cell r="K392" t="str">
            <v>中央区日本橋浜町3-34-5</v>
          </cell>
          <cell r="L392" t="str">
            <v>浜町ビル3F</v>
          </cell>
          <cell r="M392" t="str">
            <v>03-3668-1501</v>
          </cell>
          <cell r="N392" t="str">
            <v>/3664-1262</v>
          </cell>
          <cell r="O392" t="str">
            <v>工具・ジャッキ</v>
          </cell>
          <cell r="P392" t="str">
            <v>▽</v>
          </cell>
          <cell r="Q392" t="str">
            <v>◎</v>
          </cell>
          <cell r="R392" t="str">
            <v>□</v>
          </cell>
          <cell r="S392" t="str">
            <v>☆</v>
          </cell>
          <cell r="T392" t="str">
            <v>ﾏﾝﾍﾟｲｻﾝｷﾞｮｳ</v>
          </cell>
          <cell r="V392" t="str">
            <v>64</v>
          </cell>
        </row>
        <row r="393">
          <cell r="B393" t="str">
            <v>2814</v>
          </cell>
          <cell r="C393" t="str">
            <v>#</v>
          </cell>
          <cell r="D393" t="str">
            <v>大同工業(株)</v>
          </cell>
          <cell r="F393" t="str">
            <v>代表取締役</v>
          </cell>
          <cell r="G393" t="str">
            <v>梁川　元壽</v>
          </cell>
          <cell r="H393">
            <v>18</v>
          </cell>
          <cell r="I393">
            <v>139</v>
          </cell>
          <cell r="J393" t="str">
            <v>242</v>
          </cell>
          <cell r="K393" t="str">
            <v>大和市深見西2-1-19</v>
          </cell>
          <cell r="L393" t="str">
            <v xml:space="preserve"> </v>
          </cell>
          <cell r="M393" t="str">
            <v>0462-61-4440</v>
          </cell>
          <cell r="N393" t="str">
            <v>/64-4235</v>
          </cell>
          <cell r="O393" t="str">
            <v>ネームプレート</v>
          </cell>
          <cell r="P393" t="str">
            <v>▽</v>
          </cell>
          <cell r="Q393" t="str">
            <v>◎</v>
          </cell>
          <cell r="R393" t="str">
            <v>□</v>
          </cell>
          <cell r="S393" t="str">
            <v>☆</v>
          </cell>
          <cell r="T393" t="str">
            <v>ﾀﾞｲﾄﾞｳｺｳｷﾞｮｳ</v>
          </cell>
          <cell r="V393" t="str">
            <v>62</v>
          </cell>
        </row>
        <row r="394">
          <cell r="B394" t="str">
            <v>2816</v>
          </cell>
          <cell r="C394" t="str">
            <v>#</v>
          </cell>
          <cell r="D394" t="str">
            <v>原田商事(株)</v>
          </cell>
          <cell r="F394" t="str">
            <v>取締役社長</v>
          </cell>
          <cell r="G394" t="str">
            <v>田中  重之</v>
          </cell>
          <cell r="H394">
            <v>100</v>
          </cell>
          <cell r="I394">
            <v>200</v>
          </cell>
          <cell r="J394" t="str">
            <v>550-91</v>
          </cell>
          <cell r="K394" t="str">
            <v>大阪市西区江戸掘り3-6-44</v>
          </cell>
          <cell r="L394" t="str">
            <v xml:space="preserve"> </v>
          </cell>
          <cell r="M394" t="str">
            <v xml:space="preserve">06-443-5051 </v>
          </cell>
          <cell r="N394" t="str">
            <v>/</v>
          </cell>
          <cell r="O394" t="str">
            <v>ｺﾝﾍﾞｱ</v>
          </cell>
          <cell r="Q394" t="str">
            <v>◎</v>
          </cell>
          <cell r="R394" t="str">
            <v>□</v>
          </cell>
          <cell r="S394" t="str">
            <v>☆</v>
          </cell>
          <cell r="T394" t="str">
            <v>ﾊﾗﾀﾞｼｮｳｼﾞ</v>
          </cell>
          <cell r="V394" t="str">
            <v>30</v>
          </cell>
        </row>
        <row r="395">
          <cell r="B395" t="str">
            <v>2816</v>
          </cell>
          <cell r="C395" t="str">
            <v>A</v>
          </cell>
          <cell r="D395" t="str">
            <v>原田商事(株)</v>
          </cell>
          <cell r="E395" t="str">
            <v>東京支店</v>
          </cell>
          <cell r="F395" t="str">
            <v>東京支店長</v>
          </cell>
          <cell r="G395" t="str">
            <v>伊東　伸之</v>
          </cell>
          <cell r="J395" t="str">
            <v>100</v>
          </cell>
          <cell r="K395" t="str">
            <v>千代田区大手町2-6-2</v>
          </cell>
          <cell r="L395" t="str">
            <v>日本ビル538</v>
          </cell>
          <cell r="M395" t="str">
            <v>03-3241-7651</v>
          </cell>
          <cell r="N395" t="str">
            <v>/3241-0124</v>
          </cell>
          <cell r="O395" t="str">
            <v>ｺﾝﾍﾞｱ</v>
          </cell>
          <cell r="Q395" t="str">
            <v xml:space="preserve"> </v>
          </cell>
          <cell r="T395" t="str">
            <v>ﾊﾗﾀﾞｼｮｳｼﾞ</v>
          </cell>
          <cell r="V395" t="str">
            <v>30</v>
          </cell>
        </row>
        <row r="396">
          <cell r="B396" t="str">
            <v>2820</v>
          </cell>
          <cell r="C396" t="str">
            <v>#</v>
          </cell>
          <cell r="D396" t="str">
            <v>三省物産(株)</v>
          </cell>
          <cell r="F396" t="str">
            <v>取締役社長</v>
          </cell>
          <cell r="G396" t="str">
            <v>長谷川　二郎</v>
          </cell>
          <cell r="H396">
            <v>100</v>
          </cell>
          <cell r="I396">
            <v>110</v>
          </cell>
          <cell r="J396" t="str">
            <v>103</v>
          </cell>
          <cell r="K396" t="str">
            <v>中央区日本橋室町3-1-20</v>
          </cell>
          <cell r="L396" t="str">
            <v>三井別館</v>
          </cell>
          <cell r="M396" t="str">
            <v>03-3270-5722</v>
          </cell>
          <cell r="N396" t="str">
            <v>/3270-2576</v>
          </cell>
          <cell r="O396" t="str">
            <v>合成樹脂製品</v>
          </cell>
          <cell r="P396" t="str">
            <v>▽</v>
          </cell>
          <cell r="Q396" t="str">
            <v>◎</v>
          </cell>
          <cell r="R396" t="str">
            <v>□</v>
          </cell>
          <cell r="S396" t="str">
            <v>☆</v>
          </cell>
          <cell r="T396" t="str">
            <v>ｻﾝｾｲﾌﾞｯｻﾝ</v>
          </cell>
          <cell r="V396" t="str">
            <v>62</v>
          </cell>
        </row>
        <row r="397">
          <cell r="B397" t="str">
            <v>2823</v>
          </cell>
          <cell r="C397" t="str">
            <v>#</v>
          </cell>
          <cell r="D397" t="str">
            <v>ジェコー(株)</v>
          </cell>
          <cell r="F397" t="str">
            <v>取締役社長</v>
          </cell>
          <cell r="G397" t="str">
            <v>長谷川  隆明</v>
          </cell>
          <cell r="H397">
            <v>682</v>
          </cell>
          <cell r="I397">
            <v>638</v>
          </cell>
          <cell r="J397" t="str">
            <v>361</v>
          </cell>
          <cell r="K397" t="str">
            <v>行田市富士見町1-4-1</v>
          </cell>
          <cell r="L397" t="str">
            <v xml:space="preserve"> </v>
          </cell>
          <cell r="M397" t="str">
            <v>0485-54-8384</v>
          </cell>
          <cell r="N397" t="str">
            <v>/54-3796</v>
          </cell>
          <cell r="O397" t="str">
            <v>自動車用時計</v>
          </cell>
          <cell r="Q397" t="str">
            <v>◎</v>
          </cell>
          <cell r="R397" t="str">
            <v>□</v>
          </cell>
          <cell r="S397" t="str">
            <v>☆</v>
          </cell>
          <cell r="T397" t="str">
            <v>ｼﾞｪｺｰ</v>
          </cell>
          <cell r="V397" t="str">
            <v>62</v>
          </cell>
        </row>
        <row r="398">
          <cell r="B398" t="str">
            <v>2824</v>
          </cell>
          <cell r="C398" t="str">
            <v>#</v>
          </cell>
          <cell r="D398" t="str">
            <v>千代田工販(株)</v>
          </cell>
          <cell r="F398" t="str">
            <v>取締役社長</v>
          </cell>
          <cell r="G398" t="str">
            <v>倉島　幹夫</v>
          </cell>
          <cell r="H398">
            <v>200</v>
          </cell>
          <cell r="I398">
            <v>269</v>
          </cell>
          <cell r="J398" t="str">
            <v>104</v>
          </cell>
          <cell r="K398" t="str">
            <v>中央区銀座5-2-1</v>
          </cell>
          <cell r="L398" t="str">
            <v>銀座東芝ビル</v>
          </cell>
          <cell r="M398" t="str">
            <v>03-3575-0580</v>
          </cell>
          <cell r="N398" t="str">
            <v>/3575-0594</v>
          </cell>
          <cell r="O398" t="str">
            <v>ﾅｲﾛﾚﾁｭｰﾌﾞ</v>
          </cell>
          <cell r="Q398" t="str">
            <v xml:space="preserve"> </v>
          </cell>
          <cell r="R398" t="str">
            <v>□</v>
          </cell>
          <cell r="T398" t="str">
            <v>ﾁﾖﾀﾞｺｳﾊﾝ</v>
          </cell>
          <cell r="V398" t="str">
            <v>64</v>
          </cell>
        </row>
        <row r="399">
          <cell r="B399" t="str">
            <v>2825</v>
          </cell>
          <cell r="C399" t="str">
            <v>#</v>
          </cell>
          <cell r="D399" t="str">
            <v>(株)アイ・シー･エル</v>
          </cell>
          <cell r="F399" t="str">
            <v>代表取締役社長</v>
          </cell>
          <cell r="G399" t="str">
            <v>草深  元延</v>
          </cell>
          <cell r="H399">
            <v>120</v>
          </cell>
          <cell r="I399">
            <v>126</v>
          </cell>
          <cell r="J399" t="str">
            <v>140</v>
          </cell>
          <cell r="K399" t="str">
            <v>品川区南大井3-26-7</v>
          </cell>
          <cell r="L399" t="str">
            <v xml:space="preserve"> </v>
          </cell>
          <cell r="M399" t="str">
            <v>03-3763-4356</v>
          </cell>
          <cell r="N399" t="str">
            <v>/3763-6819</v>
          </cell>
          <cell r="O399" t="str">
            <v>用品・特殊工具</v>
          </cell>
          <cell r="Q399" t="str">
            <v>◎</v>
          </cell>
          <cell r="R399" t="str">
            <v>□</v>
          </cell>
          <cell r="T399" t="str">
            <v>ｱｲｼｰｴﾙ</v>
          </cell>
          <cell r="V399" t="str">
            <v>64</v>
          </cell>
        </row>
        <row r="400">
          <cell r="B400" t="str">
            <v>2828</v>
          </cell>
          <cell r="C400" t="str">
            <v>#</v>
          </cell>
          <cell r="D400" t="str">
            <v>(株)ニフコ</v>
          </cell>
          <cell r="F400" t="str">
            <v>取締役社長</v>
          </cell>
          <cell r="G400" t="str">
            <v>小笠原　敏晶</v>
          </cell>
          <cell r="H400">
            <v>1298</v>
          </cell>
          <cell r="I400">
            <v>686</v>
          </cell>
          <cell r="J400" t="str">
            <v>244</v>
          </cell>
          <cell r="K400" t="str">
            <v>横浜市戸塚区舞岡町184-1</v>
          </cell>
          <cell r="L400" t="str">
            <v xml:space="preserve"> </v>
          </cell>
          <cell r="M400" t="str">
            <v>045-825-7900</v>
          </cell>
          <cell r="N400" t="str">
            <v>/</v>
          </cell>
          <cell r="O400" t="str">
            <v>工業用プラスチックファスナー</v>
          </cell>
          <cell r="Q400" t="str">
            <v>◎</v>
          </cell>
          <cell r="R400" t="str">
            <v>□</v>
          </cell>
          <cell r="T400" t="str">
            <v>ﾆﾌｺ</v>
          </cell>
          <cell r="V400" t="str">
            <v>64</v>
          </cell>
        </row>
        <row r="401">
          <cell r="B401" t="str">
            <v>2828</v>
          </cell>
          <cell r="C401" t="str">
            <v>A</v>
          </cell>
          <cell r="D401" t="str">
            <v>(株)ニフコ</v>
          </cell>
          <cell r="E401" t="str">
            <v>営業本部</v>
          </cell>
          <cell r="J401" t="str">
            <v>244</v>
          </cell>
          <cell r="K401" t="str">
            <v>横浜市戸塚区舞岡町184-1</v>
          </cell>
          <cell r="L401" t="str">
            <v xml:space="preserve"> </v>
          </cell>
          <cell r="M401" t="str">
            <v>045-825-7940</v>
          </cell>
          <cell r="N401" t="str">
            <v>/826-2506</v>
          </cell>
          <cell r="O401" t="str">
            <v>工業用プラスチックファスナー</v>
          </cell>
          <cell r="Q401" t="str">
            <v xml:space="preserve"> </v>
          </cell>
          <cell r="T401" t="str">
            <v>ﾆﾌｺ</v>
          </cell>
          <cell r="V401" t="str">
            <v>64</v>
          </cell>
        </row>
        <row r="402">
          <cell r="B402" t="str">
            <v>2828</v>
          </cell>
          <cell r="C402" t="str">
            <v>B</v>
          </cell>
          <cell r="D402" t="str">
            <v>(株)ニフコ</v>
          </cell>
          <cell r="E402" t="str">
            <v>相模原工場</v>
          </cell>
          <cell r="J402" t="str">
            <v>229</v>
          </cell>
          <cell r="K402" t="str">
            <v>相模原市宮下1-2-3</v>
          </cell>
          <cell r="L402" t="str">
            <v xml:space="preserve"> </v>
          </cell>
          <cell r="M402" t="str">
            <v>0427-73-7111</v>
          </cell>
          <cell r="N402" t="str">
            <v>/</v>
          </cell>
          <cell r="O402" t="str">
            <v>工業用プラスチックファスナー</v>
          </cell>
          <cell r="Q402" t="str">
            <v xml:space="preserve"> </v>
          </cell>
          <cell r="T402" t="str">
            <v>ﾆﾌｺ</v>
          </cell>
          <cell r="V402" t="str">
            <v>64</v>
          </cell>
        </row>
        <row r="403">
          <cell r="B403" t="str">
            <v>2829</v>
          </cell>
          <cell r="C403" t="str">
            <v>#</v>
          </cell>
          <cell r="D403" t="str">
            <v>豊和繊維工業(株)</v>
          </cell>
          <cell r="F403" t="str">
            <v>代表取締役社長</v>
          </cell>
          <cell r="G403" t="str">
            <v>渋谷　安</v>
          </cell>
          <cell r="H403">
            <v>100.8</v>
          </cell>
          <cell r="I403">
            <v>529</v>
          </cell>
          <cell r="J403" t="str">
            <v>486</v>
          </cell>
          <cell r="K403" t="str">
            <v>春日井市味美白山町2-10-4</v>
          </cell>
          <cell r="L403" t="str">
            <v xml:space="preserve"> </v>
          </cell>
          <cell r="M403" t="str">
            <v>0568-31-4121</v>
          </cell>
          <cell r="N403" t="str">
            <v>/</v>
          </cell>
          <cell r="O403" t="str">
            <v>ｲﾝｼｭﾚｰｼｮﾝ</v>
          </cell>
          <cell r="Q403" t="str">
            <v xml:space="preserve"> </v>
          </cell>
          <cell r="R403" t="str">
            <v>□</v>
          </cell>
          <cell r="S403" t="str">
            <v>☆</v>
          </cell>
          <cell r="T403" t="str">
            <v>ﾎｳﾜｾﾝｲｺｳｷﾞｮｳ</v>
          </cell>
          <cell r="V403" t="str">
            <v>62</v>
          </cell>
        </row>
        <row r="404">
          <cell r="B404" t="str">
            <v>2829</v>
          </cell>
          <cell r="C404" t="str">
            <v>A</v>
          </cell>
          <cell r="D404" t="str">
            <v>豊和繊維工業(株)</v>
          </cell>
          <cell r="E404" t="str">
            <v>東京支店</v>
          </cell>
          <cell r="F404" t="str">
            <v>東京支店長</v>
          </cell>
          <cell r="G404" t="str">
            <v>川内　義大</v>
          </cell>
          <cell r="J404" t="str">
            <v>160</v>
          </cell>
          <cell r="K404" t="str">
            <v>新宿区西新宿7-10-6</v>
          </cell>
          <cell r="L404" t="str">
            <v>西新宿小林ビル8F</v>
          </cell>
          <cell r="M404" t="str">
            <v>03-3363-8666</v>
          </cell>
          <cell r="N404" t="str">
            <v>/3363-8669</v>
          </cell>
          <cell r="O404" t="str">
            <v>ｲﾝｼｭﾚｰｼｮﾝ</v>
          </cell>
          <cell r="Q404" t="str">
            <v xml:space="preserve"> </v>
          </cell>
          <cell r="T404" t="str">
            <v>ﾎｳﾜｾﾝｲｺｳｷﾞｮｳ</v>
          </cell>
          <cell r="V404" t="str">
            <v>62</v>
          </cell>
        </row>
        <row r="405">
          <cell r="B405" t="str">
            <v>2830</v>
          </cell>
          <cell r="C405" t="str">
            <v>#</v>
          </cell>
          <cell r="D405" t="str">
            <v>日本軽金属(株)</v>
          </cell>
          <cell r="F405" t="str">
            <v>代表取締役社長</v>
          </cell>
          <cell r="G405" t="str">
            <v>増田  祐孝</v>
          </cell>
          <cell r="H405">
            <v>48039</v>
          </cell>
          <cell r="I405">
            <v>4814</v>
          </cell>
          <cell r="J405" t="str">
            <v>140</v>
          </cell>
          <cell r="K405" t="str">
            <v>品川区東品川2-2-20</v>
          </cell>
          <cell r="L405" t="str">
            <v>天王州郵船ビル</v>
          </cell>
          <cell r="M405" t="str">
            <v>03-5461-9602</v>
          </cell>
          <cell r="N405" t="str">
            <v>/5461-9444</v>
          </cell>
          <cell r="O405" t="str">
            <v>ｱﾙﾐﾎｨｰﾙ</v>
          </cell>
          <cell r="Q405" t="str">
            <v>◎</v>
          </cell>
          <cell r="R405" t="str">
            <v>□</v>
          </cell>
          <cell r="S405" t="str">
            <v>☆</v>
          </cell>
          <cell r="T405" t="str">
            <v>ﾆﾎﾝｹｲｷﾝｿﾞｸ</v>
          </cell>
          <cell r="V405" t="str">
            <v>54</v>
          </cell>
        </row>
        <row r="406">
          <cell r="B406" t="str">
            <v>2830</v>
          </cell>
          <cell r="C406" t="str">
            <v>A</v>
          </cell>
          <cell r="D406" t="str">
            <v>日本軽金属(株)</v>
          </cell>
          <cell r="F406" t="str">
            <v>鋳鍛製品事業部</v>
          </cell>
          <cell r="J406" t="str">
            <v>421-32</v>
          </cell>
          <cell r="K406" t="str">
            <v>静岡県庵原郡蒲原町蒲原161</v>
          </cell>
          <cell r="L406" t="str">
            <v xml:space="preserve"> </v>
          </cell>
          <cell r="M406" t="str">
            <v>0543-88-3215</v>
          </cell>
          <cell r="N406" t="str">
            <v>/</v>
          </cell>
          <cell r="O406" t="str">
            <v>ｱﾙﾐﾆｳﾑ粗型材</v>
          </cell>
          <cell r="Q406" t="str">
            <v xml:space="preserve"> </v>
          </cell>
          <cell r="T406" t="str">
            <v>ﾆﾎﾝｹｲｷﾝｿﾞｸ</v>
          </cell>
          <cell r="V406" t="str">
            <v>54</v>
          </cell>
        </row>
        <row r="407">
          <cell r="B407" t="str">
            <v>2831</v>
          </cell>
          <cell r="C407" t="str">
            <v>#</v>
          </cell>
          <cell r="D407" t="str">
            <v>(株)タチエス</v>
          </cell>
          <cell r="F407" t="str">
            <v>代表取締役社長</v>
          </cell>
          <cell r="G407" t="str">
            <v>齋藤  潔</v>
          </cell>
          <cell r="H407">
            <v>860</v>
          </cell>
          <cell r="I407">
            <v>1735</v>
          </cell>
          <cell r="J407" t="str">
            <v>196</v>
          </cell>
          <cell r="K407" t="str">
            <v>昭島市田中町568-1</v>
          </cell>
          <cell r="L407" t="str">
            <v xml:space="preserve"> </v>
          </cell>
          <cell r="M407" t="str">
            <v>0425-46-8118</v>
          </cell>
          <cell r="N407" t="str">
            <v>/46-7362</v>
          </cell>
          <cell r="O407" t="str">
            <v>ｼｰﾄASSY</v>
          </cell>
          <cell r="Q407" t="str">
            <v>◎</v>
          </cell>
          <cell r="R407" t="str">
            <v>□</v>
          </cell>
          <cell r="S407" t="str">
            <v>☆</v>
          </cell>
          <cell r="T407" t="str">
            <v>ﾀﾁｴｽ</v>
          </cell>
          <cell r="V407" t="str">
            <v>62</v>
          </cell>
        </row>
        <row r="408">
          <cell r="B408" t="str">
            <v>2831</v>
          </cell>
          <cell r="C408" t="str">
            <v>A</v>
          </cell>
          <cell r="D408" t="str">
            <v>(株)タチエス</v>
          </cell>
          <cell r="E408" t="str">
            <v>平塚工場</v>
          </cell>
          <cell r="J408" t="str">
            <v>254</v>
          </cell>
          <cell r="K408" t="str">
            <v>平塚市田村5600</v>
          </cell>
          <cell r="L408" t="str">
            <v xml:space="preserve"> </v>
          </cell>
          <cell r="M408" t="str">
            <v>0463-55-3981</v>
          </cell>
          <cell r="N408" t="str">
            <v>/</v>
          </cell>
          <cell r="O408" t="str">
            <v>ｼｰﾄASSY</v>
          </cell>
          <cell r="Q408" t="str">
            <v xml:space="preserve"> </v>
          </cell>
          <cell r="T408" t="str">
            <v>ﾀﾁｴｽ</v>
          </cell>
          <cell r="V408" t="str">
            <v>62</v>
          </cell>
        </row>
        <row r="409">
          <cell r="B409" t="str">
            <v>2832</v>
          </cell>
          <cell r="C409" t="str">
            <v>#</v>
          </cell>
          <cell r="D409" t="str">
            <v>(株)椿本チェイン</v>
          </cell>
          <cell r="F409" t="str">
            <v>代表取締役社長</v>
          </cell>
          <cell r="G409" t="str">
            <v>野口　宙夫</v>
          </cell>
          <cell r="H409">
            <v>17066</v>
          </cell>
          <cell r="I409">
            <v>3303</v>
          </cell>
          <cell r="J409" t="str">
            <v>538</v>
          </cell>
          <cell r="K409" t="str">
            <v>大阪市鶴見区鶴見4-17-96</v>
          </cell>
          <cell r="L409" t="str">
            <v xml:space="preserve"> </v>
          </cell>
          <cell r="M409" t="str">
            <v xml:space="preserve">06-911-1221 </v>
          </cell>
          <cell r="N409" t="str">
            <v>/</v>
          </cell>
          <cell r="O409" t="str">
            <v>ﾀｲﾐﾝｸﾞﾁｪｰﾝ</v>
          </cell>
          <cell r="Q409" t="str">
            <v>◎</v>
          </cell>
          <cell r="R409" t="str">
            <v>□</v>
          </cell>
          <cell r="S409" t="str">
            <v>☆</v>
          </cell>
          <cell r="T409" t="str">
            <v>ﾂﾊﾞｷﾓﾄﾁｪｲﾝ</v>
          </cell>
          <cell r="V409" t="str">
            <v>51</v>
          </cell>
        </row>
        <row r="410">
          <cell r="B410" t="str">
            <v>2832</v>
          </cell>
          <cell r="C410" t="str">
            <v>A</v>
          </cell>
          <cell r="D410" t="str">
            <v>(株)椿本チェイン</v>
          </cell>
          <cell r="E410" t="str">
            <v>東京支社</v>
          </cell>
          <cell r="F410" t="str">
            <v>取締役東京支社長</v>
          </cell>
          <cell r="G410" t="str">
            <v>大村　一生</v>
          </cell>
          <cell r="J410" t="str">
            <v>102</v>
          </cell>
          <cell r="K410" t="str">
            <v>千代田区九段北3-2-4</v>
          </cell>
          <cell r="L410" t="str">
            <v>メチカルフレンドビル</v>
          </cell>
          <cell r="M410" t="str">
            <v>03-3221-5613</v>
          </cell>
          <cell r="N410" t="str">
            <v>/3221-5637</v>
          </cell>
          <cell r="O410" t="str">
            <v>ﾀｲﾐﾝｸﾞﾁｪｰﾝ</v>
          </cell>
          <cell r="Q410" t="str">
            <v xml:space="preserve"> </v>
          </cell>
          <cell r="T410" t="str">
            <v>ﾂﾊﾞｷﾓﾄﾁｪｲﾝ</v>
          </cell>
          <cell r="V410" t="str">
            <v>51</v>
          </cell>
        </row>
        <row r="411">
          <cell r="B411" t="str">
            <v>2834</v>
          </cell>
          <cell r="C411" t="str">
            <v>#</v>
          </cell>
          <cell r="D411" t="str">
            <v>中央精機(株)</v>
          </cell>
          <cell r="F411" t="str">
            <v>取締役社長</v>
          </cell>
          <cell r="G411" t="str">
            <v>石原  勝成</v>
          </cell>
          <cell r="H411">
            <v>2506</v>
          </cell>
          <cell r="I411">
            <v>1210</v>
          </cell>
          <cell r="J411">
            <v>446</v>
          </cell>
          <cell r="K411" t="str">
            <v>安城市大東町2-2</v>
          </cell>
          <cell r="L411" t="str">
            <v xml:space="preserve"> </v>
          </cell>
          <cell r="M411" t="str">
            <v>03-3714-3791</v>
          </cell>
          <cell r="N411" t="str">
            <v>/3714-3055</v>
          </cell>
          <cell r="O411" t="str">
            <v>自動車用ｽﾁｰﾙﾎｲｰﾙ</v>
          </cell>
          <cell r="T411" t="str">
            <v>ﾁｭｳｵｳｾｲｷ</v>
          </cell>
          <cell r="V411" t="str">
            <v>54</v>
          </cell>
        </row>
        <row r="412">
          <cell r="B412" t="str">
            <v>3000</v>
          </cell>
          <cell r="C412" t="str">
            <v>#</v>
          </cell>
          <cell r="D412" t="str">
            <v>(株)福島製作所</v>
          </cell>
          <cell r="F412" t="str">
            <v>代表取締役</v>
          </cell>
          <cell r="G412" t="str">
            <v>福島　清</v>
          </cell>
          <cell r="H412">
            <v>10</v>
          </cell>
          <cell r="I412">
            <v>20</v>
          </cell>
          <cell r="J412" t="str">
            <v>143</v>
          </cell>
          <cell r="K412" t="str">
            <v>大田区中央7-4-3</v>
          </cell>
          <cell r="L412" t="str">
            <v xml:space="preserve"> </v>
          </cell>
          <cell r="N412" t="str">
            <v>/</v>
          </cell>
          <cell r="O412" t="str">
            <v>バンド</v>
          </cell>
          <cell r="P412" t="str">
            <v>▽</v>
          </cell>
          <cell r="Q412" t="str">
            <v>◎</v>
          </cell>
          <cell r="R412" t="str">
            <v>□</v>
          </cell>
          <cell r="T412" t="str">
            <v>ﾌｸｼﾏｾｲｻｸｼｮ</v>
          </cell>
          <cell r="V412" t="str">
            <v>64</v>
          </cell>
        </row>
        <row r="413">
          <cell r="B413" t="str">
            <v>3000</v>
          </cell>
          <cell r="C413" t="str">
            <v>A</v>
          </cell>
          <cell r="D413" t="str">
            <v>(株)福島製作所</v>
          </cell>
          <cell r="E413" t="str">
            <v>工場</v>
          </cell>
          <cell r="J413" t="str">
            <v>143</v>
          </cell>
          <cell r="K413" t="str">
            <v>大田区中央8-20-2</v>
          </cell>
          <cell r="L413" t="str">
            <v xml:space="preserve"> </v>
          </cell>
          <cell r="M413" t="str">
            <v>03-3751-8792</v>
          </cell>
          <cell r="N413" t="str">
            <v>/3753-1675</v>
          </cell>
          <cell r="O413" t="str">
            <v>バンド</v>
          </cell>
          <cell r="P413" t="str">
            <v>▽</v>
          </cell>
          <cell r="Q413" t="str">
            <v xml:space="preserve"> </v>
          </cell>
          <cell r="T413" t="str">
            <v>ﾌｸｼﾏｾｲｻｸｼｮ</v>
          </cell>
          <cell r="V413" t="str">
            <v>64</v>
          </cell>
        </row>
        <row r="414">
          <cell r="B414" t="str">
            <v>3002</v>
          </cell>
          <cell r="C414" t="str">
            <v>#</v>
          </cell>
          <cell r="D414" t="str">
            <v>ＮＯＫ(株)</v>
          </cell>
          <cell r="F414" t="str">
            <v>代表取締役会長</v>
          </cell>
          <cell r="G414" t="str">
            <v>鶴　　正登</v>
          </cell>
          <cell r="H414">
            <v>15911</v>
          </cell>
          <cell r="I414">
            <v>3748</v>
          </cell>
          <cell r="J414" t="str">
            <v>105</v>
          </cell>
          <cell r="K414" t="str">
            <v>港区芝大門1-12-15</v>
          </cell>
          <cell r="L414" t="str">
            <v>正和ビル</v>
          </cell>
          <cell r="M414" t="str">
            <v>03-3432-4211</v>
          </cell>
          <cell r="N414" t="str">
            <v>/</v>
          </cell>
          <cell r="O414" t="str">
            <v>ｵｲﾙｼｰﾙ</v>
          </cell>
          <cell r="Q414" t="str">
            <v>◎</v>
          </cell>
          <cell r="R414" t="str">
            <v>□</v>
          </cell>
          <cell r="S414" t="str">
            <v>☆</v>
          </cell>
          <cell r="T414" t="str">
            <v>ｴﾇｵｰｹｰ</v>
          </cell>
          <cell r="V414" t="str">
            <v>51</v>
          </cell>
        </row>
        <row r="415">
          <cell r="B415" t="str">
            <v>3002</v>
          </cell>
          <cell r="C415" t="str">
            <v>##</v>
          </cell>
          <cell r="D415" t="str">
            <v>ＮＯＫ(株)</v>
          </cell>
          <cell r="F415" t="str">
            <v>代表取締役社長</v>
          </cell>
          <cell r="K415" t="str">
            <v xml:space="preserve"> </v>
          </cell>
          <cell r="L415" t="str">
            <v xml:space="preserve"> </v>
          </cell>
          <cell r="N415" t="str">
            <v>/</v>
          </cell>
          <cell r="Q415" t="str">
            <v xml:space="preserve"> </v>
          </cell>
          <cell r="T415" t="str">
            <v>ｴﾇｵｰｹｰ</v>
          </cell>
          <cell r="V415" t="str">
            <v>51</v>
          </cell>
        </row>
        <row r="416">
          <cell r="B416" t="str">
            <v>3002</v>
          </cell>
          <cell r="C416" t="str">
            <v>A</v>
          </cell>
          <cell r="D416" t="str">
            <v>ＮＯＫ(株)</v>
          </cell>
          <cell r="E416" t="str">
            <v>川崎AI支店</v>
          </cell>
          <cell r="F416" t="str">
            <v>川崎AI支店長</v>
          </cell>
          <cell r="G416" t="str">
            <v>村田  泰八郎</v>
          </cell>
          <cell r="J416" t="str">
            <v>210</v>
          </cell>
          <cell r="K416" t="str">
            <v>川崎市川崎区東田町8</v>
          </cell>
          <cell r="L416" t="str">
            <v>パレール三井ビル18F</v>
          </cell>
          <cell r="M416" t="str">
            <v>044-245-0625</v>
          </cell>
          <cell r="N416" t="str">
            <v>/244-4720</v>
          </cell>
          <cell r="O416" t="str">
            <v>ｵｲﾙｼｰﾙ</v>
          </cell>
          <cell r="Q416" t="str">
            <v xml:space="preserve"> </v>
          </cell>
          <cell r="T416" t="str">
            <v>ｴﾇｵｰｹｰ</v>
          </cell>
          <cell r="V416" t="str">
            <v>51</v>
          </cell>
        </row>
        <row r="417">
          <cell r="B417" t="str">
            <v>3003</v>
          </cell>
          <cell r="C417" t="str">
            <v>#</v>
          </cell>
          <cell r="D417" t="str">
            <v>(株)日東社</v>
          </cell>
          <cell r="F417" t="str">
            <v>取締役社長</v>
          </cell>
          <cell r="G417" t="str">
            <v>河野  通廣</v>
          </cell>
          <cell r="H417">
            <v>90</v>
          </cell>
          <cell r="I417">
            <v>182</v>
          </cell>
          <cell r="J417" t="str">
            <v>252</v>
          </cell>
          <cell r="K417" t="str">
            <v>藤沢市用田478-1</v>
          </cell>
          <cell r="L417" t="str">
            <v xml:space="preserve"> </v>
          </cell>
          <cell r="M417" t="str">
            <v>0466-47-1001</v>
          </cell>
          <cell r="N417" t="str">
            <v>/47-1006</v>
          </cell>
          <cell r="O417" t="str">
            <v>バンパー・ホイルキャップ メッキ加工</v>
          </cell>
          <cell r="P417" t="str">
            <v>▽</v>
          </cell>
          <cell r="Q417" t="str">
            <v>◎</v>
          </cell>
          <cell r="R417" t="str">
            <v>□</v>
          </cell>
          <cell r="T417" t="str">
            <v>ﾆｯﾄｳｼｬ</v>
          </cell>
          <cell r="V417" t="str">
            <v>64</v>
          </cell>
        </row>
        <row r="418">
          <cell r="B418" t="str">
            <v>3004</v>
          </cell>
          <cell r="C418" t="str">
            <v>#</v>
          </cell>
          <cell r="D418" t="str">
            <v>(株)音戸工作所</v>
          </cell>
          <cell r="F418" t="str">
            <v>代表取締役社長</v>
          </cell>
          <cell r="G418" t="str">
            <v>榎    俊彦</v>
          </cell>
          <cell r="H418">
            <v>80</v>
          </cell>
          <cell r="I418">
            <v>741</v>
          </cell>
          <cell r="J418" t="str">
            <v>737-12</v>
          </cell>
          <cell r="K418" t="str">
            <v>広島県安芸郡音戸町南隠渡</v>
          </cell>
          <cell r="L418" t="str">
            <v>1-7-7</v>
          </cell>
          <cell r="M418" t="str">
            <v>0824-28-2211</v>
          </cell>
          <cell r="N418" t="str">
            <v>/28-6266</v>
          </cell>
          <cell r="O418" t="str">
            <v>140ﾊﾞﾝﾊﾟｰ</v>
          </cell>
          <cell r="P418" t="str">
            <v>▽</v>
          </cell>
          <cell r="T418" t="str">
            <v>ｵﾝﾄﾞｺｳｻｸｼｮ</v>
          </cell>
          <cell r="V418" t="str">
            <v>64</v>
          </cell>
        </row>
        <row r="419">
          <cell r="B419" t="str">
            <v>3005</v>
          </cell>
          <cell r="C419" t="str">
            <v>#</v>
          </cell>
          <cell r="D419" t="str">
            <v>東京ﾗﾁﾞｴｰﾀｰ製造(株)</v>
          </cell>
          <cell r="F419" t="str">
            <v>取締役社長</v>
          </cell>
          <cell r="G419" t="str">
            <v>櫛田  勁</v>
          </cell>
          <cell r="H419">
            <v>540</v>
          </cell>
          <cell r="I419">
            <v>670</v>
          </cell>
          <cell r="J419" t="str">
            <v>210</v>
          </cell>
          <cell r="K419" t="str">
            <v>川崎市川崎区藤崎3-5-1</v>
          </cell>
          <cell r="L419" t="str">
            <v>トークピア川崎</v>
          </cell>
          <cell r="M419" t="str">
            <v>044-288-3501</v>
          </cell>
          <cell r="O419" t="str">
            <v>ｵｲﾙﾊﾟﾝ･ﾗﾁﾞｴｰﾀｰ</v>
          </cell>
          <cell r="Q419" t="str">
            <v>◎</v>
          </cell>
          <cell r="R419" t="str">
            <v>□</v>
          </cell>
          <cell r="S419" t="str">
            <v>☆</v>
          </cell>
          <cell r="T419" t="str">
            <v>ﾄｳｷｮｳﾗﾁﾞｴｰﾀｰｾｲｿﾞｳ</v>
          </cell>
          <cell r="V419" t="str">
            <v>54</v>
          </cell>
        </row>
        <row r="420">
          <cell r="B420" t="str">
            <v>3005</v>
          </cell>
          <cell r="C420" t="str">
            <v>A</v>
          </cell>
          <cell r="D420" t="str">
            <v>東京ﾗﾁﾞｴｰﾀｰ製造(株)</v>
          </cell>
          <cell r="E420" t="str">
            <v>藤沢工場</v>
          </cell>
          <cell r="J420" t="str">
            <v>252</v>
          </cell>
          <cell r="K420" t="str">
            <v>藤沢市遠藤2002-1</v>
          </cell>
          <cell r="L420" t="str">
            <v xml:space="preserve"> </v>
          </cell>
          <cell r="M420" t="str">
            <v>0466-87-1164</v>
          </cell>
          <cell r="N420" t="str">
            <v>/87-1130</v>
          </cell>
          <cell r="O420" t="str">
            <v>ｵｲﾙｸｰﾗｰ､ﾌｭｰｴﾙﾀﾝｸ</v>
          </cell>
          <cell r="Q420" t="str">
            <v xml:space="preserve"> </v>
          </cell>
          <cell r="T420" t="str">
            <v>ﾄｳｷｮｳﾗﾁﾞｴｰﾀｰｾｲｿﾞｳ</v>
          </cell>
          <cell r="V420" t="str">
            <v>54</v>
          </cell>
        </row>
        <row r="421">
          <cell r="B421" t="str">
            <v>3005</v>
          </cell>
          <cell r="C421" t="str">
            <v>B</v>
          </cell>
          <cell r="D421" t="str">
            <v>東京ﾗﾁﾞｴｰﾀｰ製造(株)</v>
          </cell>
          <cell r="E421" t="str">
            <v>鹿沼工場</v>
          </cell>
          <cell r="J421" t="str">
            <v>322</v>
          </cell>
          <cell r="K421" t="str">
            <v>鹿沼市さつき町7-2</v>
          </cell>
          <cell r="L421" t="str">
            <v xml:space="preserve"> </v>
          </cell>
          <cell r="M421" t="str">
            <v>0289-76-2288</v>
          </cell>
          <cell r="N421" t="str">
            <v>/</v>
          </cell>
          <cell r="Q421" t="str">
            <v xml:space="preserve"> </v>
          </cell>
          <cell r="T421" t="str">
            <v>ﾄｳｷｮｳﾗﾁﾞｴｰﾀｰｾｲｿﾞｳ</v>
          </cell>
          <cell r="V421" t="str">
            <v>54</v>
          </cell>
        </row>
        <row r="422">
          <cell r="B422" t="str">
            <v>3006</v>
          </cell>
          <cell r="C422" t="str">
            <v>#</v>
          </cell>
          <cell r="D422" t="str">
            <v>東プレ(株)</v>
          </cell>
          <cell r="F422" t="str">
            <v>取締役社長</v>
          </cell>
          <cell r="G422" t="str">
            <v>石井　恭比古</v>
          </cell>
          <cell r="H422">
            <v>1991</v>
          </cell>
          <cell r="I422">
            <v>1083</v>
          </cell>
          <cell r="J422" t="str">
            <v>103</v>
          </cell>
          <cell r="K422" t="str">
            <v>中央区日本橋3-12-2</v>
          </cell>
          <cell r="L422" t="str">
            <v>朝日ビル</v>
          </cell>
          <cell r="M422" t="str">
            <v>03-3271-0711</v>
          </cell>
          <cell r="N422" t="str">
            <v>/3271-7045</v>
          </cell>
          <cell r="O422" t="str">
            <v>バンパー</v>
          </cell>
          <cell r="Q422" t="str">
            <v>◎</v>
          </cell>
          <cell r="R422" t="str">
            <v>□</v>
          </cell>
          <cell r="S422" t="str">
            <v>☆</v>
          </cell>
          <cell r="T422" t="str">
            <v>ﾄｳﾌﾟﾚ</v>
          </cell>
          <cell r="V422" t="str">
            <v>64</v>
          </cell>
        </row>
        <row r="423">
          <cell r="B423" t="str">
            <v>3006</v>
          </cell>
          <cell r="C423" t="str">
            <v>A</v>
          </cell>
          <cell r="D423" t="str">
            <v>東プレ(株)</v>
          </cell>
          <cell r="E423" t="str">
            <v xml:space="preserve"> </v>
          </cell>
          <cell r="F423" t="str">
            <v>常務取締役</v>
          </cell>
          <cell r="G423" t="str">
            <v>河底  光夫</v>
          </cell>
          <cell r="J423" t="str">
            <v>229</v>
          </cell>
          <cell r="K423" t="str">
            <v>相模原市南橋本3-2-25</v>
          </cell>
          <cell r="L423" t="str">
            <v xml:space="preserve"> </v>
          </cell>
          <cell r="M423" t="str">
            <v>0427-72-8183</v>
          </cell>
          <cell r="N423" t="str">
            <v>/72-0110</v>
          </cell>
          <cell r="O423" t="str">
            <v>バンパー</v>
          </cell>
          <cell r="Q423" t="str">
            <v xml:space="preserve"> </v>
          </cell>
          <cell r="T423" t="str">
            <v>ﾄｳﾌﾟﾚ</v>
          </cell>
          <cell r="V423" t="str">
            <v>64</v>
          </cell>
        </row>
        <row r="424">
          <cell r="B424" t="str">
            <v>3006</v>
          </cell>
          <cell r="C424" t="str">
            <v>B</v>
          </cell>
          <cell r="D424" t="str">
            <v>東プレ(株)</v>
          </cell>
          <cell r="F424" t="str">
            <v>事業本部 本部長</v>
          </cell>
          <cell r="K424" t="str">
            <v xml:space="preserve"> </v>
          </cell>
          <cell r="L424" t="str">
            <v xml:space="preserve"> </v>
          </cell>
          <cell r="N424" t="str">
            <v>/</v>
          </cell>
          <cell r="Q424" t="str">
            <v xml:space="preserve"> </v>
          </cell>
          <cell r="T424" t="str">
            <v>ﾄｳﾌﾟﾚ</v>
          </cell>
          <cell r="V424" t="str">
            <v>64</v>
          </cell>
        </row>
        <row r="425">
          <cell r="B425" t="str">
            <v>3007</v>
          </cell>
          <cell r="C425" t="str">
            <v>#</v>
          </cell>
          <cell r="D425" t="str">
            <v>多田プレス工業(株)</v>
          </cell>
          <cell r="F425" t="str">
            <v>取締役社長</v>
          </cell>
          <cell r="G425" t="str">
            <v>多田　嘉之</v>
          </cell>
          <cell r="H425">
            <v>36</v>
          </cell>
          <cell r="I425">
            <v>97</v>
          </cell>
          <cell r="J425" t="str">
            <v>257</v>
          </cell>
          <cell r="K425" t="str">
            <v>秦野市曽屋997</v>
          </cell>
          <cell r="L425" t="str">
            <v xml:space="preserve"> </v>
          </cell>
          <cell r="M425" t="str">
            <v>0463-81-1456</v>
          </cell>
          <cell r="N425" t="str">
            <v>/82-1900</v>
          </cell>
          <cell r="O425" t="str">
            <v>ﾌﾟﾚｽ･板金　</v>
          </cell>
          <cell r="P425" t="str">
            <v>▽</v>
          </cell>
          <cell r="Q425" t="str">
            <v>◎</v>
          </cell>
          <cell r="R425" t="str">
            <v>□</v>
          </cell>
          <cell r="T425" t="str">
            <v>ﾀﾀﾞﾌﾟﾚｽｺｳｷﾞｮｳ</v>
          </cell>
          <cell r="V425" t="str">
            <v>64</v>
          </cell>
        </row>
        <row r="426">
          <cell r="B426" t="str">
            <v>3011</v>
          </cell>
          <cell r="C426" t="str">
            <v>#</v>
          </cell>
          <cell r="D426" t="str">
            <v>(株)テネックス</v>
          </cell>
          <cell r="F426" t="str">
            <v>取締役社長</v>
          </cell>
          <cell r="G426" t="str">
            <v>羽根  庸行</v>
          </cell>
          <cell r="H426">
            <v>2270</v>
          </cell>
          <cell r="I426">
            <v>1396</v>
          </cell>
          <cell r="J426" t="str">
            <v>171</v>
          </cell>
          <cell r="K426" t="str">
            <v>豊島区南池袋3-13-5</v>
          </cell>
          <cell r="L426" t="str">
            <v xml:space="preserve"> </v>
          </cell>
          <cell r="M426" t="str">
            <v>03-3989-8484</v>
          </cell>
          <cell r="N426" t="str">
            <v>/3984-3135</v>
          </cell>
          <cell r="O426" t="str">
            <v>ｴｱｸﾘｰﾅｰ､ｵｲﾙｸｰﾗｰ､ﾌｭｰｴﾙﾌｨﾙﾀｰ､ｵｲﾙ</v>
          </cell>
          <cell r="Q426" t="str">
            <v>◎</v>
          </cell>
          <cell r="R426" t="str">
            <v>□</v>
          </cell>
          <cell r="S426" t="str">
            <v>☆</v>
          </cell>
          <cell r="T426" t="str">
            <v>ﾃﾈｯｸｽ</v>
          </cell>
          <cell r="V426" t="str">
            <v>51</v>
          </cell>
        </row>
        <row r="427">
          <cell r="B427" t="str">
            <v>3011</v>
          </cell>
          <cell r="C427" t="str">
            <v>A</v>
          </cell>
          <cell r="D427" t="str">
            <v>(株)テネックス</v>
          </cell>
          <cell r="E427" t="str">
            <v>営業本部</v>
          </cell>
          <cell r="J427" t="str">
            <v>171</v>
          </cell>
          <cell r="K427" t="str">
            <v>豊島区南池袋3-13-5</v>
          </cell>
          <cell r="L427" t="str">
            <v xml:space="preserve"> </v>
          </cell>
          <cell r="M427" t="str">
            <v>03-3989-8416</v>
          </cell>
          <cell r="N427" t="str">
            <v>/3986-2928</v>
          </cell>
          <cell r="Q427" t="str">
            <v xml:space="preserve"> </v>
          </cell>
          <cell r="T427" t="str">
            <v>ﾃﾈｯｸｽ</v>
          </cell>
          <cell r="V427" t="str">
            <v>51</v>
          </cell>
        </row>
        <row r="428">
          <cell r="B428" t="str">
            <v>3012</v>
          </cell>
          <cell r="C428" t="str">
            <v>#</v>
          </cell>
          <cell r="D428" t="str">
            <v>特殊工作(株)</v>
          </cell>
          <cell r="F428" t="str">
            <v>取締役社長</v>
          </cell>
          <cell r="G428" t="str">
            <v>藤島　睦夫</v>
          </cell>
          <cell r="H428">
            <v>48</v>
          </cell>
          <cell r="I428">
            <v>110</v>
          </cell>
          <cell r="J428" t="str">
            <v>143</v>
          </cell>
          <cell r="K428" t="str">
            <v>大田区大森北1-1-5</v>
          </cell>
          <cell r="L428" t="str">
            <v>大東ビル3F</v>
          </cell>
          <cell r="M428" t="str">
            <v>03-3764-8861</v>
          </cell>
          <cell r="N428" t="str">
            <v>/3764-8883</v>
          </cell>
          <cell r="O428" t="str">
            <v>ｵｲﾙｼｰﾙ､Oﾘﾝｸﾞ</v>
          </cell>
          <cell r="P428" t="str">
            <v>▽</v>
          </cell>
          <cell r="Q428" t="str">
            <v>◎</v>
          </cell>
          <cell r="R428" t="str">
            <v>□</v>
          </cell>
          <cell r="S428" t="str">
            <v>☆</v>
          </cell>
          <cell r="T428" t="str">
            <v>ﾄｸｼｭｺｳｻｸ</v>
          </cell>
          <cell r="V428" t="str">
            <v>51</v>
          </cell>
        </row>
        <row r="429">
          <cell r="B429" t="str">
            <v>3013</v>
          </cell>
          <cell r="C429" t="str">
            <v>#</v>
          </cell>
          <cell r="D429" t="str">
            <v>日本中空鋼(株)</v>
          </cell>
          <cell r="F429" t="str">
            <v>代表取締役</v>
          </cell>
          <cell r="G429" t="str">
            <v>市川　宗紘</v>
          </cell>
          <cell r="H429">
            <v>25</v>
          </cell>
          <cell r="I429">
            <v>71</v>
          </cell>
          <cell r="J429" t="str">
            <v>146</v>
          </cell>
          <cell r="K429" t="str">
            <v>大田区矢口1-25-1</v>
          </cell>
          <cell r="L429" t="str">
            <v xml:space="preserve"> </v>
          </cell>
          <cell r="M429" t="str">
            <v>03-3756-2711</v>
          </cell>
          <cell r="N429" t="str">
            <v>/3756-2715</v>
          </cell>
          <cell r="O429" t="str">
            <v>ｴﾝｼﾞﾝﾌｯﾄｶﾊﾞｰﾌﾞﾗｹｯﾄ</v>
          </cell>
          <cell r="P429" t="str">
            <v>▽</v>
          </cell>
          <cell r="Q429" t="str">
            <v>◎</v>
          </cell>
          <cell r="R429" t="str">
            <v>□</v>
          </cell>
          <cell r="T429" t="str">
            <v>ﾆﾎﾝﾁｭｳｸｳｺｳ</v>
          </cell>
          <cell r="V429" t="str">
            <v>64</v>
          </cell>
        </row>
        <row r="430">
          <cell r="B430" t="str">
            <v>3016</v>
          </cell>
          <cell r="C430" t="str">
            <v>#</v>
          </cell>
          <cell r="D430" t="str">
            <v>(株)タック</v>
          </cell>
          <cell r="F430" t="str">
            <v>代表取締役社長</v>
          </cell>
          <cell r="G430" t="str">
            <v>和田  匡弘</v>
          </cell>
          <cell r="H430">
            <v>92</v>
          </cell>
          <cell r="I430">
            <v>165</v>
          </cell>
          <cell r="J430" t="str">
            <v>242</v>
          </cell>
          <cell r="K430" t="str">
            <v>大和市福田7-38-8</v>
          </cell>
          <cell r="L430" t="str">
            <v xml:space="preserve"> </v>
          </cell>
          <cell r="M430" t="str">
            <v>0462-69-1151</v>
          </cell>
          <cell r="N430" t="str">
            <v>/69-1159</v>
          </cell>
          <cell r="O430" t="str">
            <v>ｼｬｯｸﾙ､ﾍﾟﾀﾞﾙﾌﾞﾗｹｯﾄ</v>
          </cell>
          <cell r="P430" t="str">
            <v>▽</v>
          </cell>
          <cell r="Q430" t="str">
            <v>◎</v>
          </cell>
          <cell r="R430" t="str">
            <v>□</v>
          </cell>
          <cell r="S430" t="str">
            <v>☆</v>
          </cell>
          <cell r="T430" t="str">
            <v>ﾀｯｸ</v>
          </cell>
          <cell r="V430" t="str">
            <v>64</v>
          </cell>
        </row>
        <row r="431">
          <cell r="B431" t="str">
            <v>3021</v>
          </cell>
          <cell r="C431" t="str">
            <v>#</v>
          </cell>
          <cell r="D431" t="str">
            <v>第一プレス工業(株)</v>
          </cell>
          <cell r="F431" t="str">
            <v>取締役社長</v>
          </cell>
          <cell r="G431" t="str">
            <v>庵原　芳一郎</v>
          </cell>
          <cell r="H431">
            <v>45</v>
          </cell>
          <cell r="I431">
            <v>89</v>
          </cell>
          <cell r="J431" t="str">
            <v>332</v>
          </cell>
          <cell r="K431" t="str">
            <v>川口市青木3-25-5</v>
          </cell>
          <cell r="L431" t="str">
            <v xml:space="preserve"> </v>
          </cell>
          <cell r="M431" t="str">
            <v>0482-53-4121</v>
          </cell>
          <cell r="N431" t="str">
            <v>/55-0909</v>
          </cell>
          <cell r="O431" t="str">
            <v>ｴｱﾀﾝｸ･ﾌﾞﾗｹｯﾄ類</v>
          </cell>
          <cell r="P431" t="str">
            <v>▽</v>
          </cell>
          <cell r="Q431" t="str">
            <v>◎</v>
          </cell>
          <cell r="R431" t="str">
            <v>□</v>
          </cell>
          <cell r="S431" t="str">
            <v>☆</v>
          </cell>
          <cell r="T431" t="str">
            <v>ﾀﾞｲｲﾁﾌﾟﾚｽｺｳｷﾞｮｳ</v>
          </cell>
          <cell r="V431" t="str">
            <v>54</v>
          </cell>
        </row>
        <row r="432">
          <cell r="B432" t="str">
            <v>3022</v>
          </cell>
          <cell r="C432" t="str">
            <v>#</v>
          </cell>
          <cell r="D432" t="str">
            <v>大和プレス(株)</v>
          </cell>
          <cell r="F432" t="str">
            <v>代表取締役社長</v>
          </cell>
          <cell r="G432" t="str">
            <v>梁川　元吉</v>
          </cell>
          <cell r="H432">
            <v>60</v>
          </cell>
          <cell r="I432">
            <v>390</v>
          </cell>
          <cell r="J432" t="str">
            <v>242</v>
          </cell>
          <cell r="K432" t="str">
            <v>大和市下鶴間2752</v>
          </cell>
          <cell r="L432" t="str">
            <v xml:space="preserve"> </v>
          </cell>
          <cell r="M432" t="str">
            <v>0462-61-4621</v>
          </cell>
          <cell r="N432" t="str">
            <v>/61-2632</v>
          </cell>
          <cell r="O432" t="str">
            <v>バンパー・デフレウターパネル</v>
          </cell>
          <cell r="P432" t="str">
            <v>▽</v>
          </cell>
          <cell r="Q432" t="str">
            <v>◎</v>
          </cell>
          <cell r="R432" t="str">
            <v>□</v>
          </cell>
          <cell r="S432" t="str">
            <v>☆</v>
          </cell>
          <cell r="T432" t="str">
            <v>ﾔﾏﾄﾌﾟﾚｽ</v>
          </cell>
          <cell r="V432" t="str">
            <v>64</v>
          </cell>
        </row>
        <row r="433">
          <cell r="B433" t="str">
            <v>3023</v>
          </cell>
          <cell r="C433" t="str">
            <v>#</v>
          </cell>
          <cell r="D433" t="str">
            <v>日新工業(株)</v>
          </cell>
          <cell r="F433" t="str">
            <v>取締役社長</v>
          </cell>
          <cell r="G433" t="str">
            <v>中村  俊文</v>
          </cell>
          <cell r="H433">
            <v>162</v>
          </cell>
          <cell r="I433">
            <v>360</v>
          </cell>
          <cell r="J433" t="str">
            <v>242</v>
          </cell>
          <cell r="K433" t="str">
            <v>大和市上草柳172</v>
          </cell>
          <cell r="L433" t="str">
            <v xml:space="preserve"> </v>
          </cell>
          <cell r="M433" t="str">
            <v>0462-64-1224</v>
          </cell>
          <cell r="N433" t="str">
            <v>/64-1228</v>
          </cell>
          <cell r="O433" t="str">
            <v>ｻｲﾚﾝｻｰ､ﾍｯﾄﾞｶﾊﾞｰ､ﾀﾞｯｼｭﾎﾞｰﾄﾞ</v>
          </cell>
          <cell r="Q433" t="str">
            <v>◎</v>
          </cell>
          <cell r="R433" t="str">
            <v>□</v>
          </cell>
          <cell r="S433" t="str">
            <v>☆</v>
          </cell>
          <cell r="T433" t="str">
            <v>ﾆｯｼﾝｺｳｷﾞｮｳ</v>
          </cell>
          <cell r="V433" t="str">
            <v>54</v>
          </cell>
        </row>
        <row r="434">
          <cell r="B434" t="str">
            <v>3025</v>
          </cell>
          <cell r="C434" t="str">
            <v>#</v>
          </cell>
          <cell r="D434" t="str">
            <v>金澤工業(株)</v>
          </cell>
          <cell r="F434" t="str">
            <v>代表取締役</v>
          </cell>
          <cell r="G434" t="str">
            <v>金澤　聰行</v>
          </cell>
          <cell r="H434">
            <v>12</v>
          </cell>
          <cell r="I434">
            <v>69</v>
          </cell>
          <cell r="J434" t="str">
            <v>241</v>
          </cell>
          <cell r="K434" t="str">
            <v>横浜市旭区今宿南町1701</v>
          </cell>
          <cell r="L434" t="str">
            <v xml:space="preserve"> </v>
          </cell>
          <cell r="M434" t="str">
            <v>045-951-2241</v>
          </cell>
          <cell r="N434" t="str">
            <v>/951-2244</v>
          </cell>
          <cell r="O434" t="str">
            <v>ハンドワーク品</v>
          </cell>
          <cell r="P434" t="str">
            <v>▽</v>
          </cell>
          <cell r="Q434" t="str">
            <v>◎</v>
          </cell>
          <cell r="R434" t="str">
            <v>□</v>
          </cell>
          <cell r="T434" t="str">
            <v>ｶﾅｻﾞﾜｺｳｷﾞｮｳ</v>
          </cell>
          <cell r="V434" t="str">
            <v>64</v>
          </cell>
        </row>
        <row r="435">
          <cell r="B435" t="str">
            <v>3026</v>
          </cell>
          <cell r="C435" t="str">
            <v>#</v>
          </cell>
          <cell r="D435" t="str">
            <v>(株)テクノステート</v>
          </cell>
          <cell r="F435" t="str">
            <v>取締役社長</v>
          </cell>
          <cell r="G435" t="str">
            <v>田中　孝</v>
          </cell>
          <cell r="H435">
            <v>150</v>
          </cell>
          <cell r="I435">
            <v>154</v>
          </cell>
          <cell r="J435" t="str">
            <v>252</v>
          </cell>
          <cell r="K435" t="str">
            <v>藤沢市葛原1716</v>
          </cell>
          <cell r="L435" t="str">
            <v xml:space="preserve"> </v>
          </cell>
          <cell r="M435" t="str">
            <v>0466-48-1111</v>
          </cell>
          <cell r="N435" t="str">
            <v>/48-8626</v>
          </cell>
          <cell r="O435" t="str">
            <v>ワッシャー・シーリングカップ</v>
          </cell>
          <cell r="Q435" t="str">
            <v>◎</v>
          </cell>
          <cell r="R435" t="str">
            <v>□</v>
          </cell>
          <cell r="T435" t="str">
            <v>ﾃｸﾉｽﾃｰﾄ</v>
          </cell>
          <cell r="V435" t="str">
            <v>64</v>
          </cell>
        </row>
        <row r="436">
          <cell r="B436" t="str">
            <v>3026</v>
          </cell>
          <cell r="C436" t="str">
            <v>A</v>
          </cell>
          <cell r="D436" t="str">
            <v>(株)テクノステート</v>
          </cell>
          <cell r="E436" t="str">
            <v>保土ヶ谷工場</v>
          </cell>
          <cell r="J436" t="str">
            <v>240</v>
          </cell>
          <cell r="K436" t="str">
            <v>横浜市保土ケ谷区星川3-1-16</v>
          </cell>
          <cell r="L436" t="str">
            <v xml:space="preserve"> </v>
          </cell>
          <cell r="M436" t="str">
            <v>045-331-2361</v>
          </cell>
          <cell r="N436" t="str">
            <v>/</v>
          </cell>
          <cell r="O436" t="str">
            <v>ワッシャー・シーリングカップ</v>
          </cell>
          <cell r="Q436" t="str">
            <v xml:space="preserve"> </v>
          </cell>
          <cell r="T436" t="str">
            <v>ﾃｸﾉｽﾃｰﾄ</v>
          </cell>
          <cell r="V436" t="str">
            <v>64</v>
          </cell>
        </row>
        <row r="437">
          <cell r="B437" t="str">
            <v>3027</v>
          </cell>
          <cell r="C437" t="str">
            <v>#</v>
          </cell>
          <cell r="D437" t="str">
            <v>(株)湘南ユニテック</v>
          </cell>
          <cell r="F437" t="str">
            <v>代表取締役社長</v>
          </cell>
          <cell r="G437" t="str">
            <v>伊藤  洋男</v>
          </cell>
          <cell r="H437">
            <v>191</v>
          </cell>
          <cell r="I437">
            <v>580</v>
          </cell>
          <cell r="J437" t="str">
            <v>253-01</v>
          </cell>
          <cell r="K437" t="str">
            <v>神奈川県高座郡寒川町倉見1919</v>
          </cell>
          <cell r="L437" t="str">
            <v xml:space="preserve"> </v>
          </cell>
          <cell r="M437" t="str">
            <v>0467-73-2002</v>
          </cell>
          <cell r="N437" t="str">
            <v>/73-2020</v>
          </cell>
          <cell r="O437" t="str">
            <v>A･B･Cﾍﾟﾀﾞﾙ､ﾋﾝｼﾞｰ､ﾌﾟｰﾘｰ</v>
          </cell>
          <cell r="Q437" t="str">
            <v>◎</v>
          </cell>
          <cell r="R437" t="str">
            <v>□</v>
          </cell>
          <cell r="S437" t="str">
            <v>☆</v>
          </cell>
          <cell r="T437" t="str">
            <v>ｼｮｳﾅﾝﾕﾆﾃｯｸ</v>
          </cell>
          <cell r="V437" t="str">
            <v>64</v>
          </cell>
        </row>
        <row r="438">
          <cell r="B438" t="str">
            <v>3028</v>
          </cell>
          <cell r="C438" t="str">
            <v>#</v>
          </cell>
          <cell r="D438" t="str">
            <v>(株)ムロｺｰﾎﾟﾚｰｼｮﾝ</v>
          </cell>
          <cell r="F438" t="str">
            <v>取締役社長</v>
          </cell>
          <cell r="G438" t="str">
            <v>室　　楢彦</v>
          </cell>
          <cell r="H438">
            <v>240</v>
          </cell>
          <cell r="I438">
            <v>382</v>
          </cell>
          <cell r="J438" t="str">
            <v>158</v>
          </cell>
          <cell r="K438" t="str">
            <v>世田谷区上野毛1-4-10</v>
          </cell>
          <cell r="L438" t="str">
            <v xml:space="preserve"> </v>
          </cell>
          <cell r="M438" t="str">
            <v>03-3703-4121</v>
          </cell>
          <cell r="N438" t="str">
            <v>/3704-2375</v>
          </cell>
          <cell r="O438" t="str">
            <v>ｼﾞﾑｼ･ｽﾍﾟｰｻｰ･ﾌﾟﾚｰﾄ</v>
          </cell>
          <cell r="Q438" t="str">
            <v>◎</v>
          </cell>
          <cell r="R438" t="str">
            <v>□</v>
          </cell>
          <cell r="S438" t="str">
            <v>☆</v>
          </cell>
          <cell r="T438" t="str">
            <v>ﾑﾛｺｰﾎﾟﾚｰｼｮﾝ</v>
          </cell>
          <cell r="V438" t="str">
            <v>64</v>
          </cell>
        </row>
        <row r="439">
          <cell r="B439" t="str">
            <v>3028</v>
          </cell>
          <cell r="C439" t="str">
            <v>A</v>
          </cell>
          <cell r="D439" t="str">
            <v>(株)ムロｺｰﾎﾟﾚｰｼｮﾝ</v>
          </cell>
          <cell r="E439" t="str">
            <v>宇都宮工場</v>
          </cell>
          <cell r="J439" t="str">
            <v>321-06</v>
          </cell>
          <cell r="K439" t="str">
            <v>栃木県那須郡烏山町南</v>
          </cell>
          <cell r="L439" t="str">
            <v>1-12-25</v>
          </cell>
          <cell r="M439" t="str">
            <v>02878-3-1122</v>
          </cell>
          <cell r="N439" t="str">
            <v>/</v>
          </cell>
          <cell r="O439" t="str">
            <v>ワッシャー</v>
          </cell>
          <cell r="Q439" t="str">
            <v xml:space="preserve"> </v>
          </cell>
          <cell r="T439" t="str">
            <v>ﾑﾛｺｰﾎﾟﾚｰｼｮﾝ</v>
          </cell>
          <cell r="V439" t="str">
            <v>64</v>
          </cell>
        </row>
        <row r="440">
          <cell r="B440" t="str">
            <v>3030</v>
          </cell>
          <cell r="C440" t="str">
            <v>#</v>
          </cell>
          <cell r="D440" t="str">
            <v>(株)三機製作所</v>
          </cell>
          <cell r="F440" t="str">
            <v>代表取締役</v>
          </cell>
          <cell r="G440" t="str">
            <v>木村　静雄</v>
          </cell>
          <cell r="H440">
            <v>10</v>
          </cell>
          <cell r="I440">
            <v>35</v>
          </cell>
          <cell r="J440" t="str">
            <v>335</v>
          </cell>
          <cell r="K440" t="str">
            <v>蕨市中央6-16-5</v>
          </cell>
          <cell r="L440" t="str">
            <v xml:space="preserve"> </v>
          </cell>
          <cell r="M440" t="str">
            <v>0484-43-2316</v>
          </cell>
          <cell r="N440" t="str">
            <v>/45-1535</v>
          </cell>
          <cell r="O440" t="str">
            <v>ﾌﾞﾗｹｯﾄ･ｴﾝｼﾞﾝﾌｯﾄ等</v>
          </cell>
          <cell r="P440" t="str">
            <v>▽</v>
          </cell>
          <cell r="Q440" t="str">
            <v xml:space="preserve"> </v>
          </cell>
          <cell r="R440" t="str">
            <v>□</v>
          </cell>
          <cell r="T440" t="str">
            <v>ｻﾝｷｾｲｻｸｼｮ</v>
          </cell>
          <cell r="V440" t="str">
            <v>64</v>
          </cell>
        </row>
        <row r="441">
          <cell r="B441" t="str">
            <v>3032</v>
          </cell>
          <cell r="C441" t="str">
            <v>#</v>
          </cell>
          <cell r="D441" t="str">
            <v>大塚工機(株)</v>
          </cell>
          <cell r="F441" t="str">
            <v>取締役社長</v>
          </cell>
          <cell r="G441" t="str">
            <v>麻生  節郎</v>
          </cell>
          <cell r="H441">
            <v>110</v>
          </cell>
          <cell r="I441">
            <v>341</v>
          </cell>
          <cell r="J441" t="str">
            <v>222</v>
          </cell>
          <cell r="K441" t="str">
            <v>横浜市港北区樽町3-7-77</v>
          </cell>
          <cell r="L441" t="str">
            <v xml:space="preserve"> </v>
          </cell>
          <cell r="M441" t="str">
            <v>045-531-3246</v>
          </cell>
          <cell r="N441" t="str">
            <v>/543-3997</v>
          </cell>
          <cell r="O441" t="str">
            <v>パーキングブレーキ</v>
          </cell>
          <cell r="Q441" t="str">
            <v xml:space="preserve"> </v>
          </cell>
          <cell r="R441" t="str">
            <v>□</v>
          </cell>
          <cell r="S441" t="str">
            <v>☆</v>
          </cell>
          <cell r="T441" t="str">
            <v>ｵｵﾂｶｺｳｷ</v>
          </cell>
          <cell r="V441" t="str">
            <v>54</v>
          </cell>
        </row>
        <row r="442">
          <cell r="B442" t="str">
            <v>3033</v>
          </cell>
          <cell r="C442" t="str">
            <v>#</v>
          </cell>
          <cell r="D442" t="str">
            <v>山川工業(株)</v>
          </cell>
          <cell r="F442" t="str">
            <v>取締役社長</v>
          </cell>
          <cell r="G442" t="str">
            <v>寺田  盛彦</v>
          </cell>
          <cell r="H442">
            <v>800</v>
          </cell>
          <cell r="I442">
            <v>1572</v>
          </cell>
          <cell r="J442" t="str">
            <v>416</v>
          </cell>
          <cell r="K442" t="str">
            <v>富士市五味島19-1</v>
          </cell>
          <cell r="L442" t="str">
            <v xml:space="preserve"> </v>
          </cell>
          <cell r="M442" t="str">
            <v>0545-62-5036</v>
          </cell>
          <cell r="N442" t="str">
            <v>/62-5121</v>
          </cell>
          <cell r="O442" t="str">
            <v>ｲﾝﾅｰﾗｲﾅｰ</v>
          </cell>
          <cell r="Q442" t="str">
            <v>◎</v>
          </cell>
          <cell r="R442" t="str">
            <v>□</v>
          </cell>
          <cell r="T442" t="str">
            <v>ﾔﾏｶﾜｺｳｷﾞｮｳ</v>
          </cell>
          <cell r="V442" t="str">
            <v>64</v>
          </cell>
        </row>
        <row r="443">
          <cell r="B443" t="str">
            <v>3034</v>
          </cell>
          <cell r="C443" t="str">
            <v>#</v>
          </cell>
          <cell r="D443" t="str">
            <v>(株)アイ･ビー･テック</v>
          </cell>
          <cell r="F443" t="str">
            <v>代表取締役社長</v>
          </cell>
          <cell r="G443" t="str">
            <v>西谷  忠邦</v>
          </cell>
          <cell r="H443">
            <v>300</v>
          </cell>
          <cell r="I443">
            <v>305</v>
          </cell>
          <cell r="J443" t="str">
            <v>251</v>
          </cell>
          <cell r="K443" t="str">
            <v>藤沢市弥勒寺130</v>
          </cell>
          <cell r="L443" t="str">
            <v xml:space="preserve"> </v>
          </cell>
          <cell r="M443" t="str">
            <v>0466-50-3334</v>
          </cell>
          <cell r="N443" t="str">
            <v>/27-1313</v>
          </cell>
          <cell r="O443" t="str">
            <v>ﾌｧｽﾀｰ(TF)･ﾐｭｰ(UCS)</v>
          </cell>
          <cell r="R443" t="str">
            <v>□</v>
          </cell>
          <cell r="T443" t="str">
            <v>ｱｲﾋﾞｰﾃｯｸ</v>
          </cell>
          <cell r="V443" t="str">
            <v>64</v>
          </cell>
        </row>
        <row r="444">
          <cell r="B444" t="str">
            <v>3035</v>
          </cell>
          <cell r="C444" t="str">
            <v>#</v>
          </cell>
          <cell r="D444" t="str">
            <v>(株)三五</v>
          </cell>
          <cell r="F444" t="str">
            <v>代表取締役</v>
          </cell>
          <cell r="G444" t="str">
            <v>恒川　幸三　</v>
          </cell>
          <cell r="H444">
            <v>220</v>
          </cell>
          <cell r="I444">
            <v>1210</v>
          </cell>
          <cell r="J444" t="str">
            <v>456</v>
          </cell>
          <cell r="K444" t="str">
            <v>名古屋市熱田区六野1-3-1</v>
          </cell>
          <cell r="L444" t="str">
            <v xml:space="preserve"> </v>
          </cell>
          <cell r="M444" t="str">
            <v>052-882-3535</v>
          </cell>
          <cell r="N444" t="str">
            <v>/</v>
          </cell>
          <cell r="O444" t="str">
            <v>フレキシブルジョイント</v>
          </cell>
          <cell r="Q444" t="str">
            <v xml:space="preserve"> </v>
          </cell>
          <cell r="S444" t="str">
            <v>☆</v>
          </cell>
          <cell r="T444" t="str">
            <v>ｻﾝｺﾞ</v>
          </cell>
          <cell r="V444" t="str">
            <v>54</v>
          </cell>
        </row>
        <row r="445">
          <cell r="B445" t="str">
            <v>3035</v>
          </cell>
          <cell r="C445" t="str">
            <v>A</v>
          </cell>
          <cell r="D445" t="str">
            <v>(株)三五</v>
          </cell>
          <cell r="E445" t="str">
            <v>福田工場</v>
          </cell>
          <cell r="F445" t="str">
            <v>常務取締役</v>
          </cell>
          <cell r="G445" t="str">
            <v>斉藤　正春</v>
          </cell>
          <cell r="J445" t="str">
            <v>470-02</v>
          </cell>
          <cell r="K445" t="str">
            <v>愛知県西賀茂郡三好町</v>
          </cell>
          <cell r="L445" t="str">
            <v>大字三好字福田3</v>
          </cell>
          <cell r="M445" t="str">
            <v>05613-4-0035</v>
          </cell>
          <cell r="N445" t="str">
            <v>/4-1240</v>
          </cell>
          <cell r="O445" t="str">
            <v>フレキシブルジョイント</v>
          </cell>
          <cell r="Q445" t="str">
            <v xml:space="preserve"> </v>
          </cell>
          <cell r="T445" t="str">
            <v>ｻﾝｺﾞ</v>
          </cell>
          <cell r="V445" t="str">
            <v>54</v>
          </cell>
        </row>
        <row r="446">
          <cell r="B446" t="str">
            <v>3036</v>
          </cell>
          <cell r="C446" t="str">
            <v>#</v>
          </cell>
          <cell r="D446" t="str">
            <v>(株)ヨロズ</v>
          </cell>
          <cell r="F446" t="str">
            <v>代表取締役社長</v>
          </cell>
          <cell r="G446" t="str">
            <v>三浦　昭</v>
          </cell>
          <cell r="H446">
            <v>800</v>
          </cell>
          <cell r="I446">
            <v>1280</v>
          </cell>
          <cell r="J446" t="str">
            <v>222</v>
          </cell>
          <cell r="K446" t="str">
            <v>横浜市港北区樽町3-7-60</v>
          </cell>
          <cell r="L446" t="str">
            <v xml:space="preserve"> </v>
          </cell>
          <cell r="M446" t="str">
            <v>045-545-1981</v>
          </cell>
          <cell r="N446" t="str">
            <v>/543-7910</v>
          </cell>
          <cell r="O446" t="str">
            <v>ｸﾛｽﾒﾝﾊﾞｰ､ﾘﾝｸ</v>
          </cell>
          <cell r="Q446" t="str">
            <v>◎</v>
          </cell>
          <cell r="R446" t="str">
            <v>□</v>
          </cell>
          <cell r="S446" t="str">
            <v>☆</v>
          </cell>
          <cell r="T446" t="str">
            <v>ﾖﾛｽﾞ</v>
          </cell>
          <cell r="V446" t="str">
            <v>64</v>
          </cell>
        </row>
        <row r="447">
          <cell r="B447" t="str">
            <v>3037</v>
          </cell>
          <cell r="C447" t="str">
            <v>#</v>
          </cell>
          <cell r="D447" t="str">
            <v>大和工業(株)</v>
          </cell>
          <cell r="F447" t="str">
            <v>代表取締役社長</v>
          </cell>
          <cell r="G447" t="str">
            <v>江口　昌典</v>
          </cell>
          <cell r="H447">
            <v>500</v>
          </cell>
          <cell r="I447">
            <v>917</v>
          </cell>
          <cell r="J447" t="str">
            <v>242</v>
          </cell>
          <cell r="K447" t="str">
            <v>大和市下鶴間3825</v>
          </cell>
          <cell r="L447" t="str">
            <v xml:space="preserve"> </v>
          </cell>
          <cell r="M447" t="str">
            <v>0462-73-7673</v>
          </cell>
          <cell r="N447" t="str">
            <v>/72-5147</v>
          </cell>
          <cell r="O447" t="str">
            <v>ﾌｭｴﾙﾌｨﾗｰ･ｸﾛｽﾒﾝﾊﾞｰ</v>
          </cell>
          <cell r="Q447" t="str">
            <v xml:space="preserve"> </v>
          </cell>
          <cell r="R447" t="str">
            <v>□</v>
          </cell>
          <cell r="S447" t="str">
            <v>☆</v>
          </cell>
          <cell r="T447" t="str">
            <v>ﾔﾏﾄｺｳｷﾞｮｳ</v>
          </cell>
          <cell r="V447" t="str">
            <v>64</v>
          </cell>
        </row>
        <row r="448">
          <cell r="B448" t="str">
            <v>3038</v>
          </cell>
          <cell r="C448" t="str">
            <v>#</v>
          </cell>
          <cell r="D448" t="str">
            <v>(株)大井製作所</v>
          </cell>
          <cell r="F448" t="str">
            <v>代表取締役社長</v>
          </cell>
          <cell r="G448" t="str">
            <v>加藤  景</v>
          </cell>
          <cell r="H448">
            <v>500</v>
          </cell>
          <cell r="I448">
            <v>1651</v>
          </cell>
          <cell r="J448" t="str">
            <v>235</v>
          </cell>
          <cell r="K448" t="str">
            <v>横浜市磯子区丸山1-14-7</v>
          </cell>
          <cell r="L448" t="str">
            <v xml:space="preserve"> </v>
          </cell>
          <cell r="M448" t="str">
            <v>045-757-7034</v>
          </cell>
          <cell r="N448" t="str">
            <v>/757-7571</v>
          </cell>
          <cell r="O448" t="str">
            <v>ドアヒンジ・チェックアーム</v>
          </cell>
          <cell r="Q448" t="str">
            <v xml:space="preserve"> </v>
          </cell>
          <cell r="R448" t="str">
            <v>□</v>
          </cell>
          <cell r="S448" t="str">
            <v>☆</v>
          </cell>
          <cell r="T448" t="str">
            <v>ｵｵｲｾｲｻｸｼｮ</v>
          </cell>
          <cell r="V448" t="str">
            <v>62</v>
          </cell>
        </row>
        <row r="449">
          <cell r="B449" t="str">
            <v>3039</v>
          </cell>
          <cell r="C449" t="str">
            <v>#</v>
          </cell>
          <cell r="D449" t="str">
            <v>(株)荒井製作所</v>
          </cell>
          <cell r="F449" t="str">
            <v>取締役社長</v>
          </cell>
          <cell r="G449" t="str">
            <v>森　　ミヨ</v>
          </cell>
          <cell r="H449">
            <v>400</v>
          </cell>
          <cell r="I449">
            <v>690</v>
          </cell>
          <cell r="J449" t="str">
            <v>124</v>
          </cell>
          <cell r="K449" t="str">
            <v>葛飾区堀切3-30-1</v>
          </cell>
          <cell r="L449" t="str">
            <v>三協ビル</v>
          </cell>
          <cell r="M449" t="str">
            <v>03-5698-1211</v>
          </cell>
          <cell r="N449" t="str">
            <v>/5698-1241</v>
          </cell>
          <cell r="O449" t="str">
            <v>ｵｲﾙｼｰﾙ､ｵｲﾙｺﾝﾄﾛｰﾗ</v>
          </cell>
          <cell r="Q449" t="str">
            <v xml:space="preserve"> </v>
          </cell>
          <cell r="R449" t="str">
            <v>□</v>
          </cell>
          <cell r="S449" t="str">
            <v>☆</v>
          </cell>
          <cell r="T449" t="str">
            <v>ｱﾗｲｾｲｻｸｼｮ</v>
          </cell>
          <cell r="V449" t="str">
            <v>51</v>
          </cell>
        </row>
        <row r="450">
          <cell r="B450" t="str">
            <v>3039</v>
          </cell>
          <cell r="C450" t="str">
            <v>A</v>
          </cell>
          <cell r="D450" t="str">
            <v>(株)荒井製作所</v>
          </cell>
          <cell r="E450" t="str">
            <v>東京営業所</v>
          </cell>
          <cell r="F450" t="str">
            <v>所長</v>
          </cell>
          <cell r="G450" t="str">
            <v>吉野  喜太郎</v>
          </cell>
          <cell r="J450" t="str">
            <v>124</v>
          </cell>
          <cell r="K450" t="str">
            <v>葛飾区堀切3-30-1</v>
          </cell>
          <cell r="L450" t="str">
            <v>三協ビル</v>
          </cell>
          <cell r="M450" t="str">
            <v>03-5698-1211</v>
          </cell>
          <cell r="N450" t="str">
            <v>/5698-1241</v>
          </cell>
          <cell r="O450" t="str">
            <v>ｵｲﾙｼｰﾙ､ｵｲﾙｺﾝﾄﾛｰﾗ</v>
          </cell>
          <cell r="Q450" t="str">
            <v xml:space="preserve"> </v>
          </cell>
          <cell r="T450" t="str">
            <v>ｱﾗｲｾｲｻｸｼｮ</v>
          </cell>
          <cell r="V450" t="str">
            <v>51</v>
          </cell>
        </row>
        <row r="451">
          <cell r="B451" t="str">
            <v>3040</v>
          </cell>
          <cell r="C451" t="str">
            <v>#</v>
          </cell>
          <cell r="D451" t="str">
            <v>カルソニック(株)</v>
          </cell>
          <cell r="F451" t="str">
            <v>代表取締役社長</v>
          </cell>
          <cell r="G451" t="str">
            <v>大野  陽男</v>
          </cell>
          <cell r="H451">
            <v>9380</v>
          </cell>
          <cell r="I451">
            <v>5226</v>
          </cell>
          <cell r="J451" t="str">
            <v>164</v>
          </cell>
          <cell r="K451" t="str">
            <v>中野区南台5-24-15</v>
          </cell>
          <cell r="L451" t="str">
            <v xml:space="preserve"> </v>
          </cell>
          <cell r="M451" t="str">
            <v>03-5385-0156</v>
          </cell>
          <cell r="N451" t="str">
            <v>/3380-6859</v>
          </cell>
          <cell r="O451" t="str">
            <v>ﾏﾌﾗｰ･EXHﾊﾟｲﾌﾟ</v>
          </cell>
          <cell r="Q451" t="str">
            <v>◎</v>
          </cell>
          <cell r="R451" t="str">
            <v>□</v>
          </cell>
          <cell r="S451" t="str">
            <v>☆</v>
          </cell>
          <cell r="T451" t="str">
            <v>ｶﾙｿﾆｯｸ</v>
          </cell>
          <cell r="V451" t="str">
            <v>54</v>
          </cell>
        </row>
        <row r="452">
          <cell r="B452" t="str">
            <v>3041</v>
          </cell>
          <cell r="C452" t="str">
            <v>#</v>
          </cell>
          <cell r="D452" t="str">
            <v>ヒルタ工業(株)</v>
          </cell>
          <cell r="F452" t="str">
            <v>代表取締役</v>
          </cell>
          <cell r="G452" t="str">
            <v>晝田　眞三</v>
          </cell>
          <cell r="H452">
            <v>98</v>
          </cell>
          <cell r="J452" t="str">
            <v>710-12</v>
          </cell>
          <cell r="K452" t="str">
            <v>総社市久代2211-5</v>
          </cell>
          <cell r="L452" t="str">
            <v xml:space="preserve"> </v>
          </cell>
          <cell r="M452" t="str">
            <v>08656-6-3700</v>
          </cell>
          <cell r="N452" t="str">
            <v>/6-2888</v>
          </cell>
          <cell r="O452" t="str">
            <v>ｼﾌﾄﾌｫｰｸ</v>
          </cell>
          <cell r="P452" t="str">
            <v>▽</v>
          </cell>
          <cell r="Q452" t="str">
            <v xml:space="preserve"> </v>
          </cell>
          <cell r="T452" t="str">
            <v>ﾋﾙﾀｺｳｷﾞｮｳ</v>
          </cell>
          <cell r="V452" t="str">
            <v>64</v>
          </cell>
        </row>
        <row r="453">
          <cell r="B453" t="str">
            <v>3042</v>
          </cell>
          <cell r="C453" t="str">
            <v>#</v>
          </cell>
          <cell r="D453" t="str">
            <v>エクセル(株)</v>
          </cell>
          <cell r="F453" t="str">
            <v>代表取締役</v>
          </cell>
          <cell r="G453" t="str">
            <v>中川  達弥</v>
          </cell>
          <cell r="H453">
            <v>80</v>
          </cell>
          <cell r="I453">
            <v>96</v>
          </cell>
          <cell r="J453" t="str">
            <v>104</v>
          </cell>
          <cell r="K453" t="str">
            <v>中央区京橋2-3-15(大三ビル)</v>
          </cell>
          <cell r="L453" t="str">
            <v xml:space="preserve"> </v>
          </cell>
          <cell r="M453" t="str">
            <v>03-3281-5311</v>
          </cell>
          <cell r="N453" t="str">
            <v>/3281-5314</v>
          </cell>
          <cell r="O453" t="str">
            <v>ﾚｿﾞﾈ-ﾀ-ｱｯｼ-</v>
          </cell>
          <cell r="P453" t="str">
            <v>▽</v>
          </cell>
          <cell r="Q453" t="str">
            <v xml:space="preserve"> </v>
          </cell>
          <cell r="R453" t="str">
            <v>□</v>
          </cell>
          <cell r="S453" t="str">
            <v>☆</v>
          </cell>
          <cell r="T453" t="str">
            <v>ｴｸｾﾙ</v>
          </cell>
          <cell r="V453" t="str">
            <v>62</v>
          </cell>
        </row>
        <row r="454">
          <cell r="B454" t="str">
            <v>3043</v>
          </cell>
          <cell r="C454" t="str">
            <v>#</v>
          </cell>
          <cell r="D454" t="str">
            <v>宝栄工業(株)</v>
          </cell>
          <cell r="F454" t="str">
            <v>取締役社長</v>
          </cell>
          <cell r="G454" t="str">
            <v>原    勝</v>
          </cell>
          <cell r="H454">
            <v>100</v>
          </cell>
          <cell r="I454">
            <v>407</v>
          </cell>
          <cell r="J454" t="str">
            <v>144</v>
          </cell>
          <cell r="K454" t="str">
            <v>大田区西蒲田2-9-10</v>
          </cell>
          <cell r="L454" t="str">
            <v xml:space="preserve"> </v>
          </cell>
          <cell r="M454" t="str">
            <v>03-3753-7321</v>
          </cell>
          <cell r="N454" t="str">
            <v>/3752-3661</v>
          </cell>
          <cell r="O454" t="str">
            <v>ﾊﾞﾝﾊﾟｰ･燃料ﾀﾝｸ</v>
          </cell>
          <cell r="P454" t="str">
            <v>▽</v>
          </cell>
          <cell r="R454" t="str">
            <v>□</v>
          </cell>
          <cell r="T454" t="str">
            <v>ﾎｳｴｲｺｳｷﾞｮｳ</v>
          </cell>
          <cell r="V454" t="str">
            <v>64</v>
          </cell>
        </row>
        <row r="455">
          <cell r="B455" t="str">
            <v>3044</v>
          </cell>
          <cell r="C455" t="str">
            <v>#</v>
          </cell>
          <cell r="D455" t="str">
            <v>八千代工業(株)</v>
          </cell>
          <cell r="F455" t="str">
            <v>代表取締役社長</v>
          </cell>
          <cell r="G455" t="str">
            <v>加藤  和平</v>
          </cell>
          <cell r="H455">
            <v>3685</v>
          </cell>
          <cell r="I455">
            <v>1888</v>
          </cell>
          <cell r="J455" t="str">
            <v>171</v>
          </cell>
          <cell r="K455" t="str">
            <v>豊島区西池袋3-27-12</v>
          </cell>
          <cell r="L455" t="str">
            <v xml:space="preserve"> </v>
          </cell>
          <cell r="M455" t="str">
            <v>0429-54-3370</v>
          </cell>
          <cell r="N455" t="str">
            <v>/53-9735</v>
          </cell>
          <cell r="O455" t="str">
            <v>FUEL TANK</v>
          </cell>
          <cell r="R455" t="str">
            <v>□</v>
          </cell>
          <cell r="T455" t="str">
            <v>ﾔﾁﾖｺｳｷﾞｮｳ</v>
          </cell>
          <cell r="V455" t="str">
            <v>54</v>
          </cell>
        </row>
        <row r="456">
          <cell r="B456" t="str">
            <v>3045</v>
          </cell>
          <cell r="C456" t="str">
            <v>#</v>
          </cell>
          <cell r="D456" t="str">
            <v>(株)武部鉄工所</v>
          </cell>
          <cell r="F456" t="str">
            <v>代表取締役社長</v>
          </cell>
          <cell r="G456" t="str">
            <v>岩渕  孝</v>
          </cell>
          <cell r="H456" t="str">
            <v>1350</v>
          </cell>
          <cell r="I456" t="str">
            <v>600</v>
          </cell>
          <cell r="J456" t="str">
            <v>243</v>
          </cell>
          <cell r="K456" t="str">
            <v>厚木市温水2200</v>
          </cell>
          <cell r="L456" t="str">
            <v xml:space="preserve"> </v>
          </cell>
          <cell r="M456" t="str">
            <v>0462-21-5211</v>
          </cell>
          <cell r="N456" t="str">
            <v>/21-7491</v>
          </cell>
          <cell r="O456" t="str">
            <v>クロスメンバー</v>
          </cell>
          <cell r="T456" t="str">
            <v>ﾀｹﾍﾞﾃｯｺｳｼｮ</v>
          </cell>
          <cell r="V456" t="str">
            <v>64</v>
          </cell>
        </row>
        <row r="457">
          <cell r="B457" t="str">
            <v>3046</v>
          </cell>
          <cell r="C457" t="str">
            <v>#</v>
          </cell>
          <cell r="D457" t="str">
            <v>東洋ラジェーター(株)</v>
          </cell>
          <cell r="F457" t="str">
            <v>代表取締役社長</v>
          </cell>
          <cell r="G457" t="str">
            <v>橋本  修二</v>
          </cell>
          <cell r="H457" t="str">
            <v>7245</v>
          </cell>
          <cell r="I457" t="str">
            <v>1715</v>
          </cell>
          <cell r="J457" t="str">
            <v>151</v>
          </cell>
          <cell r="K457" t="str">
            <v>渋谷区代々木3-25-3</v>
          </cell>
          <cell r="L457" t="str">
            <v>大東京火災新宿ビル</v>
          </cell>
          <cell r="M457" t="str">
            <v>03-3373-1101</v>
          </cell>
          <cell r="N457" t="str">
            <v>/3373-1199</v>
          </cell>
          <cell r="O457" t="str">
            <v>ｵｲﾙｸｰﾗｰ･ﾗｼﾞｪｰﾀｰ</v>
          </cell>
          <cell r="T457" t="str">
            <v>ﾄｳﾖｳﾗｼﾞｪｰﾀｰ</v>
          </cell>
          <cell r="V457" t="str">
            <v>51</v>
          </cell>
        </row>
        <row r="458">
          <cell r="B458" t="str">
            <v>3100</v>
          </cell>
          <cell r="C458" t="str">
            <v>#</v>
          </cell>
          <cell r="D458" t="str">
            <v>江崎工業(株)</v>
          </cell>
          <cell r="F458" t="str">
            <v>取締役社長</v>
          </cell>
          <cell r="G458" t="str">
            <v>江崎　武</v>
          </cell>
          <cell r="H458">
            <v>25</v>
          </cell>
          <cell r="I458">
            <v>159</v>
          </cell>
          <cell r="J458" t="str">
            <v>144</v>
          </cell>
          <cell r="K458" t="str">
            <v>大田区南六郷2-38-9</v>
          </cell>
          <cell r="L458" t="str">
            <v xml:space="preserve"> </v>
          </cell>
          <cell r="M458" t="str">
            <v>03-3733-1276</v>
          </cell>
          <cell r="N458" t="str">
            <v>/3733-4203</v>
          </cell>
          <cell r="O458" t="str">
            <v>ブレーキチューブ・パイプ</v>
          </cell>
          <cell r="P458" t="str">
            <v>▽</v>
          </cell>
          <cell r="Q458" t="str">
            <v>◎</v>
          </cell>
          <cell r="R458" t="str">
            <v>□</v>
          </cell>
          <cell r="S458" t="str">
            <v>☆</v>
          </cell>
          <cell r="T458" t="str">
            <v>ｴｻﾞｷｺｳｷﾞｮｳ</v>
          </cell>
          <cell r="V458" t="str">
            <v>51</v>
          </cell>
        </row>
        <row r="459">
          <cell r="B459" t="str">
            <v>3102</v>
          </cell>
          <cell r="C459" t="str">
            <v>#</v>
          </cell>
          <cell r="D459" t="str">
            <v>臼井国際産業(株)</v>
          </cell>
          <cell r="F459" t="str">
            <v>代表取締役社長</v>
          </cell>
          <cell r="G459" t="str">
            <v>臼井　優太郎</v>
          </cell>
          <cell r="H459">
            <v>450</v>
          </cell>
          <cell r="I459">
            <v>660</v>
          </cell>
          <cell r="J459" t="str">
            <v>411</v>
          </cell>
          <cell r="K459" t="str">
            <v>静岡県駿東郡清水町長沢131-2</v>
          </cell>
          <cell r="L459" t="str">
            <v xml:space="preserve"> </v>
          </cell>
          <cell r="M459" t="str">
            <v>0559-81-6020</v>
          </cell>
          <cell r="N459" t="str">
            <v>/73-3291</v>
          </cell>
          <cell r="O459" t="str">
            <v>パイプ</v>
          </cell>
          <cell r="Q459" t="str">
            <v>◎</v>
          </cell>
          <cell r="R459" t="str">
            <v>□</v>
          </cell>
          <cell r="S459" t="str">
            <v>☆</v>
          </cell>
          <cell r="T459" t="str">
            <v>ｳｽｲｺｸｻｲｻﾝｷﾞｮｳ</v>
          </cell>
          <cell r="V459" t="str">
            <v>51</v>
          </cell>
        </row>
        <row r="460">
          <cell r="B460" t="str">
            <v>3103</v>
          </cell>
          <cell r="C460" t="str">
            <v>#</v>
          </cell>
          <cell r="D460" t="str">
            <v>日本ｹｰﾌﾞﾙｼｽﾃﾑ(株)</v>
          </cell>
          <cell r="F460" t="str">
            <v>代表取締役社長</v>
          </cell>
          <cell r="G460" t="str">
            <v>寺浦　實</v>
          </cell>
          <cell r="H460">
            <v>2523</v>
          </cell>
          <cell r="I460">
            <v>950</v>
          </cell>
          <cell r="J460" t="str">
            <v>665</v>
          </cell>
          <cell r="K460" t="str">
            <v>宝塚市栄町1-12-28</v>
          </cell>
          <cell r="L460" t="str">
            <v xml:space="preserve"> </v>
          </cell>
          <cell r="M460" t="str">
            <v>0797-84-2500</v>
          </cell>
          <cell r="N460" t="str">
            <v>/</v>
          </cell>
          <cell r="O460" t="str">
            <v>ｺﾝﾄﾛｰﾙｹｰﾌﾞﾙ</v>
          </cell>
          <cell r="Q460" t="str">
            <v>◎</v>
          </cell>
          <cell r="R460" t="str">
            <v>□</v>
          </cell>
          <cell r="S460" t="str">
            <v>☆</v>
          </cell>
          <cell r="T460" t="str">
            <v>ﾆﾎﾝｹｰﾌﾞﾙｼｽﾃﾑ</v>
          </cell>
          <cell r="V460" t="str">
            <v>56</v>
          </cell>
        </row>
        <row r="461">
          <cell r="B461" t="str">
            <v>3103</v>
          </cell>
          <cell r="C461" t="str">
            <v>A</v>
          </cell>
          <cell r="D461" t="str">
            <v>日本ｹｰﾌﾞﾙｼｽﾃﾑ(株)</v>
          </cell>
          <cell r="E461" t="str">
            <v>営業1部</v>
          </cell>
          <cell r="F461" t="str">
            <v>所長</v>
          </cell>
          <cell r="G461" t="str">
            <v>篠原　浩二</v>
          </cell>
          <cell r="J461" t="str">
            <v>350-13</v>
          </cell>
          <cell r="K461" t="str">
            <v>狭山市新狭山1-5-2</v>
          </cell>
          <cell r="L461" t="str">
            <v xml:space="preserve"> </v>
          </cell>
          <cell r="M461" t="str">
            <v>0429-54-1201</v>
          </cell>
          <cell r="N461" t="str">
            <v>/54-6306</v>
          </cell>
          <cell r="O461" t="str">
            <v>ｺﾝﾄﾛｰﾙｹｰﾌﾞﾙ</v>
          </cell>
          <cell r="Q461" t="str">
            <v xml:space="preserve"> </v>
          </cell>
          <cell r="T461" t="str">
            <v>ﾆﾎﾝｹｰﾌﾞﾙｼｽﾃﾑ</v>
          </cell>
          <cell r="V461" t="str">
            <v>56</v>
          </cell>
        </row>
        <row r="462">
          <cell r="B462" t="str">
            <v>3103</v>
          </cell>
          <cell r="C462" t="str">
            <v>B</v>
          </cell>
          <cell r="D462" t="str">
            <v>日本ｹｰﾌﾞﾙｼｽﾃﾑ(株)</v>
          </cell>
          <cell r="E462" t="str">
            <v>東京営業所</v>
          </cell>
          <cell r="K462" t="str">
            <v xml:space="preserve"> </v>
          </cell>
          <cell r="L462" t="str">
            <v xml:space="preserve"> </v>
          </cell>
          <cell r="N462" t="str">
            <v>/</v>
          </cell>
          <cell r="Q462" t="str">
            <v xml:space="preserve"> </v>
          </cell>
          <cell r="T462" t="str">
            <v>ﾆﾎﾝｹｰﾌﾞﾙｼｽﾃﾑ</v>
          </cell>
          <cell r="V462" t="str">
            <v>56</v>
          </cell>
        </row>
        <row r="463">
          <cell r="B463" t="str">
            <v>3104</v>
          </cell>
          <cell r="C463" t="str">
            <v>#</v>
          </cell>
          <cell r="D463" t="str">
            <v>三桜工業(株)</v>
          </cell>
          <cell r="F463" t="str">
            <v>取締役社長</v>
          </cell>
          <cell r="G463" t="str">
            <v>竹田  陽三</v>
          </cell>
          <cell r="H463">
            <v>3041</v>
          </cell>
          <cell r="I463" t="str">
            <v>1026</v>
          </cell>
          <cell r="J463" t="str">
            <v>306</v>
          </cell>
          <cell r="K463" t="str">
            <v>古河市本町4-2-27</v>
          </cell>
          <cell r="L463" t="str">
            <v xml:space="preserve"> </v>
          </cell>
          <cell r="M463" t="str">
            <v>0280-33-1153</v>
          </cell>
          <cell r="N463" t="str">
            <v>/33-1192</v>
          </cell>
          <cell r="O463" t="str">
            <v>ｴﾙﾌ用ﾌｭｰｴﾙ配管</v>
          </cell>
          <cell r="R463" t="str">
            <v>□</v>
          </cell>
          <cell r="T463" t="str">
            <v>ｻﾝｵｳｺｳｷﾞｮｳ</v>
          </cell>
          <cell r="V463" t="str">
            <v>54</v>
          </cell>
        </row>
        <row r="464">
          <cell r="B464" t="str">
            <v>3105</v>
          </cell>
          <cell r="C464" t="str">
            <v>#</v>
          </cell>
          <cell r="D464" t="str">
            <v>マルヤス工業(株）</v>
          </cell>
          <cell r="F464" t="str">
            <v>取締役社長</v>
          </cell>
          <cell r="G464" t="str">
            <v>山田  隆雄</v>
          </cell>
          <cell r="H464">
            <v>450</v>
          </cell>
          <cell r="I464">
            <v>1059</v>
          </cell>
          <cell r="J464">
            <v>446</v>
          </cell>
          <cell r="K464" t="str">
            <v>名古屋市昭和区白金2-7-11</v>
          </cell>
          <cell r="L464" t="str">
            <v xml:space="preserve"> </v>
          </cell>
          <cell r="M464" t="str">
            <v>0564-34-1507</v>
          </cell>
          <cell r="N464" t="str">
            <v>/32-3939</v>
          </cell>
          <cell r="O464" t="str">
            <v>配管部品</v>
          </cell>
          <cell r="P464" t="str">
            <v xml:space="preserve"> </v>
          </cell>
          <cell r="T464" t="str">
            <v>ﾏﾙﾔｽｺｳｷﾞｮｳ  KK</v>
          </cell>
          <cell r="V464" t="str">
            <v>54</v>
          </cell>
        </row>
        <row r="465">
          <cell r="B465" t="str">
            <v>3201</v>
          </cell>
          <cell r="C465" t="str">
            <v>#</v>
          </cell>
          <cell r="D465" t="str">
            <v>(株)オーツカ</v>
          </cell>
          <cell r="F465" t="str">
            <v>代表取締役社長</v>
          </cell>
          <cell r="G465" t="str">
            <v>大塚　良夫</v>
          </cell>
          <cell r="H465" t="str">
            <v xml:space="preserve">  13.5</v>
          </cell>
          <cell r="I465">
            <v>295</v>
          </cell>
          <cell r="J465" t="str">
            <v>140</v>
          </cell>
          <cell r="K465" t="str">
            <v>品川区南品川1-7-19</v>
          </cell>
          <cell r="L465" t="str">
            <v xml:space="preserve"> </v>
          </cell>
          <cell r="M465" t="str">
            <v>03-3472-0131</v>
          </cell>
          <cell r="N465" t="str">
            <v>/3472-0160</v>
          </cell>
          <cell r="O465" t="str">
            <v>ｶﾞｽｹｯﾄ､ﾊﾟｯｷﾝ</v>
          </cell>
          <cell r="P465" t="str">
            <v>▽</v>
          </cell>
          <cell r="Q465" t="str">
            <v>◎</v>
          </cell>
          <cell r="R465" t="str">
            <v>□</v>
          </cell>
          <cell r="S465" t="str">
            <v>☆</v>
          </cell>
          <cell r="T465" t="str">
            <v>ｵｰﾂｶ</v>
          </cell>
          <cell r="V465" t="str">
            <v>51</v>
          </cell>
        </row>
        <row r="466">
          <cell r="B466" t="str">
            <v>3201</v>
          </cell>
          <cell r="C466" t="str">
            <v>A</v>
          </cell>
          <cell r="D466" t="str">
            <v>(株)オーツカ</v>
          </cell>
          <cell r="E466" t="str">
            <v>市川工場</v>
          </cell>
          <cell r="J466" t="str">
            <v>272</v>
          </cell>
          <cell r="K466" t="str">
            <v>市川市大野町4-3220</v>
          </cell>
          <cell r="L466" t="str">
            <v xml:space="preserve"> </v>
          </cell>
          <cell r="M466" t="str">
            <v>0473-37-8011</v>
          </cell>
          <cell r="N466" t="str">
            <v>/</v>
          </cell>
          <cell r="O466" t="str">
            <v>ｶﾞｽｹｯﾄ､ﾊﾟｯｷﾝ</v>
          </cell>
          <cell r="P466" t="str">
            <v>▽</v>
          </cell>
          <cell r="Q466" t="str">
            <v xml:space="preserve"> </v>
          </cell>
          <cell r="T466" t="str">
            <v>ｵｰﾂｶ</v>
          </cell>
          <cell r="V466" t="str">
            <v>51</v>
          </cell>
        </row>
        <row r="467">
          <cell r="B467" t="str">
            <v>3203</v>
          </cell>
          <cell r="C467" t="str">
            <v>#</v>
          </cell>
          <cell r="D467" t="str">
            <v>三和部品工業(株)</v>
          </cell>
          <cell r="F467" t="str">
            <v>代表取締役社長</v>
          </cell>
          <cell r="G467" t="str">
            <v>松谷  外志成</v>
          </cell>
          <cell r="H467">
            <v>20</v>
          </cell>
          <cell r="I467">
            <v>120</v>
          </cell>
          <cell r="J467" t="str">
            <v>229</v>
          </cell>
          <cell r="K467" t="str">
            <v>相模原市橋本台2-7-34</v>
          </cell>
          <cell r="L467" t="str">
            <v xml:space="preserve"> </v>
          </cell>
          <cell r="M467" t="str">
            <v>0427-79-4711</v>
          </cell>
          <cell r="N467" t="str">
            <v>/79-3078</v>
          </cell>
          <cell r="O467" t="str">
            <v>ハンドブレーキ,ドアーヒンジ</v>
          </cell>
          <cell r="P467" t="str">
            <v>▽</v>
          </cell>
          <cell r="Q467" t="str">
            <v>◎</v>
          </cell>
          <cell r="R467" t="str">
            <v>□</v>
          </cell>
          <cell r="T467" t="str">
            <v>ｻﾝﾜﾌﾞﾋﾝｺｳｷﾞｮｳ</v>
          </cell>
          <cell r="V467" t="str">
            <v>64</v>
          </cell>
        </row>
        <row r="468">
          <cell r="B468" t="str">
            <v>3209</v>
          </cell>
          <cell r="C468" t="str">
            <v>#</v>
          </cell>
          <cell r="D468" t="str">
            <v>石川ガスケット(株)</v>
          </cell>
          <cell r="F468" t="str">
            <v>代表取締役社長</v>
          </cell>
          <cell r="G468" t="str">
            <v>石川　伸一郎</v>
          </cell>
          <cell r="H468">
            <v>200</v>
          </cell>
          <cell r="I468">
            <v>190</v>
          </cell>
          <cell r="J468" t="str">
            <v>105</v>
          </cell>
          <cell r="K468" t="str">
            <v>港区虎ノ門2-5-5</v>
          </cell>
          <cell r="L468" t="str">
            <v>桜ビル</v>
          </cell>
          <cell r="M468" t="str">
            <v>03-3501-0371</v>
          </cell>
          <cell r="N468" t="str">
            <v>/</v>
          </cell>
          <cell r="O468" t="str">
            <v>ｼﾘﾝﾀﾞｰﾍｯﾄﾞ､ｶﾞｽｹｯﾄ</v>
          </cell>
          <cell r="Q468" t="str">
            <v>◎</v>
          </cell>
          <cell r="R468" t="str">
            <v>□</v>
          </cell>
          <cell r="S468" t="str">
            <v>☆</v>
          </cell>
          <cell r="T468" t="str">
            <v>ｲｼｶﾜｶﾞｽｹｯﾄ</v>
          </cell>
          <cell r="V468" t="str">
            <v>51</v>
          </cell>
        </row>
        <row r="469">
          <cell r="B469" t="str">
            <v>3209</v>
          </cell>
          <cell r="C469" t="str">
            <v>A</v>
          </cell>
          <cell r="D469" t="str">
            <v>石川ガスケット(株)</v>
          </cell>
          <cell r="E469" t="str">
            <v>千住工場･東京営業所</v>
          </cell>
          <cell r="F469" t="str">
            <v>所長</v>
          </cell>
          <cell r="G469" t="str">
            <v>川島  賢二</v>
          </cell>
          <cell r="J469" t="str">
            <v>120</v>
          </cell>
          <cell r="K469" t="str">
            <v>足立区千住大川町44-18</v>
          </cell>
          <cell r="L469" t="str">
            <v xml:space="preserve"> </v>
          </cell>
          <cell r="M469" t="str">
            <v>03-3882-5101</v>
          </cell>
          <cell r="N469" t="str">
            <v>/3882-8538</v>
          </cell>
          <cell r="O469" t="str">
            <v>ｼﾘﾝﾀﾞｰﾍｯﾄﾞ､ｶﾞｽｹｯﾄ</v>
          </cell>
          <cell r="Q469" t="str">
            <v xml:space="preserve"> </v>
          </cell>
          <cell r="T469" t="str">
            <v>ｲｼｶﾜｶﾞｽｹｯﾄ</v>
          </cell>
          <cell r="V469" t="str">
            <v>51</v>
          </cell>
        </row>
        <row r="470">
          <cell r="B470" t="str">
            <v>3210</v>
          </cell>
          <cell r="C470" t="str">
            <v>#</v>
          </cell>
          <cell r="D470" t="str">
            <v>内山工業(株)</v>
          </cell>
          <cell r="F470" t="str">
            <v>代表取締役</v>
          </cell>
          <cell r="G470" t="str">
            <v>内山  幸三</v>
          </cell>
          <cell r="H470">
            <v>120</v>
          </cell>
          <cell r="I470">
            <v>755</v>
          </cell>
          <cell r="J470">
            <v>702</v>
          </cell>
          <cell r="K470" t="str">
            <v>岡山市江並338</v>
          </cell>
          <cell r="L470" t="str">
            <v xml:space="preserve"> </v>
          </cell>
          <cell r="M470" t="str">
            <v>086-277-7131</v>
          </cell>
          <cell r="N470" t="str">
            <v>/</v>
          </cell>
          <cell r="O470" t="str">
            <v>ﾊﾟｯｷﾝｸﾞﾍｯﾄﾞｶﾊﾞｰ 他</v>
          </cell>
          <cell r="P470" t="str">
            <v xml:space="preserve"> </v>
          </cell>
          <cell r="R470" t="str">
            <v>□</v>
          </cell>
          <cell r="T470" t="str">
            <v>ｳﾁﾔﾏｺｳｷﾞｮｳ KK</v>
          </cell>
          <cell r="V470" t="str">
            <v>51</v>
          </cell>
        </row>
        <row r="471">
          <cell r="B471" t="str">
            <v>3210</v>
          </cell>
          <cell r="C471" t="str">
            <v>A</v>
          </cell>
          <cell r="E471" t="str">
            <v>東京支店</v>
          </cell>
          <cell r="J471">
            <v>103</v>
          </cell>
          <cell r="K471" t="str">
            <v>中央区日本橋大伝馬町12-2</v>
          </cell>
          <cell r="L471" t="str">
            <v xml:space="preserve"> </v>
          </cell>
          <cell r="M471" t="str">
            <v>03-5695-1591</v>
          </cell>
          <cell r="N471" t="str">
            <v>/5695-1509</v>
          </cell>
        </row>
        <row r="472">
          <cell r="B472" t="str">
            <v>3211</v>
          </cell>
          <cell r="C472" t="str">
            <v>#</v>
          </cell>
          <cell r="D472" t="str">
            <v>国産部品工業(株)</v>
          </cell>
          <cell r="F472" t="str">
            <v>代表取締役社長</v>
          </cell>
          <cell r="G472" t="str">
            <v>伊藤  俊雄</v>
          </cell>
          <cell r="H472">
            <v>60</v>
          </cell>
          <cell r="I472">
            <v>255</v>
          </cell>
          <cell r="J472">
            <v>560</v>
          </cell>
          <cell r="K472" t="str">
            <v>豊中市走井2-6-5</v>
          </cell>
          <cell r="L472" t="str">
            <v xml:space="preserve"> </v>
          </cell>
          <cell r="M472" t="str">
            <v>06-853-2626</v>
          </cell>
          <cell r="N472" t="str">
            <v>/841-6911</v>
          </cell>
          <cell r="O472" t="str">
            <v>ｶﾞｽｹｯﾄ</v>
          </cell>
          <cell r="P472" t="str">
            <v>▽</v>
          </cell>
          <cell r="T472" t="str">
            <v>ｺｸｻﾝﾌﾞﾋﾝｺｳｷﾞｮｳ KK</v>
          </cell>
          <cell r="V472" t="str">
            <v>51</v>
          </cell>
        </row>
        <row r="473">
          <cell r="B473" t="str">
            <v>3402</v>
          </cell>
          <cell r="C473" t="str">
            <v>#</v>
          </cell>
          <cell r="D473" t="str">
            <v>富士精工(株)</v>
          </cell>
          <cell r="F473" t="str">
            <v>取締役社長</v>
          </cell>
          <cell r="G473" t="str">
            <v>安藤　英雄</v>
          </cell>
          <cell r="H473">
            <v>62.5</v>
          </cell>
          <cell r="I473">
            <v>320</v>
          </cell>
          <cell r="J473" t="str">
            <v>242</v>
          </cell>
          <cell r="K473" t="str">
            <v>大和市深見東1-6-8</v>
          </cell>
          <cell r="L473" t="str">
            <v xml:space="preserve"> </v>
          </cell>
          <cell r="M473" t="str">
            <v>0462-61-8260</v>
          </cell>
          <cell r="N473" t="str">
            <v>/61-9968</v>
          </cell>
          <cell r="O473" t="str">
            <v>ｻｰﾓｽﾀｯﾄ</v>
          </cell>
          <cell r="P473" t="str">
            <v>▽</v>
          </cell>
          <cell r="Q473" t="str">
            <v>◎</v>
          </cell>
          <cell r="R473" t="str">
            <v>□</v>
          </cell>
          <cell r="S473" t="str">
            <v>☆</v>
          </cell>
          <cell r="T473" t="str">
            <v>ﾌｼﾞｾｲｺｳ</v>
          </cell>
          <cell r="V473" t="str">
            <v>51</v>
          </cell>
        </row>
        <row r="474">
          <cell r="B474" t="str">
            <v>3403</v>
          </cell>
          <cell r="C474" t="str">
            <v>#</v>
          </cell>
          <cell r="D474" t="str">
            <v>(株)ナブコ</v>
          </cell>
          <cell r="F474" t="str">
            <v>代表取締役社長</v>
          </cell>
          <cell r="G474" t="str">
            <v>小田  茂</v>
          </cell>
          <cell r="H474">
            <v>8602</v>
          </cell>
          <cell r="I474">
            <v>2160</v>
          </cell>
          <cell r="J474" t="str">
            <v>651</v>
          </cell>
          <cell r="K474" t="str">
            <v>神戸市中央区磯上通2-2-21</v>
          </cell>
          <cell r="L474" t="str">
            <v xml:space="preserve"> </v>
          </cell>
          <cell r="M474" t="str">
            <v>078-251-8080</v>
          </cell>
          <cell r="N474" t="str">
            <v>/251-8105</v>
          </cell>
          <cell r="O474" t="str">
            <v>制動力装置</v>
          </cell>
          <cell r="Q474" t="str">
            <v>◎</v>
          </cell>
          <cell r="R474" t="str">
            <v>□</v>
          </cell>
          <cell r="S474" t="str">
            <v>☆</v>
          </cell>
          <cell r="T474" t="str">
            <v>ﾅﾌﾞｺ</v>
          </cell>
          <cell r="V474" t="str">
            <v>54</v>
          </cell>
        </row>
        <row r="475">
          <cell r="B475" t="str">
            <v>3403</v>
          </cell>
          <cell r="C475" t="str">
            <v>A</v>
          </cell>
          <cell r="D475" t="str">
            <v>(株)ナブコ</v>
          </cell>
          <cell r="E475" t="str">
            <v>自動車事業部</v>
          </cell>
          <cell r="J475" t="str">
            <v>105</v>
          </cell>
          <cell r="K475" t="str">
            <v>港区海岸1-9-18</v>
          </cell>
          <cell r="L475" t="str">
            <v>国際浜松町ビル4F</v>
          </cell>
          <cell r="M475" t="str">
            <v>03-5470-2407</v>
          </cell>
          <cell r="N475" t="str">
            <v>/5470-2419</v>
          </cell>
          <cell r="O475" t="str">
            <v>ﾌﾞﾚｰｷﾊﾞﾙﾌﾞｴｱﾄﾞﾗｲｱｰ</v>
          </cell>
          <cell r="Q475" t="str">
            <v xml:space="preserve"> </v>
          </cell>
          <cell r="T475" t="str">
            <v>ﾅﾌﾞｺ</v>
          </cell>
          <cell r="V475" t="str">
            <v>54</v>
          </cell>
        </row>
        <row r="476">
          <cell r="B476" t="str">
            <v>3502</v>
          </cell>
          <cell r="C476" t="str">
            <v>#</v>
          </cell>
          <cell r="D476" t="str">
            <v>西日本車体工業(株)</v>
          </cell>
          <cell r="F476" t="str">
            <v>代表取締役社長</v>
          </cell>
          <cell r="G476" t="str">
            <v>泉    欣哉</v>
          </cell>
          <cell r="H476">
            <v>469</v>
          </cell>
          <cell r="I476">
            <v>434</v>
          </cell>
          <cell r="J476" t="str">
            <v>803</v>
          </cell>
          <cell r="K476" t="str">
            <v>北九州市小倉北区西港町11</v>
          </cell>
          <cell r="L476" t="str">
            <v xml:space="preserve"> </v>
          </cell>
          <cell r="M476" t="str">
            <v>093-591-6011</v>
          </cell>
          <cell r="N476" t="str">
            <v>/</v>
          </cell>
          <cell r="O476" t="str">
            <v>バスボディー</v>
          </cell>
          <cell r="Q476" t="str">
            <v xml:space="preserve"> </v>
          </cell>
          <cell r="R476" t="str">
            <v>□</v>
          </cell>
          <cell r="S476" t="str">
            <v>☆</v>
          </cell>
          <cell r="T476" t="str">
            <v>ﾆｼﾆﾎﾝｼｬﾀｲｺｳｷﾞｮｳ</v>
          </cell>
          <cell r="V476" t="str">
            <v>77</v>
          </cell>
        </row>
        <row r="477">
          <cell r="B477" t="str">
            <v>3502</v>
          </cell>
          <cell r="C477" t="str">
            <v>A</v>
          </cell>
          <cell r="D477" t="str">
            <v>西日本車体工業(株)</v>
          </cell>
          <cell r="E477" t="str">
            <v>東京支店</v>
          </cell>
          <cell r="F477" t="str">
            <v>支店長</v>
          </cell>
          <cell r="G477" t="str">
            <v>太田  成信</v>
          </cell>
          <cell r="J477" t="str">
            <v>100</v>
          </cell>
          <cell r="K477" t="str">
            <v>千代田区丸の内1-8-3</v>
          </cell>
          <cell r="L477" t="str">
            <v>国際観光会館446</v>
          </cell>
          <cell r="M477" t="str">
            <v>03-3212-6903</v>
          </cell>
          <cell r="N477" t="str">
            <v>/3212-6904</v>
          </cell>
          <cell r="O477" t="str">
            <v>バスボディー</v>
          </cell>
          <cell r="Q477" t="str">
            <v xml:space="preserve"> </v>
          </cell>
          <cell r="T477" t="str">
            <v>ﾆｼﾆﾎﾝｼｬﾀｲｺｳｷﾞｮｳ</v>
          </cell>
          <cell r="V477" t="str">
            <v>77</v>
          </cell>
        </row>
        <row r="478">
          <cell r="B478" t="str">
            <v>3508</v>
          </cell>
          <cell r="C478" t="str">
            <v>#</v>
          </cell>
          <cell r="D478" t="str">
            <v>(株)モリタ</v>
          </cell>
          <cell r="F478" t="str">
            <v>取締役社長</v>
          </cell>
          <cell r="G478" t="str">
            <v>北村  光男</v>
          </cell>
          <cell r="H478">
            <v>4640</v>
          </cell>
          <cell r="I478">
            <v>920</v>
          </cell>
          <cell r="J478" t="str">
            <v>544</v>
          </cell>
          <cell r="K478" t="str">
            <v>大阪市生野区小路東5-5-20</v>
          </cell>
          <cell r="L478" t="str">
            <v xml:space="preserve"> </v>
          </cell>
          <cell r="M478" t="str">
            <v>03-3253-5320</v>
          </cell>
          <cell r="N478" t="str">
            <v>/3253-5399</v>
          </cell>
          <cell r="O478" t="str">
            <v>各種消防ポンプ車</v>
          </cell>
          <cell r="P478" t="str">
            <v xml:space="preserve"> </v>
          </cell>
          <cell r="Q478" t="str">
            <v xml:space="preserve"> </v>
          </cell>
          <cell r="R478" t="str">
            <v xml:space="preserve"> </v>
          </cell>
          <cell r="S478" t="str">
            <v xml:space="preserve"> </v>
          </cell>
          <cell r="T478" t="str">
            <v xml:space="preserve">KK ﾓﾘﾀ </v>
          </cell>
          <cell r="V478" t="str">
            <v>64</v>
          </cell>
        </row>
        <row r="479">
          <cell r="B479" t="str">
            <v>3509</v>
          </cell>
          <cell r="C479" t="str">
            <v>#</v>
          </cell>
          <cell r="D479" t="str">
            <v>東急車輛製造(株)</v>
          </cell>
          <cell r="F479" t="str">
            <v>取締役社長</v>
          </cell>
          <cell r="G479" t="str">
            <v>戸澤  孝壽</v>
          </cell>
          <cell r="H479">
            <v>14048</v>
          </cell>
          <cell r="I479">
            <v>2458</v>
          </cell>
          <cell r="J479" t="str">
            <v>236</v>
          </cell>
          <cell r="K479" t="str">
            <v>横浜市金沢区大川3-1</v>
          </cell>
          <cell r="L479" t="str">
            <v xml:space="preserve"> </v>
          </cell>
          <cell r="M479" t="str">
            <v>045-701-5155</v>
          </cell>
          <cell r="N479" t="str">
            <v>/781-8544</v>
          </cell>
          <cell r="Q479" t="str">
            <v xml:space="preserve"> </v>
          </cell>
          <cell r="T479" t="str">
            <v>ﾄｳｷｭｳｼｬﾘｮｳｾｲｿﾞｳ</v>
          </cell>
          <cell r="V479" t="str">
            <v>64</v>
          </cell>
        </row>
        <row r="480">
          <cell r="B480" t="str">
            <v>3511</v>
          </cell>
          <cell r="C480" t="str">
            <v>#</v>
          </cell>
          <cell r="D480" t="str">
            <v>川崎重工業(株)</v>
          </cell>
          <cell r="F480" t="str">
            <v>取締役社長</v>
          </cell>
          <cell r="G480" t="str">
            <v>大庭　浩</v>
          </cell>
          <cell r="H480">
            <v>66167</v>
          </cell>
          <cell r="I480">
            <v>24300</v>
          </cell>
          <cell r="J480" t="str">
            <v>650-91</v>
          </cell>
          <cell r="K480" t="str">
            <v>神戸市中央区東川崎町1-1-3</v>
          </cell>
          <cell r="L480" t="str">
            <v>神戸クリスタルタワ－</v>
          </cell>
          <cell r="M480" t="str">
            <v>078-371-9530</v>
          </cell>
          <cell r="N480" t="str">
            <v>/</v>
          </cell>
          <cell r="O480" t="str">
            <v>ミッション</v>
          </cell>
          <cell r="Q480" t="str">
            <v>◎</v>
          </cell>
          <cell r="R480" t="str">
            <v>□</v>
          </cell>
          <cell r="S480" t="str">
            <v>☆</v>
          </cell>
          <cell r="T480" t="str">
            <v>ｶﾜｻｷｼﾞｭｳｺｳｷﾞｮｳ</v>
          </cell>
          <cell r="V480" t="str">
            <v>56</v>
          </cell>
        </row>
        <row r="481">
          <cell r="B481" t="str">
            <v>3511</v>
          </cell>
          <cell r="C481" t="str">
            <v>##</v>
          </cell>
          <cell r="D481" t="str">
            <v>川崎重工業(株)</v>
          </cell>
          <cell r="E481" t="str">
            <v>神戸本社</v>
          </cell>
          <cell r="K481" t="str">
            <v xml:space="preserve"> </v>
          </cell>
          <cell r="L481" t="str">
            <v xml:space="preserve"> </v>
          </cell>
          <cell r="N481" t="str">
            <v>/</v>
          </cell>
          <cell r="Q481" t="str">
            <v xml:space="preserve"> </v>
          </cell>
          <cell r="T481" t="str">
            <v>ｶﾜｻｷｼﾞｭｳｺｳｷﾞｮｳ</v>
          </cell>
          <cell r="V481" t="str">
            <v>56</v>
          </cell>
        </row>
        <row r="482">
          <cell r="B482" t="str">
            <v>3511</v>
          </cell>
          <cell r="C482" t="str">
            <v>A</v>
          </cell>
          <cell r="D482" t="str">
            <v>川崎重工業(株)</v>
          </cell>
          <cell r="E482" t="str">
            <v>東京本社</v>
          </cell>
          <cell r="F482" t="str">
            <v>代表取締役副社長</v>
          </cell>
          <cell r="G482" t="str">
            <v>高橋　鐵郎</v>
          </cell>
          <cell r="J482" t="str">
            <v>105</v>
          </cell>
          <cell r="K482" t="str">
            <v>港区浜松町2-4-1</v>
          </cell>
          <cell r="L482" t="str">
            <v>世界貿易センタービル</v>
          </cell>
          <cell r="M482" t="str">
            <v>03-3435-2508</v>
          </cell>
          <cell r="N482" t="str">
            <v>/3435-2033</v>
          </cell>
          <cell r="O482" t="str">
            <v>ミッション</v>
          </cell>
          <cell r="Q482" t="str">
            <v xml:space="preserve"> </v>
          </cell>
          <cell r="T482" t="str">
            <v>ｶﾜｻｷｼﾞｭｳｺｳｷﾞｮｳ</v>
          </cell>
          <cell r="V482" t="str">
            <v>56</v>
          </cell>
        </row>
        <row r="483">
          <cell r="B483" t="str">
            <v>3511</v>
          </cell>
          <cell r="C483" t="str">
            <v>B</v>
          </cell>
          <cell r="D483" t="str">
            <v>川崎重工業(株)</v>
          </cell>
          <cell r="F483" t="str">
            <v xml:space="preserve">    CP事業本部長</v>
          </cell>
          <cell r="K483" t="str">
            <v xml:space="preserve"> </v>
          </cell>
          <cell r="L483" t="str">
            <v xml:space="preserve"> </v>
          </cell>
          <cell r="N483" t="str">
            <v>/</v>
          </cell>
          <cell r="Q483" t="str">
            <v xml:space="preserve"> </v>
          </cell>
          <cell r="T483" t="str">
            <v>ｶﾜｻｷｼﾞｭｳｺｳｷﾞｮｳ</v>
          </cell>
          <cell r="V483" t="str">
            <v>56</v>
          </cell>
        </row>
        <row r="484">
          <cell r="B484" t="str">
            <v>3511</v>
          </cell>
          <cell r="C484" t="str">
            <v>C</v>
          </cell>
          <cell r="D484" t="str">
            <v>川崎重工業(株)</v>
          </cell>
          <cell r="E484" t="str">
            <v>明石工場</v>
          </cell>
          <cell r="J484" t="str">
            <v>673</v>
          </cell>
          <cell r="K484" t="str">
            <v>明石市川崎町1-1</v>
          </cell>
          <cell r="L484" t="str">
            <v xml:space="preserve"> </v>
          </cell>
          <cell r="M484" t="str">
            <v>078-921-1353</v>
          </cell>
          <cell r="N484" t="str">
            <v>/923-4468</v>
          </cell>
          <cell r="O484" t="str">
            <v>ミッション</v>
          </cell>
          <cell r="Q484" t="str">
            <v xml:space="preserve"> </v>
          </cell>
          <cell r="T484" t="str">
            <v>ｶﾜｻｷｼﾞｭｳｺｳｷﾞｮｳ</v>
          </cell>
          <cell r="V484" t="str">
            <v>56</v>
          </cell>
        </row>
        <row r="485">
          <cell r="B485" t="str">
            <v>3512</v>
          </cell>
          <cell r="C485" t="str">
            <v>#</v>
          </cell>
          <cell r="D485" t="str">
            <v>小平産業(株)</v>
          </cell>
          <cell r="F485" t="str">
            <v>取締役社長</v>
          </cell>
          <cell r="G485" t="str">
            <v>小平　公重</v>
          </cell>
          <cell r="H485">
            <v>100</v>
          </cell>
          <cell r="I485">
            <v>267</v>
          </cell>
          <cell r="J485" t="str">
            <v>323</v>
          </cell>
          <cell r="K485" t="str">
            <v>小山市大字稲葉郷1341-1</v>
          </cell>
          <cell r="L485" t="str">
            <v xml:space="preserve"> </v>
          </cell>
          <cell r="M485" t="str">
            <v>0285-23-5111</v>
          </cell>
          <cell r="N485" t="str">
            <v>/25-1494</v>
          </cell>
          <cell r="O485" t="str">
            <v>リアボディー</v>
          </cell>
          <cell r="P485" t="str">
            <v>▽</v>
          </cell>
          <cell r="Q485" t="str">
            <v>◎</v>
          </cell>
          <cell r="R485" t="str">
            <v>□</v>
          </cell>
          <cell r="S485" t="str">
            <v>☆</v>
          </cell>
          <cell r="T485" t="str">
            <v>ｺﾀﾞｲﾗｻﾝｷﾞｮｳ</v>
          </cell>
          <cell r="V485" t="str">
            <v>64</v>
          </cell>
        </row>
        <row r="486">
          <cell r="B486" t="str">
            <v>3514</v>
          </cell>
          <cell r="C486" t="str">
            <v>#</v>
          </cell>
          <cell r="D486" t="str">
            <v>アイシン･エーアイ(株)</v>
          </cell>
          <cell r="F486" t="str">
            <v>取締役社長</v>
          </cell>
          <cell r="G486" t="str">
            <v>草野  正夫</v>
          </cell>
          <cell r="H486">
            <v>5000</v>
          </cell>
          <cell r="I486">
            <v>874</v>
          </cell>
          <cell r="J486" t="str">
            <v>445</v>
          </cell>
          <cell r="K486" t="str">
            <v>西尾市小島町城山1</v>
          </cell>
          <cell r="L486" t="str">
            <v xml:space="preserve"> </v>
          </cell>
          <cell r="M486" t="str">
            <v>0563-52-3181</v>
          </cell>
          <cell r="N486" t="str">
            <v>/52-3884</v>
          </cell>
          <cell r="O486" t="str">
            <v>ﾏﾆｭｱﾙﾄﾗﾝｽﾐｯｼｮﾝ･ﾄﾗﾝｽﾌｧｰ</v>
          </cell>
          <cell r="T486" t="str">
            <v>ｱｲｼﾝｴｰｱｲ</v>
          </cell>
          <cell r="V486" t="str">
            <v>56</v>
          </cell>
        </row>
        <row r="487">
          <cell r="B487" t="str">
            <v>3515</v>
          </cell>
          <cell r="C487" t="str">
            <v>#</v>
          </cell>
          <cell r="D487" t="str">
            <v>高田工業(株)</v>
          </cell>
          <cell r="F487" t="str">
            <v>取締役社長</v>
          </cell>
          <cell r="G487" t="str">
            <v>高田　勝也</v>
          </cell>
          <cell r="H487">
            <v>200</v>
          </cell>
          <cell r="I487">
            <v>590</v>
          </cell>
          <cell r="J487" t="str">
            <v>231</v>
          </cell>
          <cell r="K487" t="str">
            <v>横浜市中区豊浦町2-3</v>
          </cell>
          <cell r="L487" t="str">
            <v xml:space="preserve"> </v>
          </cell>
          <cell r="M487" t="str">
            <v>045-624-3134</v>
          </cell>
          <cell r="N487" t="str">
            <v>/624-3105</v>
          </cell>
          <cell r="O487" t="str">
            <v>ｷｬﾌﾞ､ﾎﾞﾃﾞｨ</v>
          </cell>
          <cell r="Q487" t="str">
            <v>◎</v>
          </cell>
          <cell r="R487" t="str">
            <v>□</v>
          </cell>
          <cell r="S487" t="str">
            <v>☆</v>
          </cell>
          <cell r="T487" t="str">
            <v>ﾀｶﾀﾞｺｳｷﾞｮｳ</v>
          </cell>
          <cell r="V487" t="str">
            <v>64</v>
          </cell>
        </row>
        <row r="488">
          <cell r="B488" t="str">
            <v>3515</v>
          </cell>
          <cell r="C488" t="str">
            <v>A</v>
          </cell>
          <cell r="D488" t="str">
            <v>高田工業(株)</v>
          </cell>
          <cell r="E488" t="str">
            <v>横浜工場</v>
          </cell>
          <cell r="J488" t="str">
            <v>236</v>
          </cell>
          <cell r="K488" t="str">
            <v>横浜市金沢区幸浦1-10</v>
          </cell>
          <cell r="L488" t="str">
            <v xml:space="preserve"> </v>
          </cell>
          <cell r="M488" t="str">
            <v>045-772-1551</v>
          </cell>
          <cell r="N488" t="str">
            <v>/</v>
          </cell>
          <cell r="O488" t="str">
            <v>ｷｬﾌﾞ､ﾎﾞﾃﾞｨ</v>
          </cell>
          <cell r="Q488" t="str">
            <v xml:space="preserve"> </v>
          </cell>
          <cell r="T488" t="str">
            <v>ﾀｶﾀﾞｺｳｷﾞｮｳ</v>
          </cell>
          <cell r="V488" t="str">
            <v>64</v>
          </cell>
        </row>
        <row r="489">
          <cell r="B489" t="str">
            <v>3525</v>
          </cell>
          <cell r="C489" t="str">
            <v>#</v>
          </cell>
          <cell r="D489" t="str">
            <v xml:space="preserve">(株)ｱｲﾁｺｰﾎﾟﾚｰｼｮﾝ </v>
          </cell>
          <cell r="F489" t="str">
            <v>取締役社長</v>
          </cell>
          <cell r="G489" t="str">
            <v>鈴木　尚郎</v>
          </cell>
          <cell r="H489">
            <v>6918</v>
          </cell>
          <cell r="I489">
            <v>1140</v>
          </cell>
          <cell r="J489" t="str">
            <v>460</v>
          </cell>
          <cell r="K489" t="str">
            <v>名古屋市中区千代田2-15-18</v>
          </cell>
          <cell r="L489" t="str">
            <v>名古屋市通信ビル</v>
          </cell>
          <cell r="M489" t="str">
            <v>052-263-5191</v>
          </cell>
          <cell r="N489" t="str">
            <v>/</v>
          </cell>
          <cell r="O489" t="str">
            <v>シャシー</v>
          </cell>
          <cell r="Q489" t="str">
            <v xml:space="preserve"> </v>
          </cell>
          <cell r="T489" t="str">
            <v>ｱｲﾁｺｰﾎﾟﾚｰｼｮﾝ</v>
          </cell>
          <cell r="V489" t="str">
            <v>30</v>
          </cell>
        </row>
        <row r="490">
          <cell r="B490" t="str">
            <v>3525</v>
          </cell>
          <cell r="C490" t="str">
            <v>A</v>
          </cell>
          <cell r="D490" t="str">
            <v xml:space="preserve">(株)ｱｲﾁｺｰﾎﾟﾚｰｼｮﾝ </v>
          </cell>
          <cell r="E490" t="str">
            <v>東京支店　</v>
          </cell>
          <cell r="F490" t="str">
            <v>東京支店長</v>
          </cell>
          <cell r="G490" t="str">
            <v>松倉  壯典</v>
          </cell>
          <cell r="J490" t="str">
            <v>110</v>
          </cell>
          <cell r="K490" t="str">
            <v>台東区上野5-25-11</v>
          </cell>
          <cell r="L490" t="str">
            <v>大和上野ビル</v>
          </cell>
          <cell r="M490" t="str">
            <v>03-3837-0011</v>
          </cell>
          <cell r="N490" t="str">
            <v>/</v>
          </cell>
          <cell r="O490" t="str">
            <v>シャシー</v>
          </cell>
          <cell r="T490" t="str">
            <v>ｱｲﾁｺｰﾎﾟﾚｰｼｮﾝ</v>
          </cell>
          <cell r="V490" t="str">
            <v>30</v>
          </cell>
        </row>
        <row r="491">
          <cell r="B491" t="str">
            <v>3525</v>
          </cell>
          <cell r="C491" t="str">
            <v>B</v>
          </cell>
          <cell r="D491" t="str">
            <v xml:space="preserve">(株)ｱｲﾁｺｰﾎﾟﾚｰｼｮﾝ </v>
          </cell>
          <cell r="E491" t="str">
            <v>神奈川営業所</v>
          </cell>
          <cell r="F491" t="str">
            <v>所長</v>
          </cell>
          <cell r="G491" t="str">
            <v>河合  章男</v>
          </cell>
          <cell r="J491" t="str">
            <v>241</v>
          </cell>
          <cell r="K491" t="str">
            <v>横浜市旭区上川井町800-4</v>
          </cell>
          <cell r="L491" t="str">
            <v/>
          </cell>
          <cell r="M491" t="str">
            <v>045-921-3905</v>
          </cell>
          <cell r="N491" t="str">
            <v>/</v>
          </cell>
          <cell r="O491" t="str">
            <v>シャシー</v>
          </cell>
          <cell r="T491" t="str">
            <v>ｱｲﾁｺｰﾎﾟﾚｰｼｮﾝ</v>
          </cell>
          <cell r="V491" t="str">
            <v>30</v>
          </cell>
        </row>
        <row r="492">
          <cell r="B492" t="str">
            <v>3526</v>
          </cell>
          <cell r="C492" t="str">
            <v>#</v>
          </cell>
          <cell r="D492" t="str">
            <v>古河ユニック(株)</v>
          </cell>
          <cell r="F492" t="str">
            <v>代表取締役社長</v>
          </cell>
          <cell r="G492" t="str">
            <v>種田  忠夫</v>
          </cell>
          <cell r="H492">
            <v>200</v>
          </cell>
          <cell r="I492">
            <v>63</v>
          </cell>
          <cell r="J492" t="str">
            <v>106</v>
          </cell>
          <cell r="K492" t="str">
            <v>港区西麻布4-16-13</v>
          </cell>
          <cell r="L492" t="str">
            <v>第28森ビル</v>
          </cell>
          <cell r="M492" t="str">
            <v>03-3499-3611</v>
          </cell>
          <cell r="N492" t="str">
            <v>/3499-6038</v>
          </cell>
          <cell r="O492" t="str">
            <v>車体架装 油圧式ｸﾚ-ﾝ  油圧式ｷｬﾘｱ</v>
          </cell>
          <cell r="Q492" t="str">
            <v xml:space="preserve"> </v>
          </cell>
          <cell r="T492" t="str">
            <v>ﾌﾙｶﾜﾕﾆｯｸ</v>
          </cell>
          <cell r="V492" t="str">
            <v>64</v>
          </cell>
        </row>
        <row r="493">
          <cell r="B493" t="str">
            <v>3527</v>
          </cell>
          <cell r="C493" t="str">
            <v>#</v>
          </cell>
          <cell r="D493" t="str">
            <v>(株)北村製作所</v>
          </cell>
          <cell r="F493" t="str">
            <v>取締役社長</v>
          </cell>
          <cell r="G493" t="str">
            <v>北村　泰作</v>
          </cell>
          <cell r="H493">
            <v>100</v>
          </cell>
          <cell r="I493">
            <v>240</v>
          </cell>
          <cell r="J493" t="str">
            <v>950-03</v>
          </cell>
          <cell r="K493" t="str">
            <v>新潟市両川1</v>
          </cell>
          <cell r="L493" t="str">
            <v xml:space="preserve"> </v>
          </cell>
          <cell r="M493" t="str">
            <v>025-280-7120</v>
          </cell>
          <cell r="N493" t="str">
            <v>/280-7146</v>
          </cell>
          <cell r="O493" t="str">
            <v>バスボディー</v>
          </cell>
          <cell r="P493" t="str">
            <v>▽</v>
          </cell>
          <cell r="Q493" t="str">
            <v>◎</v>
          </cell>
          <cell r="S493" t="str">
            <v>☆</v>
          </cell>
          <cell r="T493" t="str">
            <v>ｷﾀﾑﾗｾｲｻｸｼｮ</v>
          </cell>
          <cell r="V493" t="str">
            <v>77</v>
          </cell>
        </row>
        <row r="494">
          <cell r="B494" t="str">
            <v>3527</v>
          </cell>
          <cell r="C494" t="str">
            <v>A</v>
          </cell>
          <cell r="D494" t="str">
            <v>(株)北村製作所</v>
          </cell>
          <cell r="E494" t="str">
            <v>東京営業所</v>
          </cell>
          <cell r="F494" t="str">
            <v>取締役特装営業担当部長</v>
          </cell>
          <cell r="G494" t="str">
            <v>長瀬  進一</v>
          </cell>
          <cell r="J494" t="str">
            <v>107</v>
          </cell>
          <cell r="K494" t="str">
            <v>港区赤阪3-9-2</v>
          </cell>
          <cell r="L494" t="str">
            <v xml:space="preserve"> </v>
          </cell>
          <cell r="M494" t="str">
            <v>03-3585-1621</v>
          </cell>
          <cell r="N494" t="str">
            <v>/3585-1649</v>
          </cell>
          <cell r="O494" t="str">
            <v>バスボディー</v>
          </cell>
          <cell r="P494" t="str">
            <v>▽</v>
          </cell>
          <cell r="Q494" t="str">
            <v xml:space="preserve"> </v>
          </cell>
          <cell r="T494" t="str">
            <v>ｷﾀﾑﾗｾｲｻｸｼｮ</v>
          </cell>
          <cell r="V494" t="str">
            <v>77</v>
          </cell>
        </row>
        <row r="495">
          <cell r="B495" t="str">
            <v>3530</v>
          </cell>
          <cell r="C495" t="str">
            <v>#</v>
          </cell>
          <cell r="D495" t="str">
            <v>日本フルハーフ(株)</v>
          </cell>
          <cell r="F495" t="str">
            <v>代表取締役社長</v>
          </cell>
          <cell r="G495" t="str">
            <v>入江  義朗</v>
          </cell>
          <cell r="H495">
            <v>1000</v>
          </cell>
          <cell r="I495">
            <v>700</v>
          </cell>
          <cell r="J495" t="str">
            <v>243</v>
          </cell>
          <cell r="K495" t="str">
            <v>厚木市上依知上の原3034</v>
          </cell>
          <cell r="L495" t="str">
            <v xml:space="preserve"> </v>
          </cell>
          <cell r="M495" t="str">
            <v>0462-85-3111</v>
          </cell>
          <cell r="N495" t="str">
            <v>/</v>
          </cell>
          <cell r="O495" t="str">
            <v>車体架装</v>
          </cell>
          <cell r="Q495" t="str">
            <v xml:space="preserve"> </v>
          </cell>
          <cell r="T495" t="str">
            <v>ﾆﾎﾝﾌﾙﾊｰﾌ</v>
          </cell>
          <cell r="V495" t="str">
            <v>64</v>
          </cell>
        </row>
        <row r="496">
          <cell r="B496" t="str">
            <v>3534</v>
          </cell>
          <cell r="C496" t="str">
            <v>#</v>
          </cell>
          <cell r="D496" t="str">
            <v>極東開発工業(株)</v>
          </cell>
          <cell r="F496" t="str">
            <v>取締役社長</v>
          </cell>
          <cell r="G496" t="str">
            <v>米田  稲次郎</v>
          </cell>
          <cell r="H496">
            <v>10300</v>
          </cell>
          <cell r="I496">
            <v>970</v>
          </cell>
          <cell r="J496" t="str">
            <v>663</v>
          </cell>
          <cell r="K496" t="str">
            <v>西宮市甲子園口6-1-45</v>
          </cell>
          <cell r="L496" t="str">
            <v xml:space="preserve"> </v>
          </cell>
          <cell r="M496" t="str">
            <v>0798-66-1000</v>
          </cell>
          <cell r="N496" t="str">
            <v>/</v>
          </cell>
          <cell r="O496" t="str">
            <v>特装車製造</v>
          </cell>
          <cell r="Q496" t="str">
            <v xml:space="preserve"> </v>
          </cell>
          <cell r="T496" t="str">
            <v>ｷｮｸﾄｳｶｲﾊﾂｺｳｷﾞｮｳ</v>
          </cell>
          <cell r="V496" t="str">
            <v>64</v>
          </cell>
        </row>
        <row r="497">
          <cell r="B497" t="str">
            <v>3534</v>
          </cell>
          <cell r="C497" t="str">
            <v>A</v>
          </cell>
          <cell r="D497" t="str">
            <v>極東開発工業(株)</v>
          </cell>
          <cell r="E497" t="str">
            <v>東京事業所</v>
          </cell>
          <cell r="J497" t="str">
            <v>105</v>
          </cell>
          <cell r="K497" t="str">
            <v>浜松町2-4-1</v>
          </cell>
          <cell r="L497" t="str">
            <v>世界貿易ｾﾝﾀ-ﾋﾞﾙ24F</v>
          </cell>
          <cell r="M497" t="str">
            <v>03-3435-5353</v>
          </cell>
          <cell r="N497" t="str">
            <v>/3435-1745</v>
          </cell>
          <cell r="Q497" t="str">
            <v xml:space="preserve"> </v>
          </cell>
          <cell r="T497" t="str">
            <v>ｷｮｸﾄｳｶｲﾊﾂｺｳｷﾞｮｳ</v>
          </cell>
          <cell r="V497" t="str">
            <v>64</v>
          </cell>
        </row>
        <row r="498">
          <cell r="B498" t="str">
            <v>3537</v>
          </cell>
          <cell r="C498" t="str">
            <v>#</v>
          </cell>
          <cell r="D498" t="str">
            <v>(株)パブコ</v>
          </cell>
          <cell r="F498" t="str">
            <v>取締役社長</v>
          </cell>
          <cell r="G498" t="str">
            <v>今井  武</v>
          </cell>
          <cell r="H498">
            <v>600</v>
          </cell>
          <cell r="I498">
            <v>633</v>
          </cell>
          <cell r="J498" t="str">
            <v>243-04</v>
          </cell>
          <cell r="K498" t="str">
            <v>海老名市柏ケ谷456</v>
          </cell>
          <cell r="L498" t="str">
            <v xml:space="preserve"> </v>
          </cell>
          <cell r="M498" t="str">
            <v>0462-35-8500</v>
          </cell>
          <cell r="N498" t="str">
            <v>/35-8547</v>
          </cell>
          <cell r="O498" t="str">
            <v>リアボディー</v>
          </cell>
          <cell r="Q498" t="str">
            <v>◎</v>
          </cell>
          <cell r="R498" t="str">
            <v>□</v>
          </cell>
          <cell r="S498" t="str">
            <v>☆</v>
          </cell>
          <cell r="T498" t="str">
            <v>ﾊﾟﾌﾞｺ</v>
          </cell>
          <cell r="V498" t="str">
            <v>64</v>
          </cell>
        </row>
        <row r="499">
          <cell r="B499" t="str">
            <v>3539</v>
          </cell>
          <cell r="C499" t="str">
            <v>#</v>
          </cell>
          <cell r="D499" t="str">
            <v>高田車体(株)</v>
          </cell>
          <cell r="F499" t="str">
            <v>取締役社長</v>
          </cell>
          <cell r="G499" t="str">
            <v>高田　勝也</v>
          </cell>
          <cell r="H499">
            <v>100</v>
          </cell>
          <cell r="I499">
            <v>142</v>
          </cell>
          <cell r="J499" t="str">
            <v>329-43</v>
          </cell>
          <cell r="K499" t="str">
            <v>栃木県下都賀郡岩舟町曲ケ島</v>
          </cell>
          <cell r="L499" t="str">
            <v>1959-1</v>
          </cell>
          <cell r="M499" t="str">
            <v>0282-55-1014</v>
          </cell>
          <cell r="N499" t="str">
            <v>/55-1025</v>
          </cell>
          <cell r="O499" t="str">
            <v>リアボディー</v>
          </cell>
          <cell r="P499" t="str">
            <v>▽</v>
          </cell>
          <cell r="Q499" t="str">
            <v>◎</v>
          </cell>
          <cell r="R499" t="str">
            <v>□</v>
          </cell>
          <cell r="S499" t="str">
            <v>☆</v>
          </cell>
          <cell r="T499" t="str">
            <v>ﾀｶﾀﾞｼｬﾀｲ</v>
          </cell>
          <cell r="V499" t="str">
            <v>64</v>
          </cell>
        </row>
        <row r="500">
          <cell r="B500" t="str">
            <v>3540</v>
          </cell>
          <cell r="C500" t="str">
            <v>#</v>
          </cell>
          <cell r="D500" t="str">
            <v>横浜車輛工業(株)</v>
          </cell>
          <cell r="F500" t="str">
            <v>取締役社長</v>
          </cell>
          <cell r="G500" t="str">
            <v>黒澤  任</v>
          </cell>
          <cell r="H500">
            <v>12</v>
          </cell>
          <cell r="I500">
            <v>50</v>
          </cell>
          <cell r="J500" t="str">
            <v>224</v>
          </cell>
          <cell r="K500" t="str">
            <v>横浜市都筑区東方町427</v>
          </cell>
          <cell r="L500" t="str">
            <v xml:space="preserve"> </v>
          </cell>
          <cell r="M500" t="str">
            <v>045-471-9891</v>
          </cell>
          <cell r="N500" t="str">
            <v>/</v>
          </cell>
          <cell r="O500" t="str">
            <v>ポール型・ホースハンガー・カブラー・ラバーフェンダーウインチ</v>
          </cell>
          <cell r="P500" t="str">
            <v>▽</v>
          </cell>
          <cell r="Q500" t="str">
            <v xml:space="preserve"> </v>
          </cell>
          <cell r="T500" t="str">
            <v>ﾖｺﾊﾏｼｬﾘｮｳｺｳｷﾞｮｳ</v>
          </cell>
          <cell r="V500" t="str">
            <v>64</v>
          </cell>
        </row>
        <row r="501">
          <cell r="B501" t="str">
            <v>3550</v>
          </cell>
          <cell r="C501" t="str">
            <v>#</v>
          </cell>
          <cell r="D501" t="str">
            <v>(株)ホンダアクセス販売</v>
          </cell>
          <cell r="F501" t="str">
            <v>代表取締役社長</v>
          </cell>
          <cell r="G501" t="str">
            <v>東塚  弘司</v>
          </cell>
          <cell r="H501">
            <v>3000</v>
          </cell>
          <cell r="I501">
            <v>109</v>
          </cell>
          <cell r="J501" t="str">
            <v>352</v>
          </cell>
          <cell r="K501" t="str">
            <v>新座市野火8-18-4</v>
          </cell>
          <cell r="L501" t="str">
            <v xml:space="preserve"> </v>
          </cell>
          <cell r="M501" t="str">
            <v>048-466-3316</v>
          </cell>
          <cell r="N501" t="str">
            <v>/465-2349</v>
          </cell>
          <cell r="O501" t="str">
            <v>ｵ-ﾃﾞｨｵ</v>
          </cell>
          <cell r="Q501" t="str">
            <v xml:space="preserve"> </v>
          </cell>
          <cell r="T501" t="str">
            <v>ﾎﾝﾀﾞｱｸｾｽﾊﾝﾊﾞｲ</v>
          </cell>
          <cell r="V501" t="str">
            <v>62</v>
          </cell>
        </row>
        <row r="502">
          <cell r="B502" t="str">
            <v>3555</v>
          </cell>
          <cell r="C502" t="str">
            <v>#</v>
          </cell>
          <cell r="D502" t="str">
            <v>マツダ(株)</v>
          </cell>
          <cell r="F502" t="str">
            <v>代表取締役社長</v>
          </cell>
          <cell r="G502" t="str">
            <v>ﾍﾝﾘｰ･ﾃﾞｨｰ･</v>
          </cell>
          <cell r="H502">
            <v>120024</v>
          </cell>
          <cell r="I502">
            <v>26072</v>
          </cell>
          <cell r="J502" t="str">
            <v>730-91</v>
          </cell>
          <cell r="K502" t="str">
            <v>広島県安芸郡府中町新地3-1</v>
          </cell>
          <cell r="L502" t="str">
            <v xml:space="preserve"> </v>
          </cell>
          <cell r="M502" t="str">
            <v>082-282-4803</v>
          </cell>
          <cell r="N502" t="str">
            <v>/287-5155</v>
          </cell>
          <cell r="O502" t="str">
            <v>ﾌﾗｲﾎｲ-ﾙASSY</v>
          </cell>
          <cell r="Q502" t="str">
            <v xml:space="preserve"> </v>
          </cell>
          <cell r="S502" t="str">
            <v>☆</v>
          </cell>
          <cell r="T502" t="str">
            <v>ﾏﾂﾀﾞ</v>
          </cell>
          <cell r="V502" t="str">
            <v>51</v>
          </cell>
        </row>
        <row r="503">
          <cell r="B503" t="str">
            <v>3555</v>
          </cell>
          <cell r="C503" t="str">
            <v>##</v>
          </cell>
          <cell r="D503" t="str">
            <v>マツダ(株)</v>
          </cell>
          <cell r="G503" t="str">
            <v xml:space="preserve">   ｼﾞｰ･ｳｫﾚﾝｽ</v>
          </cell>
          <cell r="K503" t="str">
            <v xml:space="preserve"> </v>
          </cell>
          <cell r="L503" t="str">
            <v xml:space="preserve"> </v>
          </cell>
          <cell r="N503" t="str">
            <v>/</v>
          </cell>
          <cell r="T503" t="str">
            <v>ﾏﾂﾀﾞ</v>
          </cell>
          <cell r="V503" t="str">
            <v>51</v>
          </cell>
        </row>
        <row r="504">
          <cell r="B504" t="str">
            <v>3603</v>
          </cell>
          <cell r="C504" t="str">
            <v>#</v>
          </cell>
          <cell r="D504" t="str">
            <v>日進工業(株)</v>
          </cell>
          <cell r="F504" t="str">
            <v>代表取締役社長</v>
          </cell>
          <cell r="G504" t="str">
            <v>木下　勲</v>
          </cell>
          <cell r="H504">
            <v>30</v>
          </cell>
          <cell r="I504">
            <v>25</v>
          </cell>
          <cell r="J504" t="str">
            <v>110</v>
          </cell>
          <cell r="K504" t="str">
            <v>台東区台東4-29-13</v>
          </cell>
          <cell r="L504" t="str">
            <v xml:space="preserve"> </v>
          </cell>
          <cell r="M504" t="str">
            <v>03-3834-1051</v>
          </cell>
          <cell r="N504" t="str">
            <v>/3833-3275</v>
          </cell>
          <cell r="O504" t="str">
            <v>消火器</v>
          </cell>
          <cell r="Q504" t="str">
            <v xml:space="preserve"> </v>
          </cell>
          <cell r="T504" t="str">
            <v>ﾆｯｼﾝｺｳｷﾞｮｳ</v>
          </cell>
          <cell r="V504" t="str">
            <v>64</v>
          </cell>
        </row>
        <row r="505">
          <cell r="B505" t="str">
            <v>3604</v>
          </cell>
          <cell r="C505" t="str">
            <v>#</v>
          </cell>
          <cell r="D505" t="str">
            <v>旭硝子(株)</v>
          </cell>
          <cell r="F505" t="str">
            <v>取締役社長</v>
          </cell>
          <cell r="G505" t="str">
            <v>瀬谷　博道</v>
          </cell>
          <cell r="H505">
            <v>51711</v>
          </cell>
          <cell r="I505">
            <v>9143</v>
          </cell>
          <cell r="J505" t="str">
            <v>100</v>
          </cell>
          <cell r="K505" t="str">
            <v>千代田区丸の内2-1-2</v>
          </cell>
          <cell r="L505" t="str">
            <v>千代田ビル</v>
          </cell>
          <cell r="M505" t="str">
            <v>03-3218-5555</v>
          </cell>
          <cell r="N505" t="str">
            <v>/</v>
          </cell>
          <cell r="O505" t="str">
            <v>ｶﾞﾗｽ</v>
          </cell>
          <cell r="Q505" t="str">
            <v>◎</v>
          </cell>
          <cell r="R505" t="str">
            <v>□</v>
          </cell>
          <cell r="S505" t="str">
            <v>☆</v>
          </cell>
          <cell r="T505" t="str">
            <v>ｱｻﾋｶﾞﾗｽ</v>
          </cell>
          <cell r="V505" t="str">
            <v>62</v>
          </cell>
        </row>
        <row r="506">
          <cell r="B506" t="str">
            <v>3604</v>
          </cell>
          <cell r="C506" t="str">
            <v>A</v>
          </cell>
          <cell r="D506" t="str">
            <v>旭硝子(株)</v>
          </cell>
          <cell r="E506" t="str">
            <v>東京支店</v>
          </cell>
          <cell r="F506" t="str">
            <v>支店長</v>
          </cell>
          <cell r="G506" t="str">
            <v>川瀬  量平</v>
          </cell>
          <cell r="J506" t="str">
            <v>100</v>
          </cell>
          <cell r="K506" t="str">
            <v>千代田区有楽町1-12-1</v>
          </cell>
          <cell r="L506" t="str">
            <v>新有楽町ビル</v>
          </cell>
          <cell r="M506" t="str">
            <v>03-3283-9454</v>
          </cell>
          <cell r="N506" t="str">
            <v>/3283-9531</v>
          </cell>
          <cell r="O506" t="str">
            <v>ｶﾞﾗｽ</v>
          </cell>
          <cell r="Q506" t="str">
            <v xml:space="preserve"> </v>
          </cell>
          <cell r="T506" t="str">
            <v>ｱｻﾋｶﾞﾗｽ</v>
          </cell>
          <cell r="V506" t="str">
            <v>62</v>
          </cell>
        </row>
        <row r="507">
          <cell r="B507" t="str">
            <v>3607</v>
          </cell>
          <cell r="C507" t="str">
            <v>#</v>
          </cell>
          <cell r="D507" t="str">
            <v>(株)天尾製作所</v>
          </cell>
          <cell r="F507" t="str">
            <v>取締役社長</v>
          </cell>
          <cell r="G507" t="str">
            <v>天尾　勉</v>
          </cell>
          <cell r="H507">
            <v>120</v>
          </cell>
          <cell r="I507">
            <v>115</v>
          </cell>
          <cell r="J507" t="str">
            <v>131</v>
          </cell>
          <cell r="K507" t="str">
            <v>墨田区向島3-20-6</v>
          </cell>
          <cell r="L507" t="str">
            <v xml:space="preserve"> </v>
          </cell>
          <cell r="M507" t="str">
            <v>03-5608-5621</v>
          </cell>
          <cell r="N507" t="str">
            <v>/5608-5708</v>
          </cell>
          <cell r="O507" t="str">
            <v>バキュームタンク</v>
          </cell>
          <cell r="Q507" t="str">
            <v>◎</v>
          </cell>
          <cell r="R507" t="str">
            <v>□</v>
          </cell>
          <cell r="T507" t="str">
            <v>ｱﾏｵｾｲｻｸｼｮ</v>
          </cell>
          <cell r="V507" t="str">
            <v>54</v>
          </cell>
        </row>
        <row r="508">
          <cell r="B508" t="str">
            <v>3607</v>
          </cell>
          <cell r="C508" t="str">
            <v>A</v>
          </cell>
          <cell r="D508" t="str">
            <v>(株)天尾製作所</v>
          </cell>
          <cell r="E508" t="str">
            <v>茨城工場</v>
          </cell>
          <cell r="J508" t="str">
            <v>306-04</v>
          </cell>
          <cell r="K508" t="str">
            <v>茨城県猿島郡境町</v>
          </cell>
          <cell r="L508" t="str">
            <v>大字長井戸字原割736-12</v>
          </cell>
          <cell r="M508" t="str">
            <v>02808-7-1222</v>
          </cell>
          <cell r="N508" t="str">
            <v>/</v>
          </cell>
          <cell r="O508" t="str">
            <v>バキュームタンク</v>
          </cell>
          <cell r="Q508" t="str">
            <v xml:space="preserve"> </v>
          </cell>
          <cell r="T508" t="str">
            <v>ｱﾏｵｾｲｻｸｼｮ</v>
          </cell>
          <cell r="V508" t="str">
            <v>54</v>
          </cell>
        </row>
        <row r="509">
          <cell r="B509" t="str">
            <v>3611</v>
          </cell>
          <cell r="C509" t="str">
            <v>#</v>
          </cell>
          <cell r="D509" t="str">
            <v>橋本ﾌｫｰﾐﾝｸﾞ工業(株)</v>
          </cell>
          <cell r="F509" t="str">
            <v>代表取締役社長</v>
          </cell>
          <cell r="G509" t="str">
            <v>大木　清吾</v>
          </cell>
          <cell r="H509">
            <v>660</v>
          </cell>
          <cell r="I509">
            <v>2800</v>
          </cell>
          <cell r="J509" t="str">
            <v>245</v>
          </cell>
          <cell r="K509" t="str">
            <v>横浜市戸塚区上矢部町320</v>
          </cell>
          <cell r="L509" t="str">
            <v xml:space="preserve"> </v>
          </cell>
          <cell r="M509" t="str">
            <v>045-811-1211</v>
          </cell>
          <cell r="N509" t="str">
            <v>/811-2238</v>
          </cell>
          <cell r="O509" t="str">
            <v>ドアサッシュ・モールディング</v>
          </cell>
          <cell r="Q509" t="str">
            <v>◎</v>
          </cell>
          <cell r="R509" t="str">
            <v>□</v>
          </cell>
          <cell r="S509" t="str">
            <v>☆</v>
          </cell>
          <cell r="T509" t="str">
            <v>ﾊｼﾓﾄﾌｫｰﾐﾝｸﾞｺｳｷﾞｮｳ</v>
          </cell>
          <cell r="V509" t="str">
            <v>62</v>
          </cell>
        </row>
        <row r="510">
          <cell r="B510" t="str">
            <v>3615</v>
          </cell>
          <cell r="C510" t="str">
            <v>#</v>
          </cell>
          <cell r="D510" t="str">
            <v>山久特殊硝子工業(株)</v>
          </cell>
          <cell r="F510" t="str">
            <v>代表取締役</v>
          </cell>
          <cell r="G510" t="str">
            <v>五嶋  攻</v>
          </cell>
          <cell r="H510">
            <v>90</v>
          </cell>
          <cell r="I510">
            <v>189</v>
          </cell>
          <cell r="J510" t="str">
            <v>101</v>
          </cell>
          <cell r="K510" t="str">
            <v>千代田区神田須田町2-11-1</v>
          </cell>
          <cell r="L510" t="str">
            <v>協友ビル</v>
          </cell>
          <cell r="M510" t="str">
            <v>03-3258-6601</v>
          </cell>
          <cell r="N510" t="str">
            <v>/3258-6606</v>
          </cell>
          <cell r="O510" t="str">
            <v>ｶﾞﾗｽ</v>
          </cell>
          <cell r="P510" t="str">
            <v>▽</v>
          </cell>
          <cell r="Q510" t="str">
            <v>◎</v>
          </cell>
          <cell r="R510" t="str">
            <v>□</v>
          </cell>
          <cell r="T510" t="str">
            <v>ﾔﾏｷｭｳﾄｸｼｭｶﾞﾗｽ</v>
          </cell>
          <cell r="V510" t="str">
            <v>62</v>
          </cell>
        </row>
        <row r="511">
          <cell r="B511" t="str">
            <v>3616</v>
          </cell>
          <cell r="C511" t="str">
            <v>#</v>
          </cell>
          <cell r="D511" t="str">
            <v>住江織物(株)</v>
          </cell>
          <cell r="F511" t="str">
            <v>取締役社長</v>
          </cell>
          <cell r="G511" t="str">
            <v>近藤  貞彦</v>
          </cell>
          <cell r="H511">
            <v>2388</v>
          </cell>
          <cell r="I511">
            <v>1190</v>
          </cell>
          <cell r="J511" t="str">
            <v>542</v>
          </cell>
          <cell r="K511" t="str">
            <v>大阪市中央区南船場3-11-20</v>
          </cell>
          <cell r="L511" t="str">
            <v xml:space="preserve"> </v>
          </cell>
          <cell r="M511" t="str">
            <v xml:space="preserve">06-251-0081 </v>
          </cell>
          <cell r="N511" t="str">
            <v>/</v>
          </cell>
          <cell r="O511" t="str">
            <v>ｶｰﾍﾟｯﾄ</v>
          </cell>
          <cell r="Q511" t="str">
            <v xml:space="preserve"> </v>
          </cell>
          <cell r="R511" t="str">
            <v>□</v>
          </cell>
          <cell r="S511" t="str">
            <v>☆</v>
          </cell>
          <cell r="T511" t="str">
            <v>ｽﾐﾉｴｵﾘﾓﾉ</v>
          </cell>
          <cell r="V511" t="str">
            <v>62</v>
          </cell>
        </row>
        <row r="512">
          <cell r="B512" t="str">
            <v>3616</v>
          </cell>
          <cell r="C512" t="str">
            <v>A</v>
          </cell>
          <cell r="D512" t="str">
            <v>住江織物(株)</v>
          </cell>
          <cell r="E512" t="str">
            <v>西関東産業資材部</v>
          </cell>
          <cell r="F512" t="str">
            <v>産業資材販売部</v>
          </cell>
          <cell r="G512" t="str">
            <v>山本　春雄</v>
          </cell>
          <cell r="J512" t="str">
            <v>259-11</v>
          </cell>
          <cell r="K512" t="str">
            <v>伊勢原市鈴川35</v>
          </cell>
          <cell r="L512" t="str">
            <v xml:space="preserve"> </v>
          </cell>
          <cell r="M512" t="str">
            <v>0463-96-0207</v>
          </cell>
          <cell r="N512" t="str">
            <v>/96-1180</v>
          </cell>
          <cell r="O512" t="str">
            <v>ｶｰﾍﾟｯﾄ</v>
          </cell>
          <cell r="Q512" t="str">
            <v xml:space="preserve"> </v>
          </cell>
          <cell r="T512" t="str">
            <v>ｽﾐﾉｴｵﾘﾓﾉ</v>
          </cell>
          <cell r="V512" t="str">
            <v>62</v>
          </cell>
        </row>
        <row r="513">
          <cell r="B513" t="str">
            <v>3616</v>
          </cell>
          <cell r="C513" t="str">
            <v>B</v>
          </cell>
          <cell r="D513" t="str">
            <v>住江織物(株)</v>
          </cell>
          <cell r="F513" t="str">
            <v>神奈川出張所長</v>
          </cell>
          <cell r="K513" t="str">
            <v xml:space="preserve"> </v>
          </cell>
          <cell r="L513" t="str">
            <v xml:space="preserve"> </v>
          </cell>
          <cell r="N513" t="str">
            <v>/</v>
          </cell>
          <cell r="Q513" t="str">
            <v xml:space="preserve"> </v>
          </cell>
          <cell r="T513" t="str">
            <v>ｽﾐﾉｴｵﾘﾓﾉ</v>
          </cell>
          <cell r="V513" t="str">
            <v>62</v>
          </cell>
        </row>
        <row r="514">
          <cell r="B514" t="str">
            <v>3620</v>
          </cell>
          <cell r="C514" t="str">
            <v>#</v>
          </cell>
          <cell r="D514" t="str">
            <v>マルイ工業(株)</v>
          </cell>
          <cell r="F514" t="str">
            <v>代表取締役社長</v>
          </cell>
          <cell r="G514" t="str">
            <v>平井　隆夫</v>
          </cell>
          <cell r="H514">
            <v>150</v>
          </cell>
          <cell r="I514">
            <v>504</v>
          </cell>
          <cell r="J514" t="str">
            <v>247</v>
          </cell>
          <cell r="K514" t="str">
            <v>鎌倉市岩瀬1250</v>
          </cell>
          <cell r="L514" t="str">
            <v xml:space="preserve"> </v>
          </cell>
          <cell r="M514" t="str">
            <v>0467-44-4161</v>
          </cell>
          <cell r="N514" t="str">
            <v>/44-7761</v>
          </cell>
          <cell r="O514" t="str">
            <v>ネームプレート</v>
          </cell>
          <cell r="Q514" t="str">
            <v>◎</v>
          </cell>
          <cell r="R514" t="str">
            <v>□</v>
          </cell>
          <cell r="S514" t="str">
            <v>☆</v>
          </cell>
          <cell r="T514" t="str">
            <v>ﾏﾙｲｺｳｷﾞｮｳ</v>
          </cell>
          <cell r="V514" t="str">
            <v>62</v>
          </cell>
        </row>
        <row r="515">
          <cell r="B515" t="str">
            <v>3622</v>
          </cell>
          <cell r="C515" t="str">
            <v>#</v>
          </cell>
          <cell r="D515" t="str">
            <v>(株)城南製作所</v>
          </cell>
          <cell r="F515" t="str">
            <v>代表取締役社長</v>
          </cell>
          <cell r="G515" t="str">
            <v>馬場　正敏</v>
          </cell>
          <cell r="H515">
            <v>110</v>
          </cell>
          <cell r="I515">
            <v>689</v>
          </cell>
          <cell r="J515" t="str">
            <v>386-01</v>
          </cell>
          <cell r="K515" t="str">
            <v>上田市蒼久保1185-1</v>
          </cell>
          <cell r="L515" t="str">
            <v xml:space="preserve"> </v>
          </cell>
          <cell r="M515" t="str">
            <v>0280-87-1222</v>
          </cell>
          <cell r="N515" t="str">
            <v>/</v>
          </cell>
          <cell r="O515" t="str">
            <v>ｳｨﾝﾄﾞｳﾚｷﾞｭﾚｰﾀｰ</v>
          </cell>
          <cell r="Q515" t="str">
            <v>◎</v>
          </cell>
          <cell r="R515" t="str">
            <v>□</v>
          </cell>
          <cell r="S515" t="str">
            <v>☆</v>
          </cell>
          <cell r="T515" t="str">
            <v>ｼﾞｮｳﾅﾝｾｲｻｸｼｮ</v>
          </cell>
          <cell r="V515" t="str">
            <v>62</v>
          </cell>
        </row>
        <row r="516">
          <cell r="B516" t="str">
            <v>3622</v>
          </cell>
          <cell r="C516" t="str">
            <v>A</v>
          </cell>
          <cell r="D516" t="str">
            <v>(株)城南製作所</v>
          </cell>
          <cell r="E516" t="str">
            <v>東京事務所</v>
          </cell>
          <cell r="J516" t="str">
            <v>210</v>
          </cell>
          <cell r="K516" t="str">
            <v>川崎市川崎区大島5-11-13</v>
          </cell>
          <cell r="L516" t="str">
            <v>市川ﾋﾞﾙ3F</v>
          </cell>
          <cell r="M516" t="str">
            <v>044-200-7688</v>
          </cell>
          <cell r="N516" t="str">
            <v>/200-7696</v>
          </cell>
          <cell r="O516" t="str">
            <v>ｳｨﾝﾄﾞｳﾚｷﾞｭﾚｰﾀｰ</v>
          </cell>
          <cell r="Q516" t="str">
            <v xml:space="preserve"> </v>
          </cell>
          <cell r="T516" t="str">
            <v>ｼﾞｮｳﾅﾝｾｲｻｸｼｮ</v>
          </cell>
          <cell r="V516" t="str">
            <v>62</v>
          </cell>
        </row>
        <row r="517">
          <cell r="B517" t="str">
            <v>3624</v>
          </cell>
          <cell r="C517" t="str">
            <v>#</v>
          </cell>
          <cell r="D517" t="str">
            <v>(株)ｲﾉｱｯｸｺｰﾎﾟﾚｰｼｮﾝ</v>
          </cell>
          <cell r="F517" t="str">
            <v>代表取締役社長</v>
          </cell>
          <cell r="G517" t="str">
            <v>井上　聰一</v>
          </cell>
          <cell r="H517">
            <v>720</v>
          </cell>
          <cell r="I517">
            <v>940</v>
          </cell>
          <cell r="J517" t="str">
            <v>450</v>
          </cell>
          <cell r="K517" t="str">
            <v>名古屋市中村区名駅南2-13-4</v>
          </cell>
          <cell r="L517" t="str">
            <v xml:space="preserve"> </v>
          </cell>
          <cell r="M517" t="str">
            <v>052-586-0701</v>
          </cell>
          <cell r="N517" t="str">
            <v>/</v>
          </cell>
          <cell r="O517" t="str">
            <v>ｱｰﾑﾚｽﾄ･ｸﾗｯｼｭﾊﾟｯﾄﾞ</v>
          </cell>
          <cell r="Q517" t="str">
            <v>◎</v>
          </cell>
          <cell r="R517" t="str">
            <v>□</v>
          </cell>
          <cell r="S517" t="str">
            <v>☆</v>
          </cell>
          <cell r="T517" t="str">
            <v>ｲﾉｱｯｸｺｰﾎﾟﾚｰｼｮﾝ</v>
          </cell>
          <cell r="V517" t="str">
            <v>62</v>
          </cell>
        </row>
        <row r="518">
          <cell r="B518" t="str">
            <v>3624</v>
          </cell>
          <cell r="C518" t="str">
            <v>A</v>
          </cell>
          <cell r="D518" t="str">
            <v>(株)ｲﾉｱｯｸｺｰﾎﾟﾚｰｼｮﾝ</v>
          </cell>
          <cell r="E518" t="str">
            <v>東京支店　</v>
          </cell>
          <cell r="F518" t="str">
            <v>取締役支店長</v>
          </cell>
          <cell r="G518" t="str">
            <v>山之内  正</v>
          </cell>
          <cell r="J518" t="str">
            <v>141</v>
          </cell>
          <cell r="K518" t="str">
            <v>品川区大崎2-9-12</v>
          </cell>
          <cell r="L518" t="str">
            <v xml:space="preserve"> </v>
          </cell>
          <cell r="M518" t="str">
            <v>03-3492-7661</v>
          </cell>
          <cell r="N518" t="str">
            <v>/3779-6373</v>
          </cell>
          <cell r="O518" t="str">
            <v>ｱｰﾑﾚｽﾄ･ｸﾗｯｼｭﾊﾟｯﾄﾞ</v>
          </cell>
          <cell r="Q518" t="str">
            <v xml:space="preserve"> </v>
          </cell>
          <cell r="T518" t="str">
            <v>ｲﾉｱｯｸｺｰﾎﾟﾚｰｼｮﾝ</v>
          </cell>
          <cell r="V518" t="str">
            <v>62</v>
          </cell>
        </row>
        <row r="519">
          <cell r="B519" t="str">
            <v>3625</v>
          </cell>
          <cell r="C519" t="str">
            <v>#</v>
          </cell>
          <cell r="D519" t="str">
            <v>三津浜工業(株)</v>
          </cell>
          <cell r="F519" t="str">
            <v>代表取締役社長</v>
          </cell>
          <cell r="G519" t="str">
            <v>木々津　栄一</v>
          </cell>
          <cell r="H519">
            <v>11</v>
          </cell>
          <cell r="I519">
            <v>20</v>
          </cell>
          <cell r="J519" t="str">
            <v>144</v>
          </cell>
          <cell r="K519" t="str">
            <v>大田区東蒲田2-19-12</v>
          </cell>
          <cell r="L519" t="str">
            <v xml:space="preserve"> </v>
          </cell>
          <cell r="M519" t="str">
            <v>03-3733-7411</v>
          </cell>
          <cell r="N519" t="str">
            <v>/3734-3789</v>
          </cell>
          <cell r="O519" t="str">
            <v>消火器</v>
          </cell>
          <cell r="Q519" t="str">
            <v xml:space="preserve"> </v>
          </cell>
          <cell r="T519" t="str">
            <v>ﾐﾂﾊﾏｺｳｷﾞｮｳ</v>
          </cell>
          <cell r="V519" t="str">
            <v>64</v>
          </cell>
        </row>
        <row r="520">
          <cell r="B520" t="str">
            <v>3626</v>
          </cell>
          <cell r="C520" t="str">
            <v>#</v>
          </cell>
          <cell r="D520" t="str">
            <v>(株)ユーシン　</v>
          </cell>
          <cell r="F520" t="str">
            <v>代表取締役社長</v>
          </cell>
          <cell r="G520" t="str">
            <v>田邊　耕二</v>
          </cell>
          <cell r="H520">
            <v>2368</v>
          </cell>
          <cell r="I520">
            <v>996</v>
          </cell>
          <cell r="J520" t="str">
            <v>105</v>
          </cell>
          <cell r="K520" t="str">
            <v>港区新橋6-1-11</v>
          </cell>
          <cell r="L520" t="str">
            <v>秀和御成門ビル</v>
          </cell>
          <cell r="M520" t="str">
            <v>03-5401-4664</v>
          </cell>
          <cell r="N520" t="str">
            <v>/5401-4685</v>
          </cell>
          <cell r="O520" t="str">
            <v>ｽｲｯﾁ類</v>
          </cell>
          <cell r="Q520" t="str">
            <v xml:space="preserve"> </v>
          </cell>
          <cell r="R520" t="str">
            <v>□</v>
          </cell>
          <cell r="S520" t="str">
            <v>☆</v>
          </cell>
          <cell r="T520" t="str">
            <v>ﾕｰｼﾝ</v>
          </cell>
          <cell r="V520" t="str">
            <v>62</v>
          </cell>
        </row>
        <row r="521">
          <cell r="B521" t="str">
            <v>3627</v>
          </cell>
          <cell r="C521" t="str">
            <v>#</v>
          </cell>
          <cell r="D521" t="str">
            <v>日本板硝子(株)</v>
          </cell>
          <cell r="F521" t="str">
            <v>代表取締役社長</v>
          </cell>
          <cell r="G521" t="str">
            <v>松村  實</v>
          </cell>
          <cell r="H521">
            <v>15657</v>
          </cell>
          <cell r="I521">
            <v>4009</v>
          </cell>
          <cell r="J521" t="str">
            <v>541</v>
          </cell>
          <cell r="K521" t="str">
            <v>大阪市中央区道修町3-5-11</v>
          </cell>
          <cell r="L521" t="str">
            <v xml:space="preserve"> </v>
          </cell>
          <cell r="M521" t="str">
            <v xml:space="preserve">06-202-1161 </v>
          </cell>
          <cell r="N521" t="str">
            <v>/</v>
          </cell>
          <cell r="O521" t="str">
            <v>ｶﾞﾗｽ</v>
          </cell>
          <cell r="Q521" t="str">
            <v>◎</v>
          </cell>
          <cell r="R521" t="str">
            <v>□</v>
          </cell>
          <cell r="S521" t="str">
            <v>☆</v>
          </cell>
          <cell r="T521" t="str">
            <v>ﾆﾎﾝｲﾀｶﾞﾗｽ</v>
          </cell>
          <cell r="V521" t="str">
            <v>62</v>
          </cell>
        </row>
        <row r="522">
          <cell r="B522" t="str">
            <v>3627</v>
          </cell>
          <cell r="C522" t="str">
            <v>A</v>
          </cell>
          <cell r="D522" t="str">
            <v>日本板硝子(株)</v>
          </cell>
          <cell r="E522" t="str">
            <v>東京本社事務所</v>
          </cell>
          <cell r="F522" t="str">
            <v>副社長</v>
          </cell>
          <cell r="G522" t="str">
            <v>阿部　貢三</v>
          </cell>
          <cell r="J522" t="str">
            <v>105</v>
          </cell>
          <cell r="K522" t="str">
            <v>港区新橋5-11-3</v>
          </cell>
          <cell r="L522" t="str">
            <v>新橋住友ビル</v>
          </cell>
          <cell r="M522" t="str">
            <v>03-5443-0167</v>
          </cell>
          <cell r="N522" t="str">
            <v>/5443-0164</v>
          </cell>
          <cell r="O522" t="str">
            <v>ｶﾞﾗｽ</v>
          </cell>
          <cell r="Q522" t="str">
            <v xml:space="preserve"> </v>
          </cell>
          <cell r="T522" t="str">
            <v>ﾆﾎﾝｲﾀｶﾞﾗｽ</v>
          </cell>
          <cell r="V522" t="str">
            <v>62</v>
          </cell>
        </row>
        <row r="523">
          <cell r="B523" t="str">
            <v>3628</v>
          </cell>
          <cell r="C523" t="str">
            <v>#</v>
          </cell>
          <cell r="D523" t="str">
            <v>(株)アルファ</v>
          </cell>
          <cell r="F523" t="str">
            <v>代表取締役社長</v>
          </cell>
          <cell r="G523" t="str">
            <v>高山　清彦</v>
          </cell>
          <cell r="H523">
            <v>1728</v>
          </cell>
          <cell r="I523">
            <v>1463</v>
          </cell>
          <cell r="J523" t="str">
            <v>236</v>
          </cell>
          <cell r="K523" t="str">
            <v>横浜市金沢区福浦1-6-8</v>
          </cell>
          <cell r="L523" t="str">
            <v xml:space="preserve"> </v>
          </cell>
          <cell r="M523" t="str">
            <v>045-787-8411</v>
          </cell>
          <cell r="N523" t="str">
            <v>/787-8426</v>
          </cell>
          <cell r="O523" t="str">
            <v>ｱｳﾀｰﾊﾝﾄﾞﾙ､ﾚｷﾞｭﾚｰﾀｰﾊﾝﾄﾞﾙ</v>
          </cell>
          <cell r="Q523" t="str">
            <v>◎</v>
          </cell>
          <cell r="R523" t="str">
            <v>□</v>
          </cell>
          <cell r="S523" t="str">
            <v>☆</v>
          </cell>
          <cell r="T523" t="str">
            <v>ｱﾙﾌｧ</v>
          </cell>
          <cell r="V523" t="str">
            <v>62</v>
          </cell>
        </row>
        <row r="524">
          <cell r="B524" t="str">
            <v>3629</v>
          </cell>
          <cell r="C524" t="str">
            <v>#</v>
          </cell>
          <cell r="D524" t="str">
            <v>(株)嶋田ﾁｬﾝﾈﾙ製作所</v>
          </cell>
          <cell r="F524" t="str">
            <v>代表取締役社長</v>
          </cell>
          <cell r="G524" t="str">
            <v>日置  安治</v>
          </cell>
          <cell r="H524" t="str">
            <v xml:space="preserve">  48.6</v>
          </cell>
          <cell r="I524">
            <v>245</v>
          </cell>
          <cell r="J524" t="str">
            <v>270</v>
          </cell>
          <cell r="K524" t="str">
            <v>松戸市松飛台357</v>
          </cell>
          <cell r="L524" t="str">
            <v xml:space="preserve"> </v>
          </cell>
          <cell r="M524" t="str">
            <v>0473-89-4951</v>
          </cell>
          <cell r="N524" t="str">
            <v>/89-4967</v>
          </cell>
          <cell r="O524" t="str">
            <v>ｳｪｻﾞｰｽﾄﾘｯﾌﾟ</v>
          </cell>
          <cell r="P524" t="str">
            <v>▽</v>
          </cell>
          <cell r="Q524" t="str">
            <v xml:space="preserve"> </v>
          </cell>
          <cell r="R524" t="str">
            <v>□</v>
          </cell>
          <cell r="S524" t="str">
            <v>☆</v>
          </cell>
          <cell r="T524" t="str">
            <v>ｼﾏﾀﾞﾁｬﾝﾈﾙｾｲｻｸｼｮ</v>
          </cell>
          <cell r="V524" t="str">
            <v>62</v>
          </cell>
        </row>
        <row r="525">
          <cell r="B525" t="str">
            <v>3630</v>
          </cell>
          <cell r="C525" t="str">
            <v>#</v>
          </cell>
          <cell r="D525" t="str">
            <v>国際化工(株)</v>
          </cell>
          <cell r="F525" t="str">
            <v>代表取締役社長</v>
          </cell>
          <cell r="G525" t="str">
            <v>栗原　欽吾</v>
          </cell>
          <cell r="H525">
            <v>10</v>
          </cell>
          <cell r="I525">
            <v>61</v>
          </cell>
          <cell r="J525" t="str">
            <v>102</v>
          </cell>
          <cell r="K525" t="str">
            <v>千代田区飯田橋4-4-5</v>
          </cell>
          <cell r="L525" t="str">
            <v>ポンピアンビル</v>
          </cell>
          <cell r="M525" t="str">
            <v>03-3263-9457</v>
          </cell>
          <cell r="N525" t="str">
            <v>/3230-1023</v>
          </cell>
          <cell r="O525" t="str">
            <v>発炎筒</v>
          </cell>
          <cell r="Q525" t="str">
            <v xml:space="preserve"> </v>
          </cell>
          <cell r="R525" t="str">
            <v>□</v>
          </cell>
          <cell r="T525" t="str">
            <v>ｺｸｻｲｶｺｳ</v>
          </cell>
          <cell r="V525" t="str">
            <v>64</v>
          </cell>
        </row>
        <row r="526">
          <cell r="B526" t="str">
            <v>3631</v>
          </cell>
          <cell r="C526" t="str">
            <v>#</v>
          </cell>
          <cell r="D526" t="str">
            <v>シロキ工業(株)</v>
          </cell>
          <cell r="F526" t="str">
            <v>取締役社長</v>
          </cell>
          <cell r="G526" t="str">
            <v>石丸  正幸</v>
          </cell>
          <cell r="H526">
            <v>4448</v>
          </cell>
          <cell r="I526">
            <v>2380</v>
          </cell>
          <cell r="J526" t="str">
            <v>222</v>
          </cell>
          <cell r="K526" t="str">
            <v>横浜市港北区新横浜3-7-3</v>
          </cell>
          <cell r="L526" t="str">
            <v>三井生命ビル</v>
          </cell>
          <cell r="M526" t="str">
            <v>045-473-2744</v>
          </cell>
          <cell r="N526" t="str">
            <v>/473-4463</v>
          </cell>
          <cell r="O526" t="str">
            <v>ｼｰﾄｱｼﾞｬｽﾀｰ</v>
          </cell>
          <cell r="Q526" t="str">
            <v>◎</v>
          </cell>
          <cell r="R526" t="str">
            <v>□</v>
          </cell>
          <cell r="S526" t="str">
            <v>☆</v>
          </cell>
          <cell r="T526" t="str">
            <v>ｼﾛｷｺｳｷﾞｮｳ</v>
          </cell>
          <cell r="V526" t="str">
            <v>62</v>
          </cell>
        </row>
        <row r="527">
          <cell r="B527" t="str">
            <v>3631</v>
          </cell>
          <cell r="C527" t="str">
            <v>##</v>
          </cell>
          <cell r="D527" t="str">
            <v>シロキ工業(株)</v>
          </cell>
          <cell r="E527" t="str">
            <v>横浜本社</v>
          </cell>
          <cell r="K527" t="str">
            <v xml:space="preserve"> </v>
          </cell>
          <cell r="L527" t="str">
            <v xml:space="preserve"> </v>
          </cell>
          <cell r="N527" t="str">
            <v>/</v>
          </cell>
          <cell r="Q527" t="str">
            <v xml:space="preserve"> </v>
          </cell>
          <cell r="T527" t="str">
            <v>ｼﾛｷｺｳｷﾞｮｳ</v>
          </cell>
          <cell r="V527" t="str">
            <v>62</v>
          </cell>
        </row>
        <row r="528">
          <cell r="B528" t="str">
            <v>3631</v>
          </cell>
          <cell r="C528" t="str">
            <v>A</v>
          </cell>
          <cell r="D528" t="str">
            <v>シロキ工業(株)</v>
          </cell>
          <cell r="E528" t="str">
            <v>藤沢工場</v>
          </cell>
          <cell r="J528" t="str">
            <v>252</v>
          </cell>
          <cell r="K528" t="str">
            <v>藤沢市桐原町2</v>
          </cell>
          <cell r="L528" t="str">
            <v xml:space="preserve"> </v>
          </cell>
          <cell r="M528" t="str">
            <v>0466-44-8571</v>
          </cell>
          <cell r="N528" t="str">
            <v>/</v>
          </cell>
          <cell r="Q528" t="str">
            <v xml:space="preserve"> </v>
          </cell>
          <cell r="T528" t="str">
            <v>ｼﾛｷｺｳｷﾞｮｳ</v>
          </cell>
          <cell r="V528" t="str">
            <v>62</v>
          </cell>
        </row>
        <row r="529">
          <cell r="B529" t="str">
            <v>3632</v>
          </cell>
          <cell r="C529" t="str">
            <v>#</v>
          </cell>
          <cell r="D529" t="str">
            <v>タカタ(株)</v>
          </cell>
          <cell r="F529" t="str">
            <v>代表取締役社長</v>
          </cell>
          <cell r="G529" t="str">
            <v>高田　重一郎</v>
          </cell>
          <cell r="H529">
            <v>154</v>
          </cell>
          <cell r="I529">
            <v>460</v>
          </cell>
          <cell r="J529" t="str">
            <v>106</v>
          </cell>
          <cell r="K529" t="str">
            <v>港区六本木1-4-30</v>
          </cell>
          <cell r="L529" t="str">
            <v>第25森ビル</v>
          </cell>
          <cell r="M529" t="str">
            <v>03-3582-5041</v>
          </cell>
          <cell r="N529" t="str">
            <v>/3505-3022</v>
          </cell>
          <cell r="O529" t="str">
            <v>ｼｰﾄﾍﾞﾙﾄ</v>
          </cell>
          <cell r="Q529" t="str">
            <v>◎</v>
          </cell>
          <cell r="R529" t="str">
            <v>□</v>
          </cell>
          <cell r="S529" t="str">
            <v>☆</v>
          </cell>
          <cell r="T529" t="str">
            <v>ﾀｶﾀ</v>
          </cell>
          <cell r="V529" t="str">
            <v>62</v>
          </cell>
        </row>
        <row r="530">
          <cell r="B530" t="str">
            <v>3633</v>
          </cell>
          <cell r="C530" t="str">
            <v>#</v>
          </cell>
          <cell r="D530" t="str">
            <v>日本特殊塗料(株)</v>
          </cell>
          <cell r="F530" t="str">
            <v>代表取締役社長</v>
          </cell>
          <cell r="G530" t="str">
            <v xml:space="preserve">鈴木  淳平 </v>
          </cell>
          <cell r="H530">
            <v>836</v>
          </cell>
          <cell r="I530">
            <v>570</v>
          </cell>
          <cell r="J530" t="str">
            <v>114</v>
          </cell>
          <cell r="K530" t="str">
            <v>北区王子5-16-7</v>
          </cell>
          <cell r="L530" t="str">
            <v xml:space="preserve"> </v>
          </cell>
          <cell r="M530" t="str">
            <v>03-3913-6131</v>
          </cell>
          <cell r="N530" t="str">
            <v>/</v>
          </cell>
          <cell r="O530" t="str">
            <v>メルシート</v>
          </cell>
          <cell r="Q530" t="str">
            <v>◎</v>
          </cell>
          <cell r="R530" t="str">
            <v>□</v>
          </cell>
          <cell r="S530" t="str">
            <v>☆</v>
          </cell>
          <cell r="T530" t="str">
            <v>ﾆﾎﾝﾄｸｼｭﾄﾘｮｳ</v>
          </cell>
          <cell r="V530" t="str">
            <v>62</v>
          </cell>
        </row>
        <row r="531">
          <cell r="B531" t="str">
            <v>3633</v>
          </cell>
          <cell r="C531" t="str">
            <v>A</v>
          </cell>
          <cell r="D531" t="str">
            <v>日本特殊塗料(株)</v>
          </cell>
          <cell r="E531" t="str">
            <v>平塚営業所</v>
          </cell>
          <cell r="F531" t="str">
            <v>営業所長</v>
          </cell>
          <cell r="G531" t="str">
            <v>柴田　学</v>
          </cell>
          <cell r="J531" t="str">
            <v>254</v>
          </cell>
          <cell r="K531" t="str">
            <v>平塚市長瀞1-10</v>
          </cell>
          <cell r="L531" t="str">
            <v xml:space="preserve"> </v>
          </cell>
          <cell r="M531" t="str">
            <v>0463-23-2131</v>
          </cell>
          <cell r="N531" t="str">
            <v>/23-3739</v>
          </cell>
          <cell r="O531" t="str">
            <v>メルシート</v>
          </cell>
          <cell r="Q531" t="str">
            <v xml:space="preserve"> </v>
          </cell>
          <cell r="T531" t="str">
            <v>ﾆﾎﾝﾄｸｼｭﾄﾘｮｳ</v>
          </cell>
          <cell r="V531" t="str">
            <v>62</v>
          </cell>
        </row>
        <row r="532">
          <cell r="B532" t="str">
            <v>3634</v>
          </cell>
          <cell r="C532" t="str">
            <v>#</v>
          </cell>
          <cell r="D532" t="str">
            <v>林テレンプ(株)</v>
          </cell>
          <cell r="F532" t="str">
            <v>取締役社長</v>
          </cell>
          <cell r="G532" t="str">
            <v>林　　勇夫</v>
          </cell>
          <cell r="H532">
            <v>123</v>
          </cell>
          <cell r="I532">
            <v>980</v>
          </cell>
          <cell r="J532" t="str">
            <v>460</v>
          </cell>
          <cell r="K532" t="str">
            <v>名古屋市中区上前津1-4-5</v>
          </cell>
          <cell r="L532" t="str">
            <v xml:space="preserve"> </v>
          </cell>
          <cell r="M532" t="str">
            <v>052-322-2121</v>
          </cell>
          <cell r="N532" t="str">
            <v>/</v>
          </cell>
          <cell r="O532" t="str">
            <v>ｶｰﾍﾟｯﾄ､ﾋﾞﾆｰﾙﾚｻﾞｰ</v>
          </cell>
          <cell r="Q532" t="str">
            <v>◎</v>
          </cell>
          <cell r="R532" t="str">
            <v>□</v>
          </cell>
          <cell r="S532" t="str">
            <v>☆</v>
          </cell>
          <cell r="T532" t="str">
            <v>ﾊﾔｼﾃﾚﾝﾌﾟ</v>
          </cell>
          <cell r="V532" t="str">
            <v>62</v>
          </cell>
        </row>
        <row r="533">
          <cell r="B533" t="str">
            <v>3634</v>
          </cell>
          <cell r="C533" t="str">
            <v>A</v>
          </cell>
          <cell r="D533" t="str">
            <v>林テレンプ(株)</v>
          </cell>
          <cell r="E533" t="str">
            <v>東京支社</v>
          </cell>
          <cell r="F533" t="str">
            <v>取締役</v>
          </cell>
          <cell r="G533" t="str">
            <v>楠原  清司</v>
          </cell>
          <cell r="J533" t="str">
            <v>105</v>
          </cell>
          <cell r="K533" t="str">
            <v>港区東新橋2-5-8</v>
          </cell>
          <cell r="L533" t="str">
            <v xml:space="preserve"> </v>
          </cell>
          <cell r="M533" t="str">
            <v>03-3578-6811</v>
          </cell>
          <cell r="N533" t="str">
            <v>/3578-6820</v>
          </cell>
          <cell r="O533" t="str">
            <v>ｶｰﾍﾟｯﾄ､ﾋﾞﾆｰﾙﾚｻﾞｰ</v>
          </cell>
          <cell r="Q533" t="str">
            <v xml:space="preserve"> </v>
          </cell>
          <cell r="T533" t="str">
            <v>ﾊﾔｼﾃﾚﾝﾌﾟ</v>
          </cell>
          <cell r="V533" t="str">
            <v>62</v>
          </cell>
        </row>
        <row r="534">
          <cell r="B534" t="str">
            <v>3635</v>
          </cell>
          <cell r="C534" t="str">
            <v>#</v>
          </cell>
          <cell r="D534" t="str">
            <v>メトロ電装(株)</v>
          </cell>
          <cell r="F534" t="str">
            <v>代表取締役</v>
          </cell>
          <cell r="G534" t="str">
            <v>田中　正雄</v>
          </cell>
          <cell r="H534">
            <v>10</v>
          </cell>
          <cell r="I534">
            <v>75</v>
          </cell>
          <cell r="J534" t="str">
            <v>211</v>
          </cell>
          <cell r="K534" t="str">
            <v>川崎市中原区新丸子町756-1</v>
          </cell>
          <cell r="L534" t="str">
            <v xml:space="preserve"> </v>
          </cell>
          <cell r="M534" t="str">
            <v>044-711-8751</v>
          </cell>
          <cell r="N534" t="str">
            <v>/711-8755</v>
          </cell>
          <cell r="O534" t="str">
            <v>ﾀｰﾝｼｸﾞﾅﾙSW</v>
          </cell>
          <cell r="P534" t="str">
            <v>▽</v>
          </cell>
          <cell r="Q534" t="str">
            <v>◎</v>
          </cell>
          <cell r="R534" t="str">
            <v>□</v>
          </cell>
          <cell r="S534" t="str">
            <v>☆</v>
          </cell>
          <cell r="T534" t="str">
            <v>ﾒﾄﾛﾃﾞﾝｿｳ</v>
          </cell>
          <cell r="V534" t="str">
            <v>62</v>
          </cell>
        </row>
        <row r="535">
          <cell r="B535" t="str">
            <v>3635</v>
          </cell>
          <cell r="C535" t="str">
            <v>A</v>
          </cell>
          <cell r="D535" t="str">
            <v>メトロ電装(株)</v>
          </cell>
          <cell r="E535" t="str">
            <v>大月工場</v>
          </cell>
          <cell r="J535" t="str">
            <v>401</v>
          </cell>
          <cell r="K535" t="str">
            <v>大月市大月町真木2269</v>
          </cell>
          <cell r="L535" t="str">
            <v xml:space="preserve"> </v>
          </cell>
          <cell r="M535" t="str">
            <v>05542-2-5858</v>
          </cell>
          <cell r="N535" t="str">
            <v>/</v>
          </cell>
          <cell r="P535" t="str">
            <v>▽</v>
          </cell>
          <cell r="Q535" t="str">
            <v xml:space="preserve"> </v>
          </cell>
          <cell r="T535" t="str">
            <v>ﾒﾄﾛﾃﾞﾝｿｳ</v>
          </cell>
          <cell r="V535" t="str">
            <v>62</v>
          </cell>
        </row>
        <row r="536">
          <cell r="B536" t="str">
            <v>3636</v>
          </cell>
          <cell r="C536" t="str">
            <v>#</v>
          </cell>
          <cell r="D536" t="str">
            <v>住友スリーエム(株)</v>
          </cell>
          <cell r="F536" t="str">
            <v>取締役社長</v>
          </cell>
          <cell r="G536" t="str">
            <v>伊藤　朝夫</v>
          </cell>
          <cell r="H536">
            <v>5184</v>
          </cell>
          <cell r="I536">
            <v>1800</v>
          </cell>
          <cell r="J536" t="str">
            <v>158</v>
          </cell>
          <cell r="K536" t="str">
            <v>世田谷区玉川台2-33-1</v>
          </cell>
          <cell r="L536" t="str">
            <v xml:space="preserve"> </v>
          </cell>
          <cell r="M536" t="str">
            <v>03-3709-8111</v>
          </cell>
          <cell r="N536" t="str">
            <v>/</v>
          </cell>
          <cell r="O536" t="str">
            <v>ｽﾄﾗｲｶｰ</v>
          </cell>
          <cell r="Q536" t="str">
            <v xml:space="preserve"> </v>
          </cell>
          <cell r="R536" t="str">
            <v>□</v>
          </cell>
          <cell r="S536" t="str">
            <v>☆</v>
          </cell>
          <cell r="T536" t="str">
            <v>ｽﾐﾄﾓｽﾘｰｴﾑ</v>
          </cell>
          <cell r="V536" t="str">
            <v>62</v>
          </cell>
        </row>
        <row r="537">
          <cell r="B537" t="str">
            <v>3636</v>
          </cell>
          <cell r="C537" t="str">
            <v>A</v>
          </cell>
          <cell r="D537" t="str">
            <v>住友スリーエム(株)</v>
          </cell>
          <cell r="E537" t="str">
            <v>横浜支店</v>
          </cell>
          <cell r="J537" t="str">
            <v>220</v>
          </cell>
          <cell r="K537" t="str">
            <v>横浜市西区北幸2-9-30</v>
          </cell>
          <cell r="L537" t="str">
            <v>リバースチールビル3F</v>
          </cell>
          <cell r="M537" t="str">
            <v>045-323-7646</v>
          </cell>
          <cell r="N537" t="str">
            <v>/323-7611</v>
          </cell>
          <cell r="O537" t="str">
            <v>ｽﾄﾗｲｶｰ</v>
          </cell>
          <cell r="Q537" t="str">
            <v xml:space="preserve"> </v>
          </cell>
          <cell r="T537" t="str">
            <v>ｽﾐﾄﾓｽﾘｰｴﾑ</v>
          </cell>
          <cell r="V537" t="str">
            <v>62</v>
          </cell>
        </row>
        <row r="538">
          <cell r="B538" t="str">
            <v>3638</v>
          </cell>
          <cell r="C538" t="str">
            <v>#</v>
          </cell>
          <cell r="D538" t="str">
            <v>興国ｺﾝﾄﾛｰﾙｹｰﾌﾞﾙ(株)</v>
          </cell>
          <cell r="F538" t="str">
            <v>代表取締役社長</v>
          </cell>
          <cell r="G538" t="str">
            <v>定浪  紀久夫</v>
          </cell>
          <cell r="H538">
            <v>120</v>
          </cell>
          <cell r="I538">
            <v>151</v>
          </cell>
          <cell r="J538" t="str">
            <v>354</v>
          </cell>
          <cell r="K538" t="str">
            <v>埼玉県入間郡大井町大字大井</v>
          </cell>
          <cell r="L538" t="str">
            <v>662</v>
          </cell>
          <cell r="M538" t="str">
            <v>0492-63-7111</v>
          </cell>
          <cell r="N538" t="str">
            <v>/</v>
          </cell>
          <cell r="O538" t="str">
            <v>ｺﾝﾄﾛｰﾙｹｰﾌﾞﾙ</v>
          </cell>
          <cell r="Q538" t="str">
            <v xml:space="preserve"> </v>
          </cell>
          <cell r="R538" t="str">
            <v>□</v>
          </cell>
          <cell r="T538" t="str">
            <v>ｺｳｺｸｺﾝﾄﾛｰﾙｹｰﾌﾞﾙ</v>
          </cell>
          <cell r="V538" t="str">
            <v>56</v>
          </cell>
        </row>
        <row r="539">
          <cell r="B539" t="str">
            <v>3639</v>
          </cell>
          <cell r="C539" t="str">
            <v>#</v>
          </cell>
          <cell r="D539" t="str">
            <v>ﾀﾞｲｷｮｰﾍﾞﾊﾞｽﾄ(株)</v>
          </cell>
          <cell r="F539" t="str">
            <v>代表取締役社長</v>
          </cell>
          <cell r="G539" t="str">
            <v>中野  亨</v>
          </cell>
          <cell r="H539">
            <v>90</v>
          </cell>
          <cell r="I539">
            <v>220</v>
          </cell>
          <cell r="J539" t="str">
            <v>739-01</v>
          </cell>
          <cell r="K539" t="str">
            <v>東広島市八本松町吉川</v>
          </cell>
          <cell r="L539" t="str">
            <v>5702-4</v>
          </cell>
          <cell r="M539" t="str">
            <v>0824-29-0839</v>
          </cell>
          <cell r="N539" t="str">
            <v>/29-0326</v>
          </cell>
          <cell r="O539" t="str">
            <v>ｻﾝﾙｰﾌ</v>
          </cell>
          <cell r="P539" t="str">
            <v>▽</v>
          </cell>
          <cell r="Q539" t="str">
            <v xml:space="preserve"> </v>
          </cell>
          <cell r="R539" t="str">
            <v>□</v>
          </cell>
          <cell r="S539" t="str">
            <v>☆</v>
          </cell>
          <cell r="T539" t="str">
            <v>ﾀﾞｲｷｮｰﾍﾞﾊﾞｽﾄ</v>
          </cell>
          <cell r="V539" t="str">
            <v>62</v>
          </cell>
        </row>
        <row r="540">
          <cell r="B540" t="str">
            <v>3640</v>
          </cell>
          <cell r="C540" t="str">
            <v>#</v>
          </cell>
          <cell r="D540" t="str">
            <v>東京シート(株)</v>
          </cell>
          <cell r="F540" t="str">
            <v>代表取締役</v>
          </cell>
          <cell r="G540" t="str">
            <v>永井  豊美</v>
          </cell>
          <cell r="H540">
            <v>4700</v>
          </cell>
          <cell r="I540">
            <v>1326</v>
          </cell>
          <cell r="J540" t="str">
            <v>351</v>
          </cell>
          <cell r="K540" t="str">
            <v>朝霞市栄町3-7-27</v>
          </cell>
          <cell r="L540" t="str">
            <v xml:space="preserve"> </v>
          </cell>
          <cell r="M540" t="str">
            <v>0484-62-1121</v>
          </cell>
          <cell r="N540" t="str">
            <v>/</v>
          </cell>
          <cell r="O540" t="str">
            <v>ｱｰﾑﾚｽﾄ</v>
          </cell>
          <cell r="Q540" t="str">
            <v xml:space="preserve"> </v>
          </cell>
          <cell r="R540" t="str">
            <v>□</v>
          </cell>
          <cell r="S540" t="str">
            <v>☆</v>
          </cell>
          <cell r="T540" t="str">
            <v>ﾄｳｷｮｳｼｰﾄ</v>
          </cell>
          <cell r="V540" t="str">
            <v>62</v>
          </cell>
        </row>
        <row r="541">
          <cell r="B541" t="str">
            <v>3640</v>
          </cell>
          <cell r="C541" t="str">
            <v>A</v>
          </cell>
          <cell r="D541" t="str">
            <v>東京シート(株)</v>
          </cell>
          <cell r="E541" t="str">
            <v>埼玉第２工場</v>
          </cell>
          <cell r="J541" t="str">
            <v>350-11</v>
          </cell>
          <cell r="K541" t="str">
            <v>川越市南台1-10-2</v>
          </cell>
          <cell r="L541" t="str">
            <v xml:space="preserve"> </v>
          </cell>
          <cell r="M541" t="str">
            <v>0492-43-1553</v>
          </cell>
          <cell r="N541" t="str">
            <v>/41-9962</v>
          </cell>
          <cell r="O541" t="str">
            <v>ｱｰﾑﾚｽﾄ</v>
          </cell>
          <cell r="Q541" t="str">
            <v xml:space="preserve"> </v>
          </cell>
          <cell r="T541" t="str">
            <v>ﾄｳｷｮｳｼｰﾄ</v>
          </cell>
          <cell r="V541" t="str">
            <v>62</v>
          </cell>
        </row>
        <row r="542">
          <cell r="B542" t="str">
            <v>3641</v>
          </cell>
          <cell r="C542" t="str">
            <v>#</v>
          </cell>
          <cell r="D542" t="str">
            <v>東陽工業(株)</v>
          </cell>
          <cell r="F542" t="str">
            <v>代表取締役社長</v>
          </cell>
          <cell r="G542" t="str">
            <v>元野　善夫</v>
          </cell>
          <cell r="H542">
            <v>115</v>
          </cell>
          <cell r="I542">
            <v>217</v>
          </cell>
          <cell r="J542" t="str">
            <v>547</v>
          </cell>
          <cell r="K542" t="str">
            <v>大阪市平野区西脇4-1-50</v>
          </cell>
          <cell r="L542" t="str">
            <v xml:space="preserve"> </v>
          </cell>
          <cell r="M542" t="str">
            <v>06-702-5567</v>
          </cell>
          <cell r="N542" t="str">
            <v>/</v>
          </cell>
          <cell r="O542" t="str">
            <v>バックミラー</v>
          </cell>
          <cell r="Q542" t="str">
            <v xml:space="preserve"> </v>
          </cell>
          <cell r="T542" t="str">
            <v>ﾄｳﾖｳｺｳｷﾞｮｳ</v>
          </cell>
          <cell r="V542" t="str">
            <v>62</v>
          </cell>
        </row>
        <row r="543">
          <cell r="B543" t="str">
            <v>3641</v>
          </cell>
          <cell r="C543" t="str">
            <v>A</v>
          </cell>
          <cell r="D543" t="str">
            <v>東陽工業(株)</v>
          </cell>
          <cell r="E543" t="str">
            <v>八尾工場</v>
          </cell>
          <cell r="F543" t="str">
            <v>取締役営業部長</v>
          </cell>
          <cell r="G543" t="str">
            <v>元野　皖之</v>
          </cell>
          <cell r="J543" t="str">
            <v>581</v>
          </cell>
          <cell r="K543" t="str">
            <v>八尾市跡部北ノ町3-3-3</v>
          </cell>
          <cell r="L543" t="str">
            <v xml:space="preserve"> </v>
          </cell>
          <cell r="M543" t="str">
            <v>0729-92-1050</v>
          </cell>
          <cell r="N543" t="str">
            <v>/92-3872</v>
          </cell>
          <cell r="O543" t="str">
            <v>バックミラー</v>
          </cell>
          <cell r="Q543" t="str">
            <v xml:space="preserve"> </v>
          </cell>
          <cell r="T543" t="str">
            <v>ﾄｳﾖｳｺｳｷﾞｮｳ</v>
          </cell>
          <cell r="V543" t="str">
            <v>62</v>
          </cell>
        </row>
        <row r="544">
          <cell r="B544" t="str">
            <v>3642</v>
          </cell>
          <cell r="C544" t="str">
            <v>#</v>
          </cell>
          <cell r="D544" t="str">
            <v>(株)エクシング</v>
          </cell>
          <cell r="F544" t="str">
            <v>代表取締役社長</v>
          </cell>
          <cell r="G544" t="str">
            <v xml:space="preserve">馬場  </v>
          </cell>
          <cell r="H544">
            <v>283</v>
          </cell>
          <cell r="I544">
            <v>548</v>
          </cell>
          <cell r="J544" t="str">
            <v>661</v>
          </cell>
          <cell r="K544" t="str">
            <v>尼崎市神崎町12-39</v>
          </cell>
          <cell r="L544" t="str">
            <v xml:space="preserve"> </v>
          </cell>
          <cell r="M544" t="str">
            <v>044-287-2410</v>
          </cell>
          <cell r="N544" t="str">
            <v>/287-2413</v>
          </cell>
          <cell r="O544" t="str">
            <v>粘着シート,塗料</v>
          </cell>
          <cell r="Q544" t="str">
            <v xml:space="preserve"> </v>
          </cell>
          <cell r="R544" t="str">
            <v>□</v>
          </cell>
          <cell r="S544" t="str">
            <v>☆</v>
          </cell>
          <cell r="T544" t="str">
            <v>ｴｸｼﾝｸﾞ</v>
          </cell>
          <cell r="V544" t="str">
            <v>62</v>
          </cell>
        </row>
        <row r="545">
          <cell r="B545" t="str">
            <v>3643</v>
          </cell>
          <cell r="C545" t="str">
            <v>#</v>
          </cell>
          <cell r="D545" t="str">
            <v>日本ゼオン(株)</v>
          </cell>
          <cell r="F545" t="str">
            <v>取締役社長</v>
          </cell>
          <cell r="G545" t="str">
            <v>中野  克彦</v>
          </cell>
          <cell r="H545">
            <v>21983</v>
          </cell>
          <cell r="I545">
            <v>3070</v>
          </cell>
          <cell r="J545" t="str">
            <v>100</v>
          </cell>
          <cell r="K545" t="str">
            <v>千代田区丸の内2-6-1</v>
          </cell>
          <cell r="L545" t="str">
            <v xml:space="preserve"> </v>
          </cell>
          <cell r="M545" t="str">
            <v>03-3216-1783</v>
          </cell>
          <cell r="N545" t="str">
            <v>/3216-1826</v>
          </cell>
          <cell r="O545" t="str">
            <v>310用バンパ－</v>
          </cell>
          <cell r="Q545" t="str">
            <v xml:space="preserve"> </v>
          </cell>
          <cell r="R545" t="str">
            <v>□</v>
          </cell>
          <cell r="S545" t="str">
            <v>☆</v>
          </cell>
          <cell r="T545" t="str">
            <v xml:space="preserve">ﾆﾎﾝｾﾞｵﾝ </v>
          </cell>
          <cell r="V545" t="str">
            <v>62</v>
          </cell>
        </row>
        <row r="546">
          <cell r="B546" t="str">
            <v>3644</v>
          </cell>
          <cell r="C546" t="str">
            <v>#</v>
          </cell>
          <cell r="D546" t="str">
            <v>ヤマックス（株）</v>
          </cell>
          <cell r="F546" t="str">
            <v>代表取締役</v>
          </cell>
          <cell r="G546" t="str">
            <v>山下  保</v>
          </cell>
          <cell r="H546">
            <v>40</v>
          </cell>
          <cell r="I546">
            <v>234</v>
          </cell>
          <cell r="J546">
            <v>531</v>
          </cell>
          <cell r="K546" t="str">
            <v>大阪市北区中津1-16-31</v>
          </cell>
          <cell r="L546" t="str">
            <v xml:space="preserve"> </v>
          </cell>
          <cell r="M546" t="str">
            <v>03-3862-4481</v>
          </cell>
          <cell r="N546" t="str">
            <v>/3851-4831</v>
          </cell>
          <cell r="O546" t="str">
            <v>ステッカー関係</v>
          </cell>
          <cell r="P546" t="str">
            <v>▽</v>
          </cell>
          <cell r="T546" t="str">
            <v>ﾔﾏｯｸｽ KK</v>
          </cell>
          <cell r="V546" t="str">
            <v>62</v>
          </cell>
        </row>
        <row r="547">
          <cell r="B547" t="str">
            <v>4513</v>
          </cell>
          <cell r="C547" t="str">
            <v>#</v>
          </cell>
          <cell r="D547" t="str">
            <v>日本セキソー工業(株)</v>
          </cell>
          <cell r="F547" t="str">
            <v>取締役社長</v>
          </cell>
          <cell r="G547" t="str">
            <v>山田　巌男</v>
          </cell>
          <cell r="H547">
            <v>50</v>
          </cell>
          <cell r="I547">
            <v>245</v>
          </cell>
          <cell r="J547" t="str">
            <v>460</v>
          </cell>
          <cell r="K547" t="str">
            <v>名古屋市中区大須4-1-71</v>
          </cell>
          <cell r="L547" t="str">
            <v xml:space="preserve"> </v>
          </cell>
          <cell r="M547" t="str">
            <v>052-261-7541</v>
          </cell>
          <cell r="N547" t="str">
            <v>/</v>
          </cell>
          <cell r="O547" t="str">
            <v>ｸﾞﾛｰﾌﾞﾎﾞｯｸｽ</v>
          </cell>
          <cell r="P547" t="str">
            <v>▽</v>
          </cell>
          <cell r="Q547" t="str">
            <v xml:space="preserve"> </v>
          </cell>
          <cell r="S547" t="str">
            <v>☆</v>
          </cell>
          <cell r="T547" t="str">
            <v>ﾆﾎﾝｾｷｿｰｺｳｷﾞｮｳ</v>
          </cell>
          <cell r="V547" t="str">
            <v>62</v>
          </cell>
        </row>
        <row r="548">
          <cell r="B548" t="str">
            <v>4513</v>
          </cell>
          <cell r="C548" t="str">
            <v>A</v>
          </cell>
          <cell r="D548" t="str">
            <v>日本セキソー工業(株)</v>
          </cell>
          <cell r="E548" t="str">
            <v>岡崎工場</v>
          </cell>
          <cell r="F548" t="str">
            <v>常務取締役</v>
          </cell>
          <cell r="G548" t="str">
            <v>下村　吉郎</v>
          </cell>
          <cell r="J548" t="str">
            <v>444</v>
          </cell>
          <cell r="K548" t="str">
            <v>岡崎市日名北町1-3</v>
          </cell>
          <cell r="L548" t="str">
            <v xml:space="preserve"> </v>
          </cell>
          <cell r="M548" t="str">
            <v>0564-25-2121</v>
          </cell>
          <cell r="N548" t="str">
            <v>/22-6139</v>
          </cell>
          <cell r="O548" t="str">
            <v>ｸﾞﾛｰﾌﾞﾎﾞｯｸｽ</v>
          </cell>
          <cell r="P548" t="str">
            <v>▽</v>
          </cell>
          <cell r="Q548" t="str">
            <v xml:space="preserve"> </v>
          </cell>
          <cell r="T548" t="str">
            <v>ﾆﾎﾝｾｷｿｰｺｳｷﾞｮｳ</v>
          </cell>
          <cell r="V548" t="str">
            <v>62</v>
          </cell>
        </row>
        <row r="549">
          <cell r="B549" t="str">
            <v>4514</v>
          </cell>
          <cell r="C549" t="str">
            <v>#</v>
          </cell>
          <cell r="D549" t="str">
            <v>(株)今仙電機製作所</v>
          </cell>
          <cell r="F549" t="str">
            <v>取締役社長</v>
          </cell>
          <cell r="G549" t="str">
            <v>谷津　義雄</v>
          </cell>
          <cell r="H549">
            <v>300</v>
          </cell>
          <cell r="I549">
            <v>880</v>
          </cell>
          <cell r="J549" t="str">
            <v>484</v>
          </cell>
          <cell r="K549" t="str">
            <v>犬山市楽田字柿畑1</v>
          </cell>
          <cell r="L549" t="str">
            <v xml:space="preserve"> </v>
          </cell>
          <cell r="M549" t="str">
            <v>0568-67-1211</v>
          </cell>
          <cell r="N549" t="str">
            <v>/</v>
          </cell>
          <cell r="O549" t="str">
            <v>ライニングシート装置</v>
          </cell>
          <cell r="Q549" t="str">
            <v>◎</v>
          </cell>
          <cell r="R549" t="str">
            <v>□</v>
          </cell>
          <cell r="S549" t="str">
            <v>☆</v>
          </cell>
          <cell r="T549" t="str">
            <v>ｲﾏｾﾃﾞﾝｷｾｲｻｸｼｮ</v>
          </cell>
          <cell r="V549" t="str">
            <v>62</v>
          </cell>
        </row>
        <row r="550">
          <cell r="B550" t="str">
            <v>4514</v>
          </cell>
          <cell r="C550" t="str">
            <v>A</v>
          </cell>
          <cell r="D550" t="str">
            <v>(株)今仙電機製作所</v>
          </cell>
          <cell r="E550" t="str">
            <v>東京支店</v>
          </cell>
          <cell r="J550" t="str">
            <v>164</v>
          </cell>
          <cell r="K550" t="str">
            <v>中野区東中野2-6-23</v>
          </cell>
          <cell r="L550" t="str">
            <v xml:space="preserve"> </v>
          </cell>
          <cell r="M550" t="str">
            <v>03-3363-1421</v>
          </cell>
          <cell r="N550" t="str">
            <v>/3363-1425</v>
          </cell>
          <cell r="O550" t="str">
            <v>ライニングシート装置</v>
          </cell>
          <cell r="Q550" t="str">
            <v xml:space="preserve"> </v>
          </cell>
          <cell r="T550" t="str">
            <v>ｲﾏｾﾃﾞﾝｷｾｲｻｸｼｮ</v>
          </cell>
          <cell r="V550" t="str">
            <v>62</v>
          </cell>
        </row>
        <row r="551">
          <cell r="B551" t="str">
            <v>4515</v>
          </cell>
          <cell r="C551" t="str">
            <v>#</v>
          </cell>
          <cell r="D551" t="str">
            <v>新三工商事(株)</v>
          </cell>
          <cell r="F551" t="str">
            <v>取締役社長</v>
          </cell>
          <cell r="G551" t="str">
            <v>平手　二郎</v>
          </cell>
          <cell r="H551">
            <v>210</v>
          </cell>
          <cell r="I551">
            <v>119</v>
          </cell>
          <cell r="J551" t="str">
            <v>465</v>
          </cell>
          <cell r="K551" t="str">
            <v>名古屋市名東区高社2-245</v>
          </cell>
          <cell r="L551" t="str">
            <v xml:space="preserve"> </v>
          </cell>
          <cell r="M551" t="str">
            <v>052-772-1151</v>
          </cell>
          <cell r="N551" t="str">
            <v>/</v>
          </cell>
          <cell r="O551" t="str">
            <v>ｽﾍﾟｱﾀｲﾔﾊﾝｶﾞｰ</v>
          </cell>
          <cell r="Q551" t="str">
            <v>◎</v>
          </cell>
          <cell r="R551" t="str">
            <v>□</v>
          </cell>
          <cell r="S551" t="str">
            <v>☆</v>
          </cell>
          <cell r="T551" t="str">
            <v>ｼﾝｻﾝｺｳｼｮｳｼﾞ</v>
          </cell>
          <cell r="V551" t="str">
            <v>64</v>
          </cell>
        </row>
        <row r="552">
          <cell r="B552" t="str">
            <v>4515</v>
          </cell>
          <cell r="C552" t="str">
            <v>A</v>
          </cell>
          <cell r="D552" t="str">
            <v>新三工商事(株)</v>
          </cell>
          <cell r="E552" t="str">
            <v>東京第二営業所</v>
          </cell>
          <cell r="F552" t="str">
            <v>所長</v>
          </cell>
          <cell r="G552" t="str">
            <v>粥川　柳太郎</v>
          </cell>
          <cell r="J552" t="str">
            <v>108</v>
          </cell>
          <cell r="K552" t="str">
            <v>港区高輪3-25-33</v>
          </cell>
          <cell r="L552" t="str">
            <v>長田ﾋﾞﾙ5階</v>
          </cell>
          <cell r="M552" t="str">
            <v>03-5449-1513</v>
          </cell>
          <cell r="N552" t="str">
            <v>/5449-1535</v>
          </cell>
          <cell r="O552" t="str">
            <v>ｽﾍﾟｱﾀｲﾔﾊﾝｶﾞｰ</v>
          </cell>
          <cell r="Q552" t="str">
            <v xml:space="preserve"> </v>
          </cell>
          <cell r="T552" t="str">
            <v>ｼﾝｻﾝｺｳｼｮｳｼﾞ</v>
          </cell>
          <cell r="V552" t="str">
            <v>64</v>
          </cell>
        </row>
        <row r="553">
          <cell r="B553" t="str">
            <v>4600</v>
          </cell>
          <cell r="C553" t="str">
            <v>#</v>
          </cell>
          <cell r="D553" t="str">
            <v>(株)アイコム</v>
          </cell>
          <cell r="F553" t="str">
            <v>代表取締役</v>
          </cell>
          <cell r="G553" t="str">
            <v>原田  省三</v>
          </cell>
          <cell r="H553">
            <v>12</v>
          </cell>
          <cell r="I553">
            <v>21</v>
          </cell>
          <cell r="J553" t="str">
            <v>305</v>
          </cell>
          <cell r="K553" t="str">
            <v>茨城県つくば研究学園都市</v>
          </cell>
          <cell r="L553" t="str">
            <v>上横場1906</v>
          </cell>
          <cell r="M553" t="str">
            <v>03-3298-1121</v>
          </cell>
          <cell r="N553" t="str">
            <v>/</v>
          </cell>
          <cell r="O553" t="str">
            <v>100Pﾌﾛﾝﾄｴｱﾛﾊﾞｲｻﾞｰ</v>
          </cell>
          <cell r="P553" t="str">
            <v>▽</v>
          </cell>
          <cell r="T553" t="str">
            <v>ｱｲｺﾑ</v>
          </cell>
          <cell r="V553" t="str">
            <v>30</v>
          </cell>
        </row>
        <row r="554">
          <cell r="B554" t="str">
            <v>4601</v>
          </cell>
          <cell r="C554" t="str">
            <v>#</v>
          </cell>
          <cell r="D554" t="str">
            <v>(株)タチバナ製作所</v>
          </cell>
          <cell r="F554" t="str">
            <v>代表取締役</v>
          </cell>
          <cell r="G554" t="str">
            <v>湯山  忠孝</v>
          </cell>
          <cell r="H554">
            <v>23</v>
          </cell>
          <cell r="I554">
            <v>35</v>
          </cell>
          <cell r="J554" t="str">
            <v>241</v>
          </cell>
          <cell r="K554" t="str">
            <v>横浜市旭区上白根町1105</v>
          </cell>
          <cell r="L554" t="str">
            <v xml:space="preserve"> </v>
          </cell>
          <cell r="M554" t="str">
            <v>045-952-2344</v>
          </cell>
          <cell r="N554" t="str">
            <v>/952-0274</v>
          </cell>
          <cell r="O554" t="str">
            <v>F*R D/cab</v>
          </cell>
          <cell r="P554" t="str">
            <v>▽</v>
          </cell>
          <cell r="Q554" t="str">
            <v xml:space="preserve"> </v>
          </cell>
          <cell r="R554" t="str">
            <v>□</v>
          </cell>
          <cell r="S554" t="str">
            <v>☆</v>
          </cell>
          <cell r="T554" t="str">
            <v>ﾀﾁﾊﾞﾅｾｲｻｸｼｮ</v>
          </cell>
          <cell r="V554" t="str">
            <v>64</v>
          </cell>
        </row>
        <row r="555">
          <cell r="B555" t="str">
            <v>4602</v>
          </cell>
          <cell r="C555" t="str">
            <v>#</v>
          </cell>
          <cell r="D555" t="str">
            <v>(株)トップス</v>
          </cell>
          <cell r="F555" t="str">
            <v>代表取締役</v>
          </cell>
          <cell r="G555" t="str">
            <v>堀内  武彦</v>
          </cell>
          <cell r="H555">
            <v>28</v>
          </cell>
          <cell r="I555">
            <v>59</v>
          </cell>
          <cell r="J555" t="str">
            <v>242</v>
          </cell>
          <cell r="K555" t="str">
            <v>大和市柳橋4-3-5</v>
          </cell>
          <cell r="L555" t="str">
            <v xml:space="preserve"> </v>
          </cell>
          <cell r="M555" t="str">
            <v>0462-53-7331</v>
          </cell>
          <cell r="N555" t="str">
            <v>/54-9755</v>
          </cell>
          <cell r="O555" t="str">
            <v>ｴｱﾃﾞﾌ･ｻｲﾄﾞﾊﾟﾈﾙ･ｴｱﾀﾞﾑ･ｲﾝｼｭﾚｰﾀｰ･ｽﾀﾝﾄﾞ</v>
          </cell>
          <cell r="P555" t="str">
            <v>▽</v>
          </cell>
          <cell r="Q555" t="str">
            <v xml:space="preserve"> </v>
          </cell>
          <cell r="R555" t="str">
            <v>□</v>
          </cell>
          <cell r="S555" t="str">
            <v>☆</v>
          </cell>
          <cell r="T555" t="str">
            <v>ﾄｯﾌﾟｽ</v>
          </cell>
          <cell r="V555" t="str">
            <v>62</v>
          </cell>
        </row>
        <row r="556">
          <cell r="B556" t="str">
            <v>4603</v>
          </cell>
          <cell r="C556" t="str">
            <v>#</v>
          </cell>
          <cell r="D556" t="str">
            <v>(株)岩附</v>
          </cell>
          <cell r="F556" t="str">
            <v>代表取締役</v>
          </cell>
          <cell r="G556" t="str">
            <v>岩附  四郎</v>
          </cell>
          <cell r="H556">
            <v>10</v>
          </cell>
          <cell r="I556">
            <v>22</v>
          </cell>
          <cell r="J556" t="str">
            <v>254</v>
          </cell>
          <cell r="K556" t="str">
            <v>平塚市田村1848-1</v>
          </cell>
          <cell r="L556" t="str">
            <v xml:space="preserve"> </v>
          </cell>
          <cell r="M556" t="str">
            <v>0463-55-4883</v>
          </cell>
          <cell r="N556" t="str">
            <v>/55-0043</v>
          </cell>
          <cell r="O556" t="str">
            <v>FRP製品　</v>
          </cell>
          <cell r="P556" t="str">
            <v>▽</v>
          </cell>
          <cell r="Q556" t="str">
            <v xml:space="preserve"> </v>
          </cell>
          <cell r="R556" t="str">
            <v>□</v>
          </cell>
          <cell r="S556" t="str">
            <v>☆</v>
          </cell>
          <cell r="T556" t="str">
            <v>ｲﾜﾂｷ</v>
          </cell>
          <cell r="V556" t="str">
            <v>62</v>
          </cell>
        </row>
        <row r="557">
          <cell r="B557" t="str">
            <v>4605</v>
          </cell>
          <cell r="C557" t="str">
            <v>#</v>
          </cell>
          <cell r="D557" t="str">
            <v>相模塗装(株)</v>
          </cell>
          <cell r="F557" t="str">
            <v>代表取締役</v>
          </cell>
          <cell r="G557" t="str">
            <v>相模  延行</v>
          </cell>
          <cell r="H557">
            <v>40</v>
          </cell>
          <cell r="I557">
            <v>50</v>
          </cell>
          <cell r="J557" t="str">
            <v>254</v>
          </cell>
          <cell r="K557" t="str">
            <v>平塚市東八幡5-10-2</v>
          </cell>
          <cell r="L557" t="str">
            <v xml:space="preserve"> </v>
          </cell>
          <cell r="M557" t="str">
            <v>0463-21-5038</v>
          </cell>
          <cell r="N557" t="str">
            <v>/22-5760</v>
          </cell>
          <cell r="O557" t="str">
            <v>PLATE H/SHELT</v>
          </cell>
          <cell r="P557" t="str">
            <v>▽</v>
          </cell>
          <cell r="Q557" t="str">
            <v xml:space="preserve"> </v>
          </cell>
          <cell r="R557" t="str">
            <v>□</v>
          </cell>
          <cell r="S557" t="str">
            <v>☆</v>
          </cell>
          <cell r="T557" t="str">
            <v>ｻｶﾞﾐﾄｿｳ</v>
          </cell>
          <cell r="V557" t="str">
            <v>62</v>
          </cell>
        </row>
        <row r="558">
          <cell r="B558" t="str">
            <v>4606</v>
          </cell>
          <cell r="C558" t="str">
            <v>#</v>
          </cell>
          <cell r="D558" t="str">
            <v>大榮産業(株)</v>
          </cell>
          <cell r="F558" t="str">
            <v>取締役社長</v>
          </cell>
          <cell r="G558" t="str">
            <v>岡本  藤太</v>
          </cell>
          <cell r="H558">
            <v>200</v>
          </cell>
          <cell r="I558">
            <v>187</v>
          </cell>
          <cell r="J558" t="str">
            <v>453</v>
          </cell>
          <cell r="K558" t="str">
            <v>名古屋市中村区本陣通4-18</v>
          </cell>
          <cell r="L558" t="str">
            <v xml:space="preserve"> </v>
          </cell>
          <cell r="M558" t="str">
            <v>03-3764-6371</v>
          </cell>
          <cell r="N558" t="str">
            <v>/3766-8186</v>
          </cell>
          <cell r="O558" t="str">
            <v>ﾄﾞｱｳｪｻﾞｽﾄﾘｯﾌﾟ</v>
          </cell>
          <cell r="Q558" t="str">
            <v xml:space="preserve"> </v>
          </cell>
          <cell r="R558" t="str">
            <v>□</v>
          </cell>
          <cell r="S558" t="str">
            <v>☆</v>
          </cell>
          <cell r="T558" t="str">
            <v>ﾀﾞｲｴｲｻﾝｷﾞｮｳ</v>
          </cell>
          <cell r="V558" t="str">
            <v>62</v>
          </cell>
        </row>
        <row r="559">
          <cell r="B559" t="str">
            <v>4608</v>
          </cell>
          <cell r="C559" t="str">
            <v>#</v>
          </cell>
          <cell r="D559" t="str">
            <v>(株)マンビン　</v>
          </cell>
          <cell r="F559" t="str">
            <v>代表取締役</v>
          </cell>
          <cell r="G559" t="str">
            <v>田中  弘司</v>
          </cell>
          <cell r="H559">
            <v>30</v>
          </cell>
          <cell r="I559">
            <v>51</v>
          </cell>
          <cell r="J559" t="str">
            <v>140</v>
          </cell>
          <cell r="K559" t="str">
            <v>品川区南大井1-1-14</v>
          </cell>
          <cell r="L559" t="str">
            <v>（白井工場）</v>
          </cell>
          <cell r="M559" t="str">
            <v>0474-97-0667</v>
          </cell>
          <cell r="N559" t="str">
            <v>/97-0917</v>
          </cell>
          <cell r="O559" t="str">
            <v>SCREW･切削加工品</v>
          </cell>
          <cell r="P559" t="str">
            <v>▽</v>
          </cell>
          <cell r="Q559" t="str">
            <v xml:space="preserve"> </v>
          </cell>
          <cell r="R559" t="str">
            <v>□</v>
          </cell>
          <cell r="S559" t="str">
            <v>☆</v>
          </cell>
          <cell r="T559" t="str">
            <v xml:space="preserve">ﾏﾝﾋﾞﾝ </v>
          </cell>
          <cell r="V559" t="str">
            <v>64</v>
          </cell>
        </row>
        <row r="560">
          <cell r="B560" t="str">
            <v>4609</v>
          </cell>
          <cell r="C560" t="str">
            <v>#</v>
          </cell>
          <cell r="D560" t="str">
            <v>共和産業(株)</v>
          </cell>
          <cell r="F560" t="str">
            <v>代表取締役社長</v>
          </cell>
          <cell r="G560" t="str">
            <v>安井  幹夫</v>
          </cell>
          <cell r="H560">
            <v>40</v>
          </cell>
          <cell r="I560">
            <v>404</v>
          </cell>
          <cell r="J560" t="str">
            <v>471</v>
          </cell>
          <cell r="K560" t="str">
            <v>豊田市衣ヶ原3-1</v>
          </cell>
          <cell r="L560" t="str">
            <v xml:space="preserve"> </v>
          </cell>
          <cell r="M560" t="str">
            <v>0565-32-4652</v>
          </cell>
          <cell r="N560" t="str">
            <v>/32-4650</v>
          </cell>
          <cell r="O560" t="str">
            <v>ｻﾝﾊﾞｲｻﾞｰ</v>
          </cell>
          <cell r="P560" t="str">
            <v>▽</v>
          </cell>
          <cell r="Q560" t="str">
            <v xml:space="preserve"> </v>
          </cell>
          <cell r="R560" t="str">
            <v>□</v>
          </cell>
          <cell r="S560" t="str">
            <v>☆</v>
          </cell>
          <cell r="T560" t="str">
            <v>ｷｮｳﾜｻﾝｷﾞｮｳ</v>
          </cell>
          <cell r="V560" t="str">
            <v>62</v>
          </cell>
        </row>
        <row r="561">
          <cell r="B561" t="str">
            <v>4610</v>
          </cell>
          <cell r="C561" t="str">
            <v>#</v>
          </cell>
          <cell r="D561" t="str">
            <v>日東電材(株)</v>
          </cell>
          <cell r="F561" t="str">
            <v>代表取締役</v>
          </cell>
          <cell r="G561" t="str">
            <v>池田  俊司</v>
          </cell>
          <cell r="H561">
            <v>48</v>
          </cell>
          <cell r="I561">
            <v>131</v>
          </cell>
          <cell r="J561" t="str">
            <v>101</v>
          </cell>
          <cell r="K561" t="str">
            <v>千代田区神田小川町1-1-1</v>
          </cell>
          <cell r="L561" t="str">
            <v>日幸神田ﾋﾞﾙ8F</v>
          </cell>
          <cell r="M561" t="str">
            <v>0472-51-3601</v>
          </cell>
          <cell r="N561" t="str">
            <v>/51-3577</v>
          </cell>
          <cell r="O561" t="str">
            <v>ｳｫｰﾀｰｼｰﾙ･真空成形品　</v>
          </cell>
          <cell r="P561" t="str">
            <v>▽</v>
          </cell>
          <cell r="Q561" t="str">
            <v xml:space="preserve"> </v>
          </cell>
          <cell r="R561" t="str">
            <v>□</v>
          </cell>
          <cell r="S561" t="str">
            <v>☆</v>
          </cell>
          <cell r="T561" t="str">
            <v>ﾆｯﾄｳﾃﾞﾝｻﾞｲ</v>
          </cell>
          <cell r="V561" t="str">
            <v>62</v>
          </cell>
        </row>
        <row r="562">
          <cell r="B562" t="str">
            <v>4611</v>
          </cell>
          <cell r="C562" t="str">
            <v>#</v>
          </cell>
          <cell r="D562" t="str">
            <v>東海興業(株)</v>
          </cell>
          <cell r="F562" t="str">
            <v>代表取締役社長</v>
          </cell>
          <cell r="G562" t="str">
            <v>木村  勝昭</v>
          </cell>
          <cell r="H562">
            <v>100.45</v>
          </cell>
          <cell r="I562">
            <v>757</v>
          </cell>
          <cell r="J562" t="str">
            <v>474</v>
          </cell>
          <cell r="K562" t="str">
            <v>大府市長根町4-1</v>
          </cell>
          <cell r="L562" t="str">
            <v xml:space="preserve"> </v>
          </cell>
          <cell r="M562" t="str">
            <v>03-3343-4756</v>
          </cell>
          <cell r="N562" t="str">
            <v>/3348-3575</v>
          </cell>
          <cell r="O562" t="str">
            <v>ｳｲﾝﾄﾞﾓｰﾙ･ｻﾌﾞｼﾌﾚ</v>
          </cell>
          <cell r="Q562" t="str">
            <v xml:space="preserve"> </v>
          </cell>
          <cell r="R562" t="str">
            <v>□</v>
          </cell>
          <cell r="S562" t="str">
            <v>☆</v>
          </cell>
          <cell r="T562" t="str">
            <v>ﾄｳｶｲｺｳｷﾞｮｳ</v>
          </cell>
          <cell r="V562" t="str">
            <v>62</v>
          </cell>
        </row>
        <row r="563">
          <cell r="B563" t="str">
            <v>4612</v>
          </cell>
          <cell r="C563" t="str">
            <v>#</v>
          </cell>
          <cell r="D563" t="str">
            <v>(株)サニ－化成</v>
          </cell>
          <cell r="F563" t="str">
            <v>代表取締役社長</v>
          </cell>
          <cell r="G563" t="str">
            <v>小清水  徹</v>
          </cell>
          <cell r="H563">
            <v>10</v>
          </cell>
          <cell r="I563">
            <v>90</v>
          </cell>
          <cell r="J563" t="str">
            <v>257</v>
          </cell>
          <cell r="K563" t="str">
            <v>秦野市上今川町7-14</v>
          </cell>
          <cell r="L563" t="str">
            <v xml:space="preserve"> </v>
          </cell>
          <cell r="M563" t="str">
            <v>0463-81-3652</v>
          </cell>
          <cell r="N563" t="str">
            <v>/82-9531</v>
          </cell>
          <cell r="O563" t="str">
            <v>INJ成形品</v>
          </cell>
          <cell r="P563" t="str">
            <v>▽</v>
          </cell>
          <cell r="Q563" t="str">
            <v xml:space="preserve"> </v>
          </cell>
          <cell r="R563" t="str">
            <v>□</v>
          </cell>
          <cell r="S563" t="str">
            <v>☆</v>
          </cell>
          <cell r="T563" t="str">
            <v>ｻﾆｰｶｾｲ</v>
          </cell>
          <cell r="V563" t="str">
            <v>62</v>
          </cell>
        </row>
        <row r="564">
          <cell r="B564" t="str">
            <v>4613</v>
          </cell>
          <cell r="C564" t="str">
            <v>#</v>
          </cell>
          <cell r="D564" t="str">
            <v>岳南有機(株)</v>
          </cell>
          <cell r="F564" t="str">
            <v>取締役社長</v>
          </cell>
          <cell r="G564" t="str">
            <v>鑓田  繁</v>
          </cell>
          <cell r="H564">
            <v>30</v>
          </cell>
          <cell r="I564">
            <v>70</v>
          </cell>
          <cell r="J564" t="str">
            <v>417</v>
          </cell>
          <cell r="K564" t="str">
            <v>富士市伝法1275-1</v>
          </cell>
          <cell r="L564" t="str">
            <v xml:space="preserve"> </v>
          </cell>
          <cell r="M564" t="str">
            <v>0545-52-4195</v>
          </cell>
          <cell r="N564" t="str">
            <v>/51-6731</v>
          </cell>
          <cell r="O564" t="str">
            <v>VIRTICAL INTAKE</v>
          </cell>
          <cell r="P564" t="str">
            <v>▽</v>
          </cell>
          <cell r="Q564" t="str">
            <v xml:space="preserve"> </v>
          </cell>
          <cell r="R564" t="str">
            <v>□</v>
          </cell>
          <cell r="S564" t="str">
            <v>☆</v>
          </cell>
          <cell r="T564" t="str">
            <v>ｶﾞｸﾅﾝﾕｳｷ</v>
          </cell>
          <cell r="V564" t="str">
            <v>62</v>
          </cell>
        </row>
        <row r="565">
          <cell r="B565" t="str">
            <v>4614</v>
          </cell>
          <cell r="C565" t="str">
            <v>#</v>
          </cell>
          <cell r="D565" t="str">
            <v>(株)三陽電機製作所</v>
          </cell>
          <cell r="F565" t="str">
            <v>取締役社長</v>
          </cell>
          <cell r="G565" t="str">
            <v>杉本  眞</v>
          </cell>
          <cell r="H565">
            <v>200</v>
          </cell>
          <cell r="I565">
            <v>467</v>
          </cell>
          <cell r="J565" t="str">
            <v>502</v>
          </cell>
          <cell r="K565" t="str">
            <v>岐阜市上土居2-4-1</v>
          </cell>
          <cell r="L565" t="str">
            <v xml:space="preserve"> </v>
          </cell>
          <cell r="M565" t="str">
            <v>058-323-6245</v>
          </cell>
          <cell r="N565" t="str">
            <v>/323-6348</v>
          </cell>
          <cell r="O565" t="str">
            <v>自動車用蛍光灯</v>
          </cell>
          <cell r="Q565" t="str">
            <v xml:space="preserve"> </v>
          </cell>
          <cell r="R565" t="str">
            <v>□</v>
          </cell>
          <cell r="S565" t="str">
            <v>☆</v>
          </cell>
          <cell r="T565" t="str">
            <v>ｻﾝﾖｳﾃﾞﾝｷｾｲｻｸｼｮ</v>
          </cell>
          <cell r="V565" t="str">
            <v>62</v>
          </cell>
        </row>
        <row r="566">
          <cell r="B566" t="str">
            <v>4615</v>
          </cell>
          <cell r="C566" t="str">
            <v>#</v>
          </cell>
          <cell r="D566" t="str">
            <v>三恵技研工業(株)</v>
          </cell>
          <cell r="F566" t="str">
            <v>代表取締役</v>
          </cell>
          <cell r="G566" t="str">
            <v>長谷川  昇</v>
          </cell>
          <cell r="H566">
            <v>500</v>
          </cell>
          <cell r="I566">
            <v>574</v>
          </cell>
          <cell r="J566" t="str">
            <v>115</v>
          </cell>
          <cell r="K566" t="str">
            <v>北区赤羽南2-5-1</v>
          </cell>
          <cell r="L566" t="str">
            <v xml:space="preserve"> </v>
          </cell>
          <cell r="M566" t="str">
            <v>0270-32-7711</v>
          </cell>
          <cell r="N566" t="str">
            <v>/32-8011</v>
          </cell>
          <cell r="O566" t="str">
            <v>自動車部品　</v>
          </cell>
          <cell r="Q566" t="str">
            <v xml:space="preserve"> </v>
          </cell>
          <cell r="R566" t="str">
            <v>□</v>
          </cell>
          <cell r="S566" t="str">
            <v>☆</v>
          </cell>
          <cell r="T566" t="str">
            <v>ｻﾝｹｲｷﾞｹﾝｺｳｷﾞｮｳ</v>
          </cell>
          <cell r="V566" t="str">
            <v>62</v>
          </cell>
        </row>
        <row r="567">
          <cell r="B567" t="str">
            <v>4616</v>
          </cell>
          <cell r="C567" t="str">
            <v>#</v>
          </cell>
          <cell r="D567" t="str">
            <v>(株)パイオラックス</v>
          </cell>
          <cell r="F567" t="str">
            <v>代表取締役社長</v>
          </cell>
          <cell r="G567" t="str">
            <v>加藤  一彦</v>
          </cell>
          <cell r="H567">
            <v>2623</v>
          </cell>
          <cell r="I567">
            <v>713</v>
          </cell>
          <cell r="J567" t="str">
            <v>240</v>
          </cell>
          <cell r="K567" t="str">
            <v>横浜市保土ヶ谷岩井町51</v>
          </cell>
          <cell r="L567" t="str">
            <v xml:space="preserve"> </v>
          </cell>
          <cell r="M567" t="str">
            <v>045-731-3381</v>
          </cell>
          <cell r="N567" t="str">
            <v>/742-2979</v>
          </cell>
          <cell r="O567" t="str">
            <v>各種バネ</v>
          </cell>
          <cell r="Q567" t="str">
            <v xml:space="preserve"> </v>
          </cell>
          <cell r="R567" t="str">
            <v>□</v>
          </cell>
          <cell r="S567" t="str">
            <v>☆</v>
          </cell>
          <cell r="T567" t="str">
            <v>ﾊﾟｲｵﾗｯｸｽ</v>
          </cell>
          <cell r="V567" t="str">
            <v>64</v>
          </cell>
        </row>
        <row r="568">
          <cell r="B568" t="str">
            <v>4617</v>
          </cell>
          <cell r="C568" t="str">
            <v>#</v>
          </cell>
          <cell r="D568" t="str">
            <v>イワタボルト(株)</v>
          </cell>
          <cell r="F568" t="str">
            <v>代表取締役社長</v>
          </cell>
          <cell r="G568" t="str">
            <v>岩田 　勇吉</v>
          </cell>
          <cell r="H568">
            <v>280</v>
          </cell>
          <cell r="I568">
            <v>378</v>
          </cell>
          <cell r="J568" t="str">
            <v>141</v>
          </cell>
          <cell r="K568" t="str">
            <v>品川区西五反田2-32-4</v>
          </cell>
          <cell r="L568" t="str">
            <v>(藤沢営業所）</v>
          </cell>
          <cell r="M568" t="str">
            <v>0466-44-1277</v>
          </cell>
          <cell r="N568" t="str">
            <v>/44-8816</v>
          </cell>
          <cell r="O568" t="str">
            <v>ボルト類･タッピン類</v>
          </cell>
          <cell r="Q568" t="str">
            <v xml:space="preserve"> </v>
          </cell>
          <cell r="R568" t="str">
            <v>□</v>
          </cell>
          <cell r="S568" t="str">
            <v>☆</v>
          </cell>
          <cell r="T568" t="str">
            <v>ｲﾜﾀﾎﾞﾙﾄ</v>
          </cell>
          <cell r="V568" t="str">
            <v>64</v>
          </cell>
        </row>
        <row r="569">
          <cell r="B569" t="str">
            <v>4618</v>
          </cell>
          <cell r="C569" t="str">
            <v>#</v>
          </cell>
          <cell r="D569" t="str">
            <v>(株)伸栄工業</v>
          </cell>
          <cell r="F569" t="str">
            <v>代表取締役</v>
          </cell>
          <cell r="G569" t="str">
            <v>中島  茂</v>
          </cell>
          <cell r="H569">
            <v>10</v>
          </cell>
          <cell r="I569">
            <v>22</v>
          </cell>
          <cell r="J569" t="str">
            <v>307</v>
          </cell>
          <cell r="K569" t="str">
            <v>結城市大字結城12102-14</v>
          </cell>
          <cell r="L569" t="str">
            <v xml:space="preserve"> </v>
          </cell>
          <cell r="M569" t="str">
            <v>0296-32-5335</v>
          </cell>
          <cell r="N569" t="str">
            <v>/32-5337</v>
          </cell>
          <cell r="O569" t="str">
            <v>MUO COVER VALANCE</v>
          </cell>
          <cell r="P569" t="str">
            <v>▽</v>
          </cell>
          <cell r="Q569" t="str">
            <v xml:space="preserve"> </v>
          </cell>
          <cell r="T569" t="str">
            <v>ｼﾝｴｲｺｳｷﾞｮｳ</v>
          </cell>
          <cell r="V569" t="str">
            <v>62</v>
          </cell>
        </row>
        <row r="570">
          <cell r="B570" t="str">
            <v>4619</v>
          </cell>
          <cell r="C570" t="str">
            <v>#</v>
          </cell>
          <cell r="D570" t="str">
            <v>(株)シーエスアイ</v>
          </cell>
          <cell r="F570" t="str">
            <v>代表取締役社長</v>
          </cell>
          <cell r="G570" t="str">
            <v>加藤  謙助</v>
          </cell>
          <cell r="H570">
            <v>480</v>
          </cell>
          <cell r="I570">
            <v>128</v>
          </cell>
          <cell r="J570" t="str">
            <v>243-03</v>
          </cell>
          <cell r="K570" t="str">
            <v>神奈川県愛甲郡愛川町中津</v>
          </cell>
          <cell r="L570" t="str">
            <v>字桜台4025</v>
          </cell>
          <cell r="M570" t="str">
            <v>0462-85-1481</v>
          </cell>
          <cell r="N570" t="str">
            <v>/85-1013</v>
          </cell>
          <cell r="O570" t="str">
            <v>NKR ﾋﾝﾁﾞ R/F(R/L)</v>
          </cell>
          <cell r="Q570" t="str">
            <v xml:space="preserve"> </v>
          </cell>
          <cell r="R570" t="str">
            <v>□</v>
          </cell>
          <cell r="S570" t="str">
            <v>☆</v>
          </cell>
          <cell r="T570" t="str">
            <v>ｼｰｴｽｱｲ</v>
          </cell>
          <cell r="V570" t="str">
            <v>64</v>
          </cell>
        </row>
        <row r="571">
          <cell r="B571" t="str">
            <v>4622</v>
          </cell>
          <cell r="C571" t="str">
            <v>#</v>
          </cell>
          <cell r="D571" t="str">
            <v>(株)アオイテクセル</v>
          </cell>
          <cell r="F571" t="str">
            <v>代表取締役社長</v>
          </cell>
          <cell r="G571" t="str">
            <v>伊藤  徳雄</v>
          </cell>
          <cell r="H571">
            <v>450</v>
          </cell>
          <cell r="I571">
            <v>304</v>
          </cell>
          <cell r="J571" t="str">
            <v>259-13</v>
          </cell>
          <cell r="K571" t="str">
            <v>秦野市菩提字西原58</v>
          </cell>
          <cell r="L571" t="str">
            <v xml:space="preserve"> </v>
          </cell>
          <cell r="M571" t="str">
            <v>0463-75-4602</v>
          </cell>
          <cell r="N571" t="str">
            <v>/75-4614</v>
          </cell>
          <cell r="O571" t="str">
            <v>ｶﾞｰﾄﾞ､ﾌﾚｰﾑ等のﾘﾔﾎﾞﾃﾞｨ材</v>
          </cell>
          <cell r="Q571" t="str">
            <v xml:space="preserve"> </v>
          </cell>
          <cell r="R571" t="str">
            <v>□</v>
          </cell>
          <cell r="S571" t="str">
            <v>☆</v>
          </cell>
          <cell r="T571" t="str">
            <v>ｱｵｲﾃｸｾﾙ</v>
          </cell>
          <cell r="V571" t="str">
            <v>64</v>
          </cell>
        </row>
        <row r="572">
          <cell r="B572" t="str">
            <v>4623</v>
          </cell>
          <cell r="C572" t="str">
            <v>#</v>
          </cell>
          <cell r="D572" t="str">
            <v>八重洲商事(株)</v>
          </cell>
          <cell r="F572" t="str">
            <v>代表取締役社長</v>
          </cell>
          <cell r="G572" t="str">
            <v>川端  藤吉郎</v>
          </cell>
          <cell r="H572">
            <v>80</v>
          </cell>
          <cell r="I572">
            <v>229</v>
          </cell>
          <cell r="J572" t="str">
            <v>104</v>
          </cell>
          <cell r="K572" t="str">
            <v>中央区京橋2-17-4</v>
          </cell>
          <cell r="L572" t="str">
            <v xml:space="preserve"> </v>
          </cell>
          <cell r="M572" t="str">
            <v>03-3562-5554</v>
          </cell>
          <cell r="N572" t="str">
            <v>/3567-8763</v>
          </cell>
          <cell r="O572" t="str">
            <v>ﾏﾙﾁﾗｯｸ</v>
          </cell>
          <cell r="P572" t="str">
            <v>▽</v>
          </cell>
          <cell r="Q572" t="str">
            <v xml:space="preserve"> </v>
          </cell>
          <cell r="R572" t="str">
            <v>□</v>
          </cell>
          <cell r="T572" t="str">
            <v>ﾔｴｽｼｮｳｼﾞ</v>
          </cell>
          <cell r="V572" t="str">
            <v>64</v>
          </cell>
        </row>
        <row r="573">
          <cell r="B573" t="str">
            <v>4624</v>
          </cell>
          <cell r="C573" t="str">
            <v>#</v>
          </cell>
          <cell r="D573" t="str">
            <v>(株)タマダイ</v>
          </cell>
          <cell r="F573" t="str">
            <v>代表取締役社長</v>
          </cell>
          <cell r="G573" t="str">
            <v>佐藤  幸雄</v>
          </cell>
          <cell r="H573">
            <v>600</v>
          </cell>
          <cell r="I573">
            <v>220</v>
          </cell>
          <cell r="J573" t="str">
            <v>258</v>
          </cell>
          <cell r="K573" t="str">
            <v>足柄上郡開成町吉田島3532　</v>
          </cell>
          <cell r="L573" t="str">
            <v xml:space="preserve"> </v>
          </cell>
          <cell r="M573" t="str">
            <v>0465-83-1231</v>
          </cell>
          <cell r="N573" t="str">
            <v>/82-3350</v>
          </cell>
          <cell r="O573" t="str">
            <v>Alﾀﾞｲｶｽﾄ製品　</v>
          </cell>
          <cell r="Q573" t="str">
            <v xml:space="preserve"> </v>
          </cell>
          <cell r="R573" t="str">
            <v>□</v>
          </cell>
          <cell r="S573" t="str">
            <v>☆</v>
          </cell>
          <cell r="T573" t="str">
            <v>ﾀﾏﾀﾞｲ</v>
          </cell>
          <cell r="V573" t="str">
            <v>53</v>
          </cell>
        </row>
        <row r="574">
          <cell r="B574" t="str">
            <v>4625</v>
          </cell>
          <cell r="C574" t="str">
            <v>#</v>
          </cell>
          <cell r="D574" t="str">
            <v>芦森工業(株)</v>
          </cell>
          <cell r="F574" t="str">
            <v>取締役社長</v>
          </cell>
          <cell r="G574" t="str">
            <v>宮本  祥次郎</v>
          </cell>
          <cell r="H574">
            <v>8368</v>
          </cell>
          <cell r="I574">
            <v>439</v>
          </cell>
          <cell r="J574" t="str">
            <v>550</v>
          </cell>
          <cell r="K574" t="str">
            <v>大阪市西区北堀江3-10-18</v>
          </cell>
          <cell r="L574" t="str">
            <v xml:space="preserve"> </v>
          </cell>
          <cell r="M574" t="str">
            <v>03-3246-7308</v>
          </cell>
          <cell r="N574" t="str">
            <v>/3246-7312</v>
          </cell>
          <cell r="O574" t="str">
            <v>ｼｰﾄﾍﾞﾙﾄ</v>
          </cell>
          <cell r="Q574" t="str">
            <v xml:space="preserve"> </v>
          </cell>
          <cell r="R574" t="str">
            <v>□</v>
          </cell>
          <cell r="S574" t="str">
            <v>☆</v>
          </cell>
          <cell r="T574" t="str">
            <v>ｱｼﾓﾘｺｳｷﾞｮｳ</v>
          </cell>
          <cell r="V574" t="str">
            <v>62</v>
          </cell>
        </row>
        <row r="575">
          <cell r="B575" t="str">
            <v>4628</v>
          </cell>
          <cell r="C575" t="str">
            <v>#</v>
          </cell>
          <cell r="D575" t="str">
            <v>(株)愛光</v>
          </cell>
          <cell r="F575" t="str">
            <v>代表取締役</v>
          </cell>
          <cell r="G575" t="str">
            <v>倉永  郁男</v>
          </cell>
          <cell r="H575">
            <v>200</v>
          </cell>
          <cell r="I575">
            <v>258</v>
          </cell>
          <cell r="J575" t="str">
            <v>350-02</v>
          </cell>
          <cell r="K575" t="str">
            <v>坂戸市千代田区5-4-32</v>
          </cell>
          <cell r="L575" t="str">
            <v xml:space="preserve"> </v>
          </cell>
          <cell r="M575" t="str">
            <v>0492-83-1011</v>
          </cell>
          <cell r="N575" t="str">
            <v>/83-1440</v>
          </cell>
          <cell r="O575" t="str">
            <v>ｸﾘｯﾌﾟ</v>
          </cell>
          <cell r="Q575" t="str">
            <v xml:space="preserve"> </v>
          </cell>
          <cell r="R575" t="str">
            <v>□</v>
          </cell>
          <cell r="S575" t="str">
            <v>☆</v>
          </cell>
          <cell r="T575" t="str">
            <v>ｱｲｺｳ</v>
          </cell>
          <cell r="V575" t="str">
            <v>64</v>
          </cell>
        </row>
        <row r="576">
          <cell r="B576" t="str">
            <v>4629</v>
          </cell>
          <cell r="C576" t="str">
            <v>#</v>
          </cell>
          <cell r="D576" t="str">
            <v>三協(株)</v>
          </cell>
          <cell r="F576" t="str">
            <v>代表取締役</v>
          </cell>
          <cell r="G576" t="str">
            <v>山本  勲</v>
          </cell>
          <cell r="H576">
            <v>90</v>
          </cell>
          <cell r="I576">
            <v>240</v>
          </cell>
          <cell r="J576" t="str">
            <v>132</v>
          </cell>
          <cell r="K576" t="str">
            <v>江戸川区西一之江1-11-3</v>
          </cell>
          <cell r="L576" t="str">
            <v>(厚木営業所）</v>
          </cell>
          <cell r="M576" t="str">
            <v>0462-21-3791</v>
          </cell>
          <cell r="N576" t="str">
            <v>/21-6724</v>
          </cell>
          <cell r="O576" t="str">
            <v>鬼目ﾅｯﾄ･ﾌﾞﾗｲﾝﾄﾞﾘﾍﾞｯﾄ</v>
          </cell>
          <cell r="P576" t="str">
            <v>▽</v>
          </cell>
          <cell r="Q576" t="str">
            <v xml:space="preserve"> </v>
          </cell>
          <cell r="R576" t="str">
            <v>□</v>
          </cell>
          <cell r="S576" t="str">
            <v>☆</v>
          </cell>
          <cell r="T576" t="str">
            <v>ｻﾝｷｮｳ</v>
          </cell>
          <cell r="V576" t="str">
            <v>64</v>
          </cell>
        </row>
        <row r="577">
          <cell r="B577" t="str">
            <v>4630</v>
          </cell>
          <cell r="C577" t="str">
            <v>#</v>
          </cell>
          <cell r="D577" t="str">
            <v>(株)コトブキ</v>
          </cell>
          <cell r="F577" t="str">
            <v>代表取締役社長</v>
          </cell>
          <cell r="G577" t="str">
            <v>深澤  重幸</v>
          </cell>
          <cell r="H577">
            <v>139</v>
          </cell>
          <cell r="I577">
            <v>1037</v>
          </cell>
          <cell r="J577" t="str">
            <v>100</v>
          </cell>
          <cell r="K577" t="str">
            <v>千代田区有楽町1-2-12</v>
          </cell>
          <cell r="L577" t="str">
            <v>ｺﾄﾌﾞｷﾋﾞﾙ</v>
          </cell>
          <cell r="M577" t="str">
            <v>0425-60-6411</v>
          </cell>
          <cell r="N577" t="str">
            <v>/20-7016</v>
          </cell>
          <cell r="O577" t="str">
            <v>防眩板　</v>
          </cell>
          <cell r="Q577" t="str">
            <v xml:space="preserve"> </v>
          </cell>
          <cell r="R577" t="str">
            <v>□</v>
          </cell>
          <cell r="S577" t="str">
            <v>☆</v>
          </cell>
          <cell r="T577" t="str">
            <v>ｺﾄﾌﾞｷ</v>
          </cell>
          <cell r="V577" t="str">
            <v>62</v>
          </cell>
        </row>
        <row r="578">
          <cell r="B578" t="str">
            <v>4636</v>
          </cell>
          <cell r="C578" t="str">
            <v>#</v>
          </cell>
          <cell r="D578" t="str">
            <v>新和工業(株)</v>
          </cell>
          <cell r="F578" t="str">
            <v>代表取締役</v>
          </cell>
          <cell r="G578" t="str">
            <v>井上  平三　</v>
          </cell>
          <cell r="H578">
            <v>252</v>
          </cell>
          <cell r="I578">
            <v>469</v>
          </cell>
          <cell r="J578" t="str">
            <v>254</v>
          </cell>
          <cell r="K578" t="str">
            <v>平塚市長瀞2-15</v>
          </cell>
          <cell r="L578" t="str">
            <v xml:space="preserve"> </v>
          </cell>
          <cell r="M578" t="str">
            <v>0463-21-8514</v>
          </cell>
          <cell r="N578" t="str">
            <v>/23-5025</v>
          </cell>
          <cell r="O578" t="str">
            <v>ﾘｱｰｸｫｰﾀｰ</v>
          </cell>
          <cell r="Q578" t="str">
            <v xml:space="preserve"> </v>
          </cell>
          <cell r="R578" t="str">
            <v>□</v>
          </cell>
          <cell r="T578" t="str">
            <v>ｼﾝﾜｺｳｷﾞｮｳ</v>
          </cell>
          <cell r="V578" t="str">
            <v>62</v>
          </cell>
        </row>
        <row r="579">
          <cell r="B579" t="str">
            <v>4639</v>
          </cell>
          <cell r="C579" t="str">
            <v>#</v>
          </cell>
          <cell r="D579" t="str">
            <v>児玉化学工業(株)</v>
          </cell>
          <cell r="F579" t="str">
            <v>取締役社長</v>
          </cell>
          <cell r="G579" t="str">
            <v>小関  和彦</v>
          </cell>
          <cell r="H579">
            <v>3014</v>
          </cell>
          <cell r="I579">
            <v>612</v>
          </cell>
          <cell r="J579" t="str">
            <v>244</v>
          </cell>
          <cell r="K579" t="str">
            <v>横浜市戸塚区柏尾町380</v>
          </cell>
          <cell r="L579" t="str">
            <v xml:space="preserve"> </v>
          </cell>
          <cell r="M579" t="str">
            <v>045-811-3121</v>
          </cell>
          <cell r="N579" t="str">
            <v>/811-3128</v>
          </cell>
          <cell r="O579" t="str">
            <v>960 ﾊﾟﾜｰﾊﾞﾙｼﾞ･320W PAD･ASM･INST</v>
          </cell>
          <cell r="Q579" t="str">
            <v xml:space="preserve"> </v>
          </cell>
          <cell r="R579" t="str">
            <v>□</v>
          </cell>
          <cell r="S579" t="str">
            <v>☆</v>
          </cell>
          <cell r="T579" t="str">
            <v>ｺﾀﾞﾏｶｶﾞｸｺｳｷﾞｮｳ</v>
          </cell>
          <cell r="V579" t="str">
            <v>62</v>
          </cell>
        </row>
        <row r="580">
          <cell r="B580" t="str">
            <v>4640</v>
          </cell>
          <cell r="C580" t="str">
            <v>#</v>
          </cell>
          <cell r="D580" t="str">
            <v>富士合成(株)</v>
          </cell>
          <cell r="F580" t="str">
            <v>代表取締役社長</v>
          </cell>
          <cell r="G580" t="str">
            <v>安藤  右一</v>
          </cell>
          <cell r="H580">
            <v>30</v>
          </cell>
          <cell r="I580">
            <v>133</v>
          </cell>
          <cell r="J580" t="str">
            <v>307</v>
          </cell>
          <cell r="K580" t="str">
            <v>結城市大字結城535</v>
          </cell>
          <cell r="L580" t="str">
            <v xml:space="preserve"> </v>
          </cell>
          <cell r="M580" t="str">
            <v>0285-22-0915</v>
          </cell>
          <cell r="N580" t="str">
            <v>/22-4719</v>
          </cell>
          <cell r="O580" t="str">
            <v>自動車ﾌﾟﾗｽﾁｯｸ部品　</v>
          </cell>
          <cell r="P580" t="str">
            <v>▽</v>
          </cell>
          <cell r="Q580" t="str">
            <v xml:space="preserve"> </v>
          </cell>
          <cell r="S580" t="str">
            <v>☆</v>
          </cell>
          <cell r="T580" t="str">
            <v>ﾌｼﾞｺﾞｳｾｲ</v>
          </cell>
          <cell r="V580" t="str">
            <v>62</v>
          </cell>
        </row>
        <row r="581">
          <cell r="B581" t="str">
            <v>4641</v>
          </cell>
          <cell r="C581" t="str">
            <v>#</v>
          </cell>
          <cell r="D581" t="str">
            <v>エック工業(株)</v>
          </cell>
          <cell r="F581" t="str">
            <v>代表取締役</v>
          </cell>
          <cell r="G581" t="str">
            <v>梅津  昌平</v>
          </cell>
          <cell r="H581">
            <v>20</v>
          </cell>
          <cell r="I581">
            <v>22</v>
          </cell>
          <cell r="J581" t="str">
            <v>370-07</v>
          </cell>
          <cell r="K581" t="str">
            <v>群馬県邑楽郡明和村大字川俣</v>
          </cell>
          <cell r="L581" t="str">
            <v>525-1</v>
          </cell>
          <cell r="M581" t="str">
            <v>0276-84-3028</v>
          </cell>
          <cell r="N581" t="str">
            <v>/84-2147</v>
          </cell>
          <cell r="O581" t="str">
            <v>ﾊﾞﾝﾊﾟｰ･ｴｱ-ﾉｽﾞﾙ  塗装</v>
          </cell>
          <cell r="P581" t="str">
            <v>▽</v>
          </cell>
          <cell r="Q581" t="str">
            <v xml:space="preserve"> </v>
          </cell>
          <cell r="S581" t="str">
            <v>☆</v>
          </cell>
          <cell r="T581" t="str">
            <v>ｴｯｸｺｳｷﾞｮｳ</v>
          </cell>
          <cell r="V581" t="str">
            <v>62</v>
          </cell>
        </row>
        <row r="582">
          <cell r="B582" t="str">
            <v>4642</v>
          </cell>
          <cell r="C582" t="str">
            <v>#</v>
          </cell>
          <cell r="D582" t="str">
            <v>（有)志村塗装工業</v>
          </cell>
          <cell r="F582" t="str">
            <v>代表取締役社長</v>
          </cell>
          <cell r="G582" t="str">
            <v>志村  徳司</v>
          </cell>
          <cell r="H582">
            <v>3</v>
          </cell>
          <cell r="I582">
            <v>45</v>
          </cell>
          <cell r="J582" t="str">
            <v>379-22</v>
          </cell>
          <cell r="K582" t="str">
            <v>群馬県佐波郡東村大字東</v>
          </cell>
          <cell r="L582" t="str">
            <v>小保方4040</v>
          </cell>
          <cell r="M582" t="str">
            <v>0270-62-8111</v>
          </cell>
          <cell r="N582" t="str">
            <v>/62-8881</v>
          </cell>
          <cell r="O582" t="str">
            <v>ｶﾁｵﾝ塗装品</v>
          </cell>
          <cell r="P582" t="str">
            <v>▽</v>
          </cell>
          <cell r="Q582" t="str">
            <v xml:space="preserve"> </v>
          </cell>
          <cell r="S582" t="str">
            <v xml:space="preserve"> </v>
          </cell>
          <cell r="T582" t="str">
            <v>(ﾕｳ) ｼﾑﾗﾄｿｳｺｳｷﾞｮｳ</v>
          </cell>
          <cell r="V582" t="str">
            <v>64</v>
          </cell>
        </row>
        <row r="583">
          <cell r="B583" t="str">
            <v>4643</v>
          </cell>
          <cell r="C583" t="str">
            <v>#</v>
          </cell>
          <cell r="D583" t="str">
            <v>(株)キョ－ワナスタ</v>
          </cell>
          <cell r="F583" t="str">
            <v>代表取締役社長</v>
          </cell>
          <cell r="G583" t="str">
            <v>西村  鐡三　</v>
          </cell>
          <cell r="H583">
            <v>40</v>
          </cell>
          <cell r="I583">
            <v>260</v>
          </cell>
          <cell r="J583" t="str">
            <v>361</v>
          </cell>
          <cell r="K583" t="str">
            <v>行田市富士見町1-17</v>
          </cell>
          <cell r="L583" t="str">
            <v xml:space="preserve"> </v>
          </cell>
          <cell r="M583" t="str">
            <v>0485-53-2611</v>
          </cell>
          <cell r="N583" t="str">
            <v>/54-0185</v>
          </cell>
          <cell r="O583" t="str">
            <v>ﾏｯﾄﾞｶﾞｰﾄﾞ･ｽﾌﾟﾗｯｼｭｶﾞｰﾄﾞ･ｺﾝﾊﾟｰﾄﾊﾟﾈﾙ</v>
          </cell>
          <cell r="P583" t="str">
            <v>▽</v>
          </cell>
          <cell r="Q583" t="str">
            <v xml:space="preserve"> </v>
          </cell>
          <cell r="R583" t="str">
            <v>□</v>
          </cell>
          <cell r="S583" t="str">
            <v>☆</v>
          </cell>
          <cell r="T583" t="str">
            <v>ｷｮｳﾜﾅｽﾀ</v>
          </cell>
          <cell r="V583" t="str">
            <v>62</v>
          </cell>
        </row>
        <row r="584">
          <cell r="B584" t="str">
            <v>4644</v>
          </cell>
          <cell r="C584" t="str">
            <v>#</v>
          </cell>
          <cell r="D584" t="str">
            <v>(株)啓愛社製作所</v>
          </cell>
          <cell r="F584" t="str">
            <v>取締役社長</v>
          </cell>
          <cell r="G584" t="str">
            <v>幾島  晟彦</v>
          </cell>
          <cell r="H584">
            <v>816</v>
          </cell>
          <cell r="I584">
            <v>487</v>
          </cell>
          <cell r="J584" t="str">
            <v>245</v>
          </cell>
          <cell r="K584" t="str">
            <v>横浜市泉区和泉町4840</v>
          </cell>
          <cell r="L584" t="str">
            <v xml:space="preserve"> </v>
          </cell>
          <cell r="M584" t="str">
            <v>045-804-8812</v>
          </cell>
          <cell r="N584" t="str">
            <v>/804-6346</v>
          </cell>
          <cell r="O584" t="str">
            <v>電着  補用部品　</v>
          </cell>
          <cell r="Q584" t="str">
            <v xml:space="preserve"> </v>
          </cell>
          <cell r="R584" t="str">
            <v>□</v>
          </cell>
          <cell r="T584" t="str">
            <v>ｹｲｱｲｼｬｾｲｻｸｼｮ</v>
          </cell>
          <cell r="V584" t="str">
            <v>64</v>
          </cell>
        </row>
        <row r="585">
          <cell r="B585" t="str">
            <v>4645</v>
          </cell>
          <cell r="C585" t="str">
            <v>#</v>
          </cell>
          <cell r="D585" t="str">
            <v>三池工業(株)</v>
          </cell>
          <cell r="F585" t="str">
            <v>取締役社長</v>
          </cell>
          <cell r="G585" t="str">
            <v>田齊  實</v>
          </cell>
          <cell r="H585">
            <v>111</v>
          </cell>
          <cell r="I585">
            <v>280</v>
          </cell>
          <cell r="J585" t="str">
            <v>245</v>
          </cell>
          <cell r="K585" t="str">
            <v>横浜市戸塚区上矢部町2336</v>
          </cell>
          <cell r="L585" t="str">
            <v xml:space="preserve"> </v>
          </cell>
          <cell r="M585" t="str">
            <v>045-812-6832</v>
          </cell>
          <cell r="N585" t="str">
            <v>/812-7964</v>
          </cell>
          <cell r="O585" t="str">
            <v>ﾌﾟﾚｽAssy</v>
          </cell>
          <cell r="Q585" t="str">
            <v xml:space="preserve"> </v>
          </cell>
          <cell r="R585" t="str">
            <v>□</v>
          </cell>
          <cell r="S585" t="str">
            <v>☆</v>
          </cell>
          <cell r="T585" t="str">
            <v>ﾐﾂｲｹｺｳｷﾞｮｳ</v>
          </cell>
          <cell r="V585" t="str">
            <v>64</v>
          </cell>
        </row>
        <row r="586">
          <cell r="B586" t="str">
            <v>4646</v>
          </cell>
          <cell r="C586" t="str">
            <v>#</v>
          </cell>
          <cell r="D586" t="str">
            <v>河西工業(株)</v>
          </cell>
          <cell r="F586" t="str">
            <v>取締役社長</v>
          </cell>
          <cell r="G586" t="str">
            <v>河西  大吉</v>
          </cell>
          <cell r="H586" t="str">
            <v>5808</v>
          </cell>
          <cell r="I586" t="str">
            <v>1252</v>
          </cell>
          <cell r="J586" t="str">
            <v>253-01</v>
          </cell>
          <cell r="K586" t="str">
            <v>神奈川県高座郡寒川町宮山33</v>
          </cell>
          <cell r="L586" t="str">
            <v>16</v>
          </cell>
          <cell r="M586" t="str">
            <v>0467-75-1129</v>
          </cell>
          <cell r="N586" t="str">
            <v>/74-8791</v>
          </cell>
          <cell r="O586" t="str">
            <v>サンバイザー</v>
          </cell>
          <cell r="T586" t="str">
            <v>ｶｻｲｺｳｷﾞｮｳ</v>
          </cell>
          <cell r="V586" t="str">
            <v>62</v>
          </cell>
        </row>
        <row r="587">
          <cell r="B587" t="str">
            <v>5001</v>
          </cell>
          <cell r="C587" t="str">
            <v>#</v>
          </cell>
          <cell r="D587" t="str">
            <v>(株)浅川製作所</v>
          </cell>
          <cell r="F587" t="str">
            <v>取締役社長</v>
          </cell>
          <cell r="G587" t="str">
            <v>浅川　辰彦</v>
          </cell>
          <cell r="H587">
            <v>96</v>
          </cell>
          <cell r="I587">
            <v>385</v>
          </cell>
          <cell r="J587" t="str">
            <v>223</v>
          </cell>
          <cell r="K587" t="str">
            <v>横浜市港北区新羽町1261</v>
          </cell>
          <cell r="L587" t="str">
            <v xml:space="preserve"> </v>
          </cell>
          <cell r="M587" t="str">
            <v>045-531-1291</v>
          </cell>
          <cell r="N587" t="str">
            <v>/543-1500</v>
          </cell>
          <cell r="O587" t="str">
            <v>ボルト・ナット</v>
          </cell>
          <cell r="P587" t="str">
            <v>▽</v>
          </cell>
          <cell r="Q587" t="str">
            <v>◎</v>
          </cell>
          <cell r="R587" t="str">
            <v>□</v>
          </cell>
          <cell r="S587" t="str">
            <v>☆</v>
          </cell>
          <cell r="T587" t="str">
            <v>ｱｻｶﾜｾｲｻｸｼｮ</v>
          </cell>
          <cell r="V587" t="str">
            <v>64</v>
          </cell>
        </row>
        <row r="588">
          <cell r="B588" t="str">
            <v>5003</v>
          </cell>
          <cell r="C588" t="str">
            <v>#</v>
          </cell>
          <cell r="D588" t="str">
            <v>(株)知立精螺製作所</v>
          </cell>
          <cell r="F588" t="str">
            <v>取締役社長</v>
          </cell>
          <cell r="G588" t="str">
            <v>高須　健文</v>
          </cell>
          <cell r="H588">
            <v>30</v>
          </cell>
          <cell r="I588">
            <v>48</v>
          </cell>
          <cell r="J588" t="str">
            <v>146</v>
          </cell>
          <cell r="K588" t="str">
            <v>大田区久ヶ原2-11-16</v>
          </cell>
          <cell r="L588" t="str">
            <v xml:space="preserve"> </v>
          </cell>
          <cell r="M588" t="str">
            <v>03-3755-5541</v>
          </cell>
          <cell r="N588" t="str">
            <v>/3755-3322</v>
          </cell>
          <cell r="O588" t="str">
            <v>ｽﾀｯﾄ</v>
          </cell>
          <cell r="P588" t="str">
            <v>▽</v>
          </cell>
          <cell r="Q588" t="str">
            <v>◎</v>
          </cell>
          <cell r="R588" t="str">
            <v>□</v>
          </cell>
          <cell r="S588" t="str">
            <v>☆</v>
          </cell>
          <cell r="T588" t="str">
            <v>ﾁﾀﾁｾｲﾗｾｲｻｸｼｮ</v>
          </cell>
          <cell r="V588" t="str">
            <v>64</v>
          </cell>
        </row>
        <row r="589">
          <cell r="B589" t="str">
            <v>5003</v>
          </cell>
          <cell r="C589" t="str">
            <v>A</v>
          </cell>
          <cell r="D589" t="str">
            <v>(株)知立精螺製作所</v>
          </cell>
          <cell r="E589" t="str">
            <v>岐阜工場</v>
          </cell>
          <cell r="J589" t="str">
            <v>501-41</v>
          </cell>
          <cell r="K589" t="str">
            <v>岐阜県郡上郡美並村大字上田</v>
          </cell>
          <cell r="L589" t="str">
            <v>2611-1</v>
          </cell>
          <cell r="M589" t="str">
            <v xml:space="preserve">057579-2511 </v>
          </cell>
          <cell r="N589" t="str">
            <v>/-3230</v>
          </cell>
          <cell r="O589" t="str">
            <v>ｽﾀｯﾄ</v>
          </cell>
          <cell r="P589" t="str">
            <v>▽</v>
          </cell>
          <cell r="Q589" t="str">
            <v xml:space="preserve"> </v>
          </cell>
          <cell r="T589" t="str">
            <v>ﾁﾀﾁｾｲﾗｾｲｻｸｼｮ</v>
          </cell>
          <cell r="V589" t="str">
            <v>64</v>
          </cell>
        </row>
        <row r="590">
          <cell r="B590" t="str">
            <v>5005</v>
          </cell>
          <cell r="C590" t="str">
            <v>#</v>
          </cell>
          <cell r="D590" t="str">
            <v>同和工業(株)</v>
          </cell>
          <cell r="F590" t="str">
            <v>取締役社長</v>
          </cell>
          <cell r="G590" t="str">
            <v>岡　　季明</v>
          </cell>
          <cell r="H590">
            <v>100</v>
          </cell>
          <cell r="I590">
            <v>127</v>
          </cell>
          <cell r="J590" t="str">
            <v>157</v>
          </cell>
          <cell r="K590" t="str">
            <v>世田谷区南烏山5-1-20</v>
          </cell>
          <cell r="L590" t="str">
            <v xml:space="preserve"> </v>
          </cell>
          <cell r="M590" t="str">
            <v>03-3300-2371</v>
          </cell>
          <cell r="N590" t="str">
            <v>/3300-2377</v>
          </cell>
          <cell r="O590" t="str">
            <v>トラニオンブラケット</v>
          </cell>
          <cell r="P590" t="str">
            <v>▽</v>
          </cell>
          <cell r="Q590" t="str">
            <v>◎</v>
          </cell>
          <cell r="R590" t="str">
            <v>□</v>
          </cell>
          <cell r="S590" t="str">
            <v>☆</v>
          </cell>
          <cell r="T590" t="str">
            <v>ﾄﾞｳﾜｺｳｷﾞｮｳ</v>
          </cell>
          <cell r="V590" t="str">
            <v>53</v>
          </cell>
        </row>
        <row r="591">
          <cell r="B591" t="str">
            <v>5005</v>
          </cell>
          <cell r="C591" t="str">
            <v>A</v>
          </cell>
          <cell r="D591" t="str">
            <v>同和工業(株)</v>
          </cell>
          <cell r="E591" t="str">
            <v>栃木工場</v>
          </cell>
          <cell r="J591" t="str">
            <v>329-43</v>
          </cell>
          <cell r="K591" t="str">
            <v>栃木県下都賀郡岩舟町</v>
          </cell>
          <cell r="L591" t="str">
            <v>大字曲ヶ島字1973-1</v>
          </cell>
          <cell r="M591" t="str">
            <v>0282-55-1381</v>
          </cell>
          <cell r="N591" t="str">
            <v>/</v>
          </cell>
          <cell r="O591" t="str">
            <v>ｼﾌﾄｱｰﾑ</v>
          </cell>
          <cell r="P591" t="str">
            <v>▽</v>
          </cell>
          <cell r="Q591" t="str">
            <v xml:space="preserve"> </v>
          </cell>
          <cell r="T591" t="str">
            <v>ﾄﾞｳﾜｺｳｷﾞｮｳ</v>
          </cell>
          <cell r="V591" t="str">
            <v>53</v>
          </cell>
        </row>
        <row r="592">
          <cell r="B592" t="str">
            <v>5005</v>
          </cell>
          <cell r="C592" t="str">
            <v>B</v>
          </cell>
          <cell r="D592" t="str">
            <v>同和工業(株)</v>
          </cell>
          <cell r="E592" t="str">
            <v>新潟工場</v>
          </cell>
          <cell r="J592" t="str">
            <v>949-73</v>
          </cell>
          <cell r="K592" t="str">
            <v>新潟県南魚沼郡大和町</v>
          </cell>
          <cell r="L592" t="str">
            <v>大字市野江</v>
          </cell>
          <cell r="M592" t="str">
            <v>02579-4-3351</v>
          </cell>
          <cell r="N592" t="str">
            <v>/4-3352</v>
          </cell>
          <cell r="P592" t="str">
            <v>▽</v>
          </cell>
          <cell r="Q592" t="str">
            <v xml:space="preserve"> </v>
          </cell>
          <cell r="T592" t="str">
            <v>ﾄﾞｳﾜｺｳｷﾞｮｳ</v>
          </cell>
          <cell r="V592" t="str">
            <v>53</v>
          </cell>
        </row>
        <row r="593">
          <cell r="B593" t="str">
            <v>5009</v>
          </cell>
          <cell r="C593" t="str">
            <v>#</v>
          </cell>
          <cell r="D593" t="str">
            <v>川崎自動車工業(株)</v>
          </cell>
          <cell r="F593" t="str">
            <v>代表取締役社長</v>
          </cell>
          <cell r="G593" t="str">
            <v>中島　信明</v>
          </cell>
          <cell r="H593">
            <v>50</v>
          </cell>
          <cell r="I593">
            <v>190</v>
          </cell>
          <cell r="J593" t="str">
            <v>210</v>
          </cell>
          <cell r="K593" t="str">
            <v>川崎市川崎区四谷上町12-26</v>
          </cell>
          <cell r="L593" t="str">
            <v xml:space="preserve"> </v>
          </cell>
          <cell r="M593" t="str">
            <v>044-288-2676</v>
          </cell>
          <cell r="N593" t="str">
            <v>/</v>
          </cell>
          <cell r="O593" t="str">
            <v>ｼﾌﾀｰﾛｯﾄﾞ､ﾋﾟｽﾄﾝﾋﾟﾝ</v>
          </cell>
          <cell r="P593" t="str">
            <v>▽</v>
          </cell>
          <cell r="Q593" t="str">
            <v>◎</v>
          </cell>
          <cell r="R593" t="str">
            <v>□</v>
          </cell>
          <cell r="S593" t="str">
            <v>☆</v>
          </cell>
          <cell r="T593" t="str">
            <v>ｶﾜｻｷﾄﾞｳｼｬｺｳｷﾞｮｳ</v>
          </cell>
          <cell r="V593" t="str">
            <v>53</v>
          </cell>
        </row>
        <row r="594">
          <cell r="B594" t="str">
            <v>5009</v>
          </cell>
          <cell r="C594" t="str">
            <v>A</v>
          </cell>
          <cell r="D594" t="str">
            <v>川崎自動車工業(株)</v>
          </cell>
          <cell r="E594" t="str">
            <v>横浜工場</v>
          </cell>
          <cell r="J594" t="str">
            <v>244</v>
          </cell>
          <cell r="K594" t="str">
            <v>横浜市泉区和泉町3459</v>
          </cell>
          <cell r="L594" t="str">
            <v xml:space="preserve"> </v>
          </cell>
          <cell r="M594" t="str">
            <v>045-802-5521</v>
          </cell>
          <cell r="N594" t="str">
            <v>/803-9692</v>
          </cell>
          <cell r="O594" t="str">
            <v>ピン類</v>
          </cell>
          <cell r="P594" t="str">
            <v>▽</v>
          </cell>
          <cell r="Q594" t="str">
            <v xml:space="preserve"> </v>
          </cell>
          <cell r="T594" t="str">
            <v>ｶﾜｻｷﾄﾞｳｼｬｺｳｷﾞｮｳ</v>
          </cell>
          <cell r="V594" t="str">
            <v>53</v>
          </cell>
        </row>
        <row r="595">
          <cell r="B595" t="str">
            <v>5009</v>
          </cell>
          <cell r="C595" t="str">
            <v>B</v>
          </cell>
          <cell r="D595" t="str">
            <v>川崎自動車工業(株)</v>
          </cell>
          <cell r="E595" t="str">
            <v>福島工場</v>
          </cell>
          <cell r="J595" t="str">
            <v>969-44</v>
          </cell>
          <cell r="K595" t="str">
            <v>福島県耶麻郡西会津町野沢</v>
          </cell>
          <cell r="L595" t="str">
            <v xml:space="preserve"> </v>
          </cell>
          <cell r="M595" t="str">
            <v xml:space="preserve">024145-3232 </v>
          </cell>
          <cell r="N595" t="str">
            <v>/</v>
          </cell>
          <cell r="P595" t="str">
            <v>▽</v>
          </cell>
          <cell r="Q595" t="str">
            <v xml:space="preserve"> </v>
          </cell>
          <cell r="T595" t="str">
            <v>ｶﾜｻｷﾄﾞｳｼｬｺｳｷﾞｮｳ</v>
          </cell>
          <cell r="V595" t="str">
            <v>53</v>
          </cell>
        </row>
        <row r="596">
          <cell r="B596" t="str">
            <v>5013</v>
          </cell>
          <cell r="C596" t="str">
            <v>#</v>
          </cell>
          <cell r="D596" t="str">
            <v>(株)長野製作所</v>
          </cell>
          <cell r="F596" t="str">
            <v>代表取締役社長</v>
          </cell>
          <cell r="G596" t="str">
            <v>長野　高憲</v>
          </cell>
          <cell r="H596">
            <v>65</v>
          </cell>
          <cell r="I596">
            <v>82</v>
          </cell>
          <cell r="J596" t="str">
            <v>250</v>
          </cell>
          <cell r="K596" t="str">
            <v>小田原市鴨宮2-50-19</v>
          </cell>
          <cell r="L596" t="str">
            <v xml:space="preserve"> </v>
          </cell>
          <cell r="M596" t="str">
            <v>0465-48-2300</v>
          </cell>
          <cell r="N596" t="str">
            <v>/48-2307</v>
          </cell>
          <cell r="O596" t="str">
            <v>BKT類･IN.EX ﾏﾆﾎｰﾙﾄﾞ</v>
          </cell>
          <cell r="P596" t="str">
            <v>▽</v>
          </cell>
          <cell r="Q596" t="str">
            <v>◎</v>
          </cell>
          <cell r="R596" t="str">
            <v>□</v>
          </cell>
          <cell r="S596" t="str">
            <v>☆</v>
          </cell>
          <cell r="T596" t="str">
            <v>ﾅｶﾞﾉｾｲｻｸｼｮ</v>
          </cell>
          <cell r="V596" t="str">
            <v>53</v>
          </cell>
        </row>
        <row r="597">
          <cell r="B597" t="str">
            <v>5015</v>
          </cell>
          <cell r="C597" t="str">
            <v>#</v>
          </cell>
          <cell r="D597" t="str">
            <v>日清工業(株)</v>
          </cell>
          <cell r="F597" t="str">
            <v>代表取締役社長</v>
          </cell>
          <cell r="G597" t="str">
            <v>小山田  隆</v>
          </cell>
          <cell r="H597">
            <v>30</v>
          </cell>
          <cell r="I597">
            <v>43</v>
          </cell>
          <cell r="J597" t="str">
            <v>230</v>
          </cell>
          <cell r="K597" t="str">
            <v>横浜市鶴見区下末吉町5-2-17</v>
          </cell>
          <cell r="L597" t="str">
            <v xml:space="preserve"> </v>
          </cell>
          <cell r="M597" t="str">
            <v>045-571-3151</v>
          </cell>
          <cell r="N597" t="str">
            <v>/</v>
          </cell>
          <cell r="O597" t="str">
            <v>ｽﾋﾟｰﾄﾞﾒｰﾀｰ</v>
          </cell>
          <cell r="P597" t="str">
            <v>▽</v>
          </cell>
          <cell r="Q597" t="str">
            <v>◎</v>
          </cell>
          <cell r="R597" t="str">
            <v>□</v>
          </cell>
          <cell r="S597" t="str">
            <v>☆</v>
          </cell>
          <cell r="T597" t="str">
            <v>ﾆｯｼﾝｺｳｷﾞｮｳ</v>
          </cell>
          <cell r="V597" t="str">
            <v>53</v>
          </cell>
        </row>
        <row r="598">
          <cell r="B598" t="str">
            <v>5015</v>
          </cell>
          <cell r="C598" t="str">
            <v>A</v>
          </cell>
          <cell r="D598" t="str">
            <v>日清工業(株)</v>
          </cell>
          <cell r="E598" t="str">
            <v>戸塚工場</v>
          </cell>
          <cell r="J598" t="str">
            <v>244</v>
          </cell>
          <cell r="K598" t="str">
            <v>横浜市和泉区上飯田字中島</v>
          </cell>
          <cell r="L598" t="str">
            <v>900-1</v>
          </cell>
          <cell r="M598" t="str">
            <v>045-802-5251</v>
          </cell>
          <cell r="N598" t="str">
            <v>/801-0845</v>
          </cell>
          <cell r="O598" t="str">
            <v>ｼﾌﾄﾌｫｰｸ</v>
          </cell>
          <cell r="P598" t="str">
            <v>▽</v>
          </cell>
          <cell r="Q598" t="str">
            <v xml:space="preserve"> </v>
          </cell>
          <cell r="T598" t="str">
            <v>ﾆｯｼﾝｺｳｷﾞｮｳ</v>
          </cell>
          <cell r="V598" t="str">
            <v>53</v>
          </cell>
        </row>
        <row r="599">
          <cell r="B599" t="str">
            <v>5027</v>
          </cell>
          <cell r="C599" t="str">
            <v>#</v>
          </cell>
          <cell r="D599" t="str">
            <v>(株)為我井製作所</v>
          </cell>
          <cell r="F599" t="str">
            <v>取締役社長</v>
          </cell>
          <cell r="G599" t="str">
            <v>為我井　政夫</v>
          </cell>
          <cell r="H599">
            <v>15</v>
          </cell>
          <cell r="I599">
            <v>82</v>
          </cell>
          <cell r="J599" t="str">
            <v>104</v>
          </cell>
          <cell r="K599" t="str">
            <v>中央区佃2-5-10</v>
          </cell>
          <cell r="L599" t="str">
            <v xml:space="preserve"> </v>
          </cell>
          <cell r="M599" t="str">
            <v>03-3531-4335</v>
          </cell>
          <cell r="N599" t="str">
            <v>/3531-4337</v>
          </cell>
          <cell r="O599" t="str">
            <v>BKT類</v>
          </cell>
          <cell r="P599" t="str">
            <v>▽</v>
          </cell>
          <cell r="Q599" t="str">
            <v>◎</v>
          </cell>
          <cell r="R599" t="str">
            <v>□</v>
          </cell>
          <cell r="S599" t="str">
            <v>☆</v>
          </cell>
          <cell r="T599" t="str">
            <v>ﾀﾒｶﾞｲｾｲｻｸｼｮ</v>
          </cell>
          <cell r="V599" t="str">
            <v>53</v>
          </cell>
        </row>
        <row r="600">
          <cell r="B600" t="str">
            <v>5027</v>
          </cell>
          <cell r="C600" t="str">
            <v>A</v>
          </cell>
          <cell r="D600" t="str">
            <v>(株)為我井製作所</v>
          </cell>
          <cell r="E600" t="str">
            <v>海老名工場</v>
          </cell>
          <cell r="J600" t="str">
            <v>243-04</v>
          </cell>
          <cell r="K600" t="str">
            <v>海老名市杉久保字星谷</v>
          </cell>
          <cell r="L600" t="str">
            <v xml:space="preserve"> </v>
          </cell>
          <cell r="M600" t="str">
            <v>0462-38-2577</v>
          </cell>
          <cell r="N600" t="str">
            <v>/38-5749</v>
          </cell>
          <cell r="O600" t="str">
            <v>IN.EX ﾏﾆﾎｰﾙﾄﾞ ﾍﾞｱﾘﾝｸﾞｷｬｯﾌﾟ</v>
          </cell>
          <cell r="P600" t="str">
            <v>▽</v>
          </cell>
          <cell r="Q600" t="str">
            <v xml:space="preserve"> </v>
          </cell>
          <cell r="T600" t="str">
            <v>ﾀﾒｶﾞｲｾｲｻｸｼｮ</v>
          </cell>
          <cell r="V600" t="str">
            <v>53</v>
          </cell>
        </row>
        <row r="601">
          <cell r="B601" t="str">
            <v>5032</v>
          </cell>
          <cell r="C601" t="str">
            <v>#</v>
          </cell>
          <cell r="D601" t="str">
            <v>(株)柳沢鉄工所</v>
          </cell>
          <cell r="F601" t="str">
            <v>取締役社長</v>
          </cell>
          <cell r="G601" t="str">
            <v>村田  豊樹</v>
          </cell>
          <cell r="H601">
            <v>25</v>
          </cell>
          <cell r="I601">
            <v>97</v>
          </cell>
          <cell r="J601" t="str">
            <v>374</v>
          </cell>
          <cell r="K601" t="str">
            <v>館林市富士見町12-1</v>
          </cell>
          <cell r="L601" t="str">
            <v xml:space="preserve"> </v>
          </cell>
          <cell r="M601" t="str">
            <v>0276-72-3885</v>
          </cell>
          <cell r="N601" t="str">
            <v>/72-3887</v>
          </cell>
          <cell r="O601" t="str">
            <v>レバー</v>
          </cell>
          <cell r="P601" t="str">
            <v>▽</v>
          </cell>
          <cell r="Q601" t="str">
            <v>◎</v>
          </cell>
          <cell r="R601" t="str">
            <v>□</v>
          </cell>
          <cell r="S601" t="str">
            <v>☆</v>
          </cell>
          <cell r="T601" t="str">
            <v>ﾔﾅｷﾞｻﾜﾃｯｺｳｼｮ</v>
          </cell>
          <cell r="V601" t="str">
            <v>53</v>
          </cell>
        </row>
        <row r="602">
          <cell r="B602" t="str">
            <v>5036</v>
          </cell>
          <cell r="C602" t="str">
            <v>#</v>
          </cell>
          <cell r="D602" t="str">
            <v>(株)ショーワ</v>
          </cell>
          <cell r="F602" t="str">
            <v>代表取締役社長</v>
          </cell>
          <cell r="G602" t="str">
            <v>三宅  章二郎</v>
          </cell>
          <cell r="H602">
            <v>6442</v>
          </cell>
          <cell r="I602">
            <v>2465</v>
          </cell>
          <cell r="J602" t="str">
            <v>361</v>
          </cell>
          <cell r="K602" t="str">
            <v>行田市藤原町1-14-1</v>
          </cell>
          <cell r="L602" t="str">
            <v xml:space="preserve"> </v>
          </cell>
          <cell r="M602" t="str">
            <v>0485-54-8130</v>
          </cell>
          <cell r="N602" t="str">
            <v>/56-8393</v>
          </cell>
          <cell r="O602" t="str">
            <v>ｼｮｯｸｱﾌﾞｿｰﾊﾞｰ</v>
          </cell>
          <cell r="Q602" t="str">
            <v xml:space="preserve"> </v>
          </cell>
          <cell r="R602" t="str">
            <v>□</v>
          </cell>
          <cell r="S602" t="str">
            <v>☆</v>
          </cell>
          <cell r="T602" t="str">
            <v>ｼｮｰﾜ</v>
          </cell>
          <cell r="V602" t="str">
            <v>54</v>
          </cell>
        </row>
        <row r="603">
          <cell r="B603" t="str">
            <v>5044</v>
          </cell>
          <cell r="C603" t="str">
            <v>#</v>
          </cell>
          <cell r="D603" t="str">
            <v>(株)アイコー</v>
          </cell>
          <cell r="F603" t="str">
            <v>代表取締役社長</v>
          </cell>
          <cell r="G603" t="str">
            <v>岩村 裕</v>
          </cell>
          <cell r="H603">
            <v>30</v>
          </cell>
          <cell r="I603">
            <v>105</v>
          </cell>
          <cell r="J603" t="str">
            <v>243-03</v>
          </cell>
          <cell r="K603" t="str">
            <v>神奈川県愛甲郡愛川町中津</v>
          </cell>
          <cell r="L603" t="str">
            <v>6824</v>
          </cell>
          <cell r="M603" t="str">
            <v>0462-86-1118</v>
          </cell>
          <cell r="N603" t="str">
            <v>/86-0591</v>
          </cell>
          <cell r="O603" t="str">
            <v>ｶﾗｰ､ﾌﾞﾛｯｸﾋﾟﾝ</v>
          </cell>
          <cell r="P603" t="str">
            <v>▽</v>
          </cell>
          <cell r="Q603" t="str">
            <v>◎</v>
          </cell>
          <cell r="R603" t="str">
            <v>□</v>
          </cell>
          <cell r="S603" t="str">
            <v>☆</v>
          </cell>
          <cell r="T603" t="str">
            <v>ｱｲｺｰ</v>
          </cell>
          <cell r="V603" t="str">
            <v>53</v>
          </cell>
        </row>
        <row r="604">
          <cell r="B604" t="str">
            <v>5044</v>
          </cell>
          <cell r="C604" t="str">
            <v>A</v>
          </cell>
          <cell r="D604" t="str">
            <v>(株)アイコー</v>
          </cell>
          <cell r="E604" t="str">
            <v>栃木工場</v>
          </cell>
          <cell r="J604" t="str">
            <v>321-33</v>
          </cell>
          <cell r="K604" t="str">
            <v>栃木県芳賀郡芳賀町</v>
          </cell>
          <cell r="L604" t="str">
            <v>大字稲毛田字西ノ台1841-3</v>
          </cell>
          <cell r="M604" t="str">
            <v>02867-7-1021</v>
          </cell>
          <cell r="N604" t="str">
            <v>/</v>
          </cell>
          <cell r="O604" t="str">
            <v>ノズルホルダー・スラストワッシャ</v>
          </cell>
          <cell r="P604" t="str">
            <v>▽</v>
          </cell>
          <cell r="Q604" t="str">
            <v xml:space="preserve"> </v>
          </cell>
          <cell r="T604" t="str">
            <v>ｱｲｺｰ</v>
          </cell>
          <cell r="V604" t="str">
            <v>53</v>
          </cell>
        </row>
        <row r="605">
          <cell r="B605" t="str">
            <v>5057</v>
          </cell>
          <cell r="C605" t="str">
            <v>#</v>
          </cell>
          <cell r="D605" t="str">
            <v>久保田工業(株)</v>
          </cell>
          <cell r="F605" t="str">
            <v>取締役社長</v>
          </cell>
          <cell r="G605" t="str">
            <v>久保田　俊正</v>
          </cell>
          <cell r="H605">
            <v>20</v>
          </cell>
          <cell r="I605">
            <v>50</v>
          </cell>
          <cell r="J605" t="str">
            <v>399-46</v>
          </cell>
          <cell r="K605" t="str">
            <v>長野県上伊那郡箕輪町</v>
          </cell>
          <cell r="L605" t="str">
            <v>大字東箕輪4580</v>
          </cell>
          <cell r="M605" t="str">
            <v xml:space="preserve">02657-9-4567 </v>
          </cell>
          <cell r="N605" t="str">
            <v>/9-4570</v>
          </cell>
          <cell r="O605" t="str">
            <v>ニップル・ジョイント</v>
          </cell>
          <cell r="P605" t="str">
            <v>▽</v>
          </cell>
          <cell r="Q605" t="str">
            <v>◎</v>
          </cell>
          <cell r="R605" t="str">
            <v>□</v>
          </cell>
          <cell r="S605" t="str">
            <v>☆</v>
          </cell>
          <cell r="T605" t="str">
            <v>ｸﾎﾞﾀｺｳｷﾞｮｳ</v>
          </cell>
          <cell r="V605" t="str">
            <v>53</v>
          </cell>
        </row>
        <row r="606">
          <cell r="B606" t="str">
            <v>5060</v>
          </cell>
          <cell r="C606" t="str">
            <v>#</v>
          </cell>
          <cell r="D606" t="str">
            <v>アイエス精機(株)</v>
          </cell>
          <cell r="F606" t="str">
            <v>代表取締役社長</v>
          </cell>
          <cell r="G606" t="str">
            <v>中野  善教</v>
          </cell>
          <cell r="H606">
            <v>813</v>
          </cell>
          <cell r="I606">
            <v>430</v>
          </cell>
          <cell r="J606" t="str">
            <v>432</v>
          </cell>
          <cell r="K606" t="str">
            <v>浜松市小沢渡町8</v>
          </cell>
          <cell r="L606" t="str">
            <v xml:space="preserve"> </v>
          </cell>
          <cell r="M606" t="str">
            <v>053-447-1511</v>
          </cell>
          <cell r="N606" t="str">
            <v>/48-6048</v>
          </cell>
          <cell r="O606" t="str">
            <v>ｼﾌﾀｰﾛｯﾄﾞ</v>
          </cell>
          <cell r="Q606" t="str">
            <v>◎</v>
          </cell>
          <cell r="S606" t="str">
            <v>☆</v>
          </cell>
          <cell r="T606" t="str">
            <v>ｱｲｴｽｾｲｷ</v>
          </cell>
          <cell r="V606" t="str">
            <v>53</v>
          </cell>
        </row>
        <row r="607">
          <cell r="B607" t="str">
            <v>5062</v>
          </cell>
          <cell r="C607" t="str">
            <v>#</v>
          </cell>
          <cell r="D607" t="str">
            <v>京浜精密工業(株)</v>
          </cell>
          <cell r="F607" t="str">
            <v>代表取締役</v>
          </cell>
          <cell r="G607" t="str">
            <v>駒場　好夫</v>
          </cell>
          <cell r="H607">
            <v>104</v>
          </cell>
          <cell r="I607">
            <v>286</v>
          </cell>
          <cell r="J607" t="str">
            <v>221</v>
          </cell>
          <cell r="K607" t="str">
            <v>横浜市神奈川区入江2-12-4</v>
          </cell>
          <cell r="L607" t="str">
            <v xml:space="preserve"> </v>
          </cell>
          <cell r="M607" t="str">
            <v>045-401-4721</v>
          </cell>
          <cell r="N607" t="str">
            <v>/421-6821</v>
          </cell>
          <cell r="O607" t="str">
            <v>リレーレバー</v>
          </cell>
          <cell r="Q607" t="str">
            <v>◎</v>
          </cell>
          <cell r="R607" t="str">
            <v>□</v>
          </cell>
          <cell r="S607" t="str">
            <v>☆</v>
          </cell>
          <cell r="T607" t="str">
            <v>ｹｲﾋﾝｾｲﾐﾂｺｳｷﾞｮｳ</v>
          </cell>
          <cell r="V607" t="str">
            <v>53</v>
          </cell>
        </row>
        <row r="608">
          <cell r="B608" t="str">
            <v>5062</v>
          </cell>
          <cell r="C608" t="str">
            <v>A</v>
          </cell>
          <cell r="D608" t="str">
            <v>京浜精密工業(株)</v>
          </cell>
          <cell r="E608" t="str">
            <v>栃木工場</v>
          </cell>
          <cell r="J608" t="str">
            <v>322</v>
          </cell>
          <cell r="K608" t="str">
            <v>鹿沼市さつき町10-1</v>
          </cell>
          <cell r="L608" t="str">
            <v xml:space="preserve"> </v>
          </cell>
          <cell r="M608" t="str">
            <v>0289-76-2141</v>
          </cell>
          <cell r="N608" t="str">
            <v>/76-2145</v>
          </cell>
          <cell r="O608" t="str">
            <v>ｲﾝﾃｲｸｼｬｯﾀｰ､ﾛｯﾄﾞ類</v>
          </cell>
          <cell r="Q608" t="str">
            <v xml:space="preserve"> </v>
          </cell>
          <cell r="T608" t="str">
            <v>ｹｲﾋﾝｾｲﾐﾂｺｳｷﾞｮｳ</v>
          </cell>
          <cell r="V608" t="str">
            <v>53</v>
          </cell>
        </row>
        <row r="609">
          <cell r="B609" t="str">
            <v>5063</v>
          </cell>
          <cell r="C609" t="str">
            <v>#</v>
          </cell>
          <cell r="D609" t="str">
            <v>(株)コバユー</v>
          </cell>
          <cell r="F609" t="str">
            <v>取締役社長</v>
          </cell>
          <cell r="G609" t="str">
            <v>池上　三郎</v>
          </cell>
          <cell r="H609">
            <v>20</v>
          </cell>
          <cell r="I609">
            <v>48</v>
          </cell>
          <cell r="J609" t="str">
            <v>131</v>
          </cell>
          <cell r="K609" t="str">
            <v>墨田区押上1-35-1</v>
          </cell>
          <cell r="L609" t="str">
            <v xml:space="preserve"> </v>
          </cell>
          <cell r="M609" t="str">
            <v>03-3619-3111</v>
          </cell>
          <cell r="N609" t="str">
            <v>/3619-3110</v>
          </cell>
          <cell r="O609" t="str">
            <v>ナット・スクリュー</v>
          </cell>
          <cell r="Q609" t="str">
            <v>◎</v>
          </cell>
          <cell r="R609" t="str">
            <v>□</v>
          </cell>
          <cell r="S609" t="str">
            <v>☆</v>
          </cell>
          <cell r="T609" t="str">
            <v>ｺﾊﾞﾕｰ</v>
          </cell>
          <cell r="V609" t="str">
            <v>64</v>
          </cell>
        </row>
        <row r="610">
          <cell r="B610" t="str">
            <v>5064</v>
          </cell>
          <cell r="C610" t="str">
            <v>#</v>
          </cell>
          <cell r="D610" t="str">
            <v>(株)横浜産業商会</v>
          </cell>
          <cell r="F610" t="str">
            <v>代表取締役</v>
          </cell>
          <cell r="G610" t="str">
            <v>久保　雅義</v>
          </cell>
          <cell r="H610">
            <v>1</v>
          </cell>
          <cell r="I610">
            <v>7</v>
          </cell>
          <cell r="J610" t="str">
            <v>243-04</v>
          </cell>
          <cell r="K610" t="str">
            <v>海老名市東柏ケ谷2-25-39</v>
          </cell>
          <cell r="L610" t="str">
            <v xml:space="preserve"> </v>
          </cell>
          <cell r="M610" t="str">
            <v>0462-33-1561</v>
          </cell>
          <cell r="N610" t="str">
            <v>/</v>
          </cell>
          <cell r="O610" t="str">
            <v>マグネットプラグ</v>
          </cell>
          <cell r="Q610" t="str">
            <v xml:space="preserve"> </v>
          </cell>
          <cell r="R610" t="str">
            <v>□</v>
          </cell>
          <cell r="T610" t="str">
            <v>ﾖｺﾊﾏｻﾝｷﾞｮｳｼｮｳｶｲ</v>
          </cell>
          <cell r="V610" t="str">
            <v>64</v>
          </cell>
        </row>
        <row r="611">
          <cell r="B611" t="str">
            <v>5065</v>
          </cell>
          <cell r="C611" t="str">
            <v>#</v>
          </cell>
          <cell r="D611" t="str">
            <v>(自動車鋳物(株))</v>
          </cell>
          <cell r="K611" t="str">
            <v xml:space="preserve"> </v>
          </cell>
          <cell r="L611" t="str">
            <v xml:space="preserve"> </v>
          </cell>
          <cell r="N611" t="str">
            <v>/</v>
          </cell>
          <cell r="Q611" t="str">
            <v>◎</v>
          </cell>
          <cell r="R611" t="str">
            <v>□</v>
          </cell>
          <cell r="T611" t="str">
            <v>ｼﾞﾄﾞｳｼｬｲﾓﾉ</v>
          </cell>
          <cell r="V611" t="str">
            <v>53</v>
          </cell>
        </row>
        <row r="612">
          <cell r="B612" t="str">
            <v>5067</v>
          </cell>
          <cell r="C612" t="str">
            <v>#</v>
          </cell>
          <cell r="D612" t="str">
            <v>菱電商事(株)</v>
          </cell>
          <cell r="F612" t="str">
            <v>取締役社長</v>
          </cell>
          <cell r="G612" t="str">
            <v>村山  俊司</v>
          </cell>
          <cell r="H612">
            <v>10334</v>
          </cell>
          <cell r="I612">
            <v>1246</v>
          </cell>
          <cell r="J612" t="str">
            <v>170</v>
          </cell>
          <cell r="K612" t="str">
            <v>豊島区東池袋3-15-15</v>
          </cell>
          <cell r="L612" t="str">
            <v xml:space="preserve"> </v>
          </cell>
          <cell r="M612" t="str">
            <v>03-5396-6404</v>
          </cell>
          <cell r="N612" t="str">
            <v>/5396-6407</v>
          </cell>
          <cell r="Q612" t="str">
            <v xml:space="preserve"> </v>
          </cell>
          <cell r="T612" t="str">
            <v>ﾘｮｳﾃﾞﾝｼｮｳｼﾞ</v>
          </cell>
          <cell r="V612" t="str">
            <v>30</v>
          </cell>
        </row>
        <row r="613">
          <cell r="B613" t="str">
            <v>5068</v>
          </cell>
          <cell r="C613" t="str">
            <v>#</v>
          </cell>
          <cell r="D613" t="str">
            <v>(株)オーハシテクニカ</v>
          </cell>
          <cell r="F613" t="str">
            <v>代表取締役社長</v>
          </cell>
          <cell r="G613" t="str">
            <v>古尾谷  健</v>
          </cell>
          <cell r="H613">
            <v>314</v>
          </cell>
          <cell r="I613">
            <v>300</v>
          </cell>
          <cell r="J613" t="str">
            <v>163-09</v>
          </cell>
          <cell r="K613" t="str">
            <v>新宿区西新宿2-3-1</v>
          </cell>
          <cell r="L613" t="str">
            <v>新宿モノリス21階</v>
          </cell>
          <cell r="M613" t="str">
            <v>03-5321-3417</v>
          </cell>
          <cell r="N613" t="str">
            <v>/5321-3426</v>
          </cell>
          <cell r="O613" t="str">
            <v>ｸﾘｯﾌﾟ､ｽｸﾘｭｰ</v>
          </cell>
          <cell r="Q613" t="str">
            <v>◎</v>
          </cell>
          <cell r="R613" t="str">
            <v>□</v>
          </cell>
          <cell r="S613" t="str">
            <v>☆</v>
          </cell>
          <cell r="T613" t="str">
            <v>ｵｰﾊｼﾃｸﾆｶ</v>
          </cell>
          <cell r="V613" t="str">
            <v>64</v>
          </cell>
        </row>
        <row r="614">
          <cell r="B614" t="str">
            <v>5068</v>
          </cell>
          <cell r="C614" t="str">
            <v>A</v>
          </cell>
          <cell r="D614" t="str">
            <v>(株)オーハシテクニカ</v>
          </cell>
          <cell r="E614" t="str">
            <v>厚木営業所</v>
          </cell>
          <cell r="F614" t="str">
            <v>所長</v>
          </cell>
          <cell r="G614" t="str">
            <v>関    良和</v>
          </cell>
          <cell r="J614" t="str">
            <v>243</v>
          </cell>
          <cell r="K614" t="str">
            <v>厚木市岡田4-3-18</v>
          </cell>
          <cell r="L614" t="str">
            <v xml:space="preserve"> </v>
          </cell>
          <cell r="M614" t="str">
            <v>0462-28-5511</v>
          </cell>
          <cell r="N614" t="str">
            <v>/28-5878</v>
          </cell>
          <cell r="O614" t="str">
            <v>ｸﾘｯﾌﾟ､ｽｸﾘｭｰ</v>
          </cell>
          <cell r="Q614" t="str">
            <v xml:space="preserve"> </v>
          </cell>
          <cell r="T614" t="str">
            <v>ｵｰﾊｼﾃｸﾆｶ</v>
          </cell>
          <cell r="V614" t="str">
            <v>64</v>
          </cell>
        </row>
        <row r="615">
          <cell r="B615" t="str">
            <v>5069</v>
          </cell>
          <cell r="C615" t="str">
            <v>#</v>
          </cell>
          <cell r="D615" t="str">
            <v>(株)関東商会</v>
          </cell>
          <cell r="F615" t="str">
            <v>代表取締役社長</v>
          </cell>
          <cell r="G615" t="str">
            <v>遠田  捷</v>
          </cell>
          <cell r="H615">
            <v>40</v>
          </cell>
          <cell r="I615">
            <v>53</v>
          </cell>
          <cell r="J615" t="str">
            <v>104</v>
          </cell>
          <cell r="K615" t="str">
            <v>中央区八丁堀4-8-10</v>
          </cell>
          <cell r="L615" t="str">
            <v xml:space="preserve"> </v>
          </cell>
          <cell r="M615" t="str">
            <v>03-3553-2351</v>
          </cell>
          <cell r="N615" t="str">
            <v>/</v>
          </cell>
          <cell r="O615" t="str">
            <v>熔接ナット</v>
          </cell>
          <cell r="Q615" t="str">
            <v xml:space="preserve"> </v>
          </cell>
          <cell r="R615" t="str">
            <v>□</v>
          </cell>
          <cell r="T615" t="str">
            <v>ｶﾝﾄｳｼｮｳｶｲ</v>
          </cell>
          <cell r="V615" t="str">
            <v>64</v>
          </cell>
        </row>
        <row r="616">
          <cell r="B616" t="str">
            <v>5069</v>
          </cell>
          <cell r="C616" t="str">
            <v>A</v>
          </cell>
          <cell r="D616" t="str">
            <v>(株)関東商会</v>
          </cell>
          <cell r="E616" t="str">
            <v>横浜営業所</v>
          </cell>
          <cell r="F616" t="str">
            <v>所長</v>
          </cell>
          <cell r="G616" t="str">
            <v>小泉  幸夫</v>
          </cell>
          <cell r="J616" t="str">
            <v>224</v>
          </cell>
          <cell r="K616" t="str">
            <v>横浜市都筑区葛ｶﾞ谷14-9</v>
          </cell>
          <cell r="L616" t="str">
            <v xml:space="preserve"> </v>
          </cell>
          <cell r="M616" t="str">
            <v>045-943-0811</v>
          </cell>
          <cell r="N616" t="str">
            <v>/943-0810</v>
          </cell>
          <cell r="O616" t="str">
            <v>熔接ナット</v>
          </cell>
          <cell r="Q616" t="str">
            <v xml:space="preserve"> </v>
          </cell>
          <cell r="T616" t="str">
            <v>ｶﾝﾄｳｼｮｳｶｲ</v>
          </cell>
          <cell r="V616" t="str">
            <v>64</v>
          </cell>
        </row>
        <row r="617">
          <cell r="B617" t="str">
            <v>5070</v>
          </cell>
          <cell r="C617" t="str">
            <v>#</v>
          </cell>
          <cell r="D617" t="str">
            <v>日信工業(株)</v>
          </cell>
          <cell r="F617" t="str">
            <v>取締役社長</v>
          </cell>
          <cell r="G617" t="str">
            <v>中谷  朔三</v>
          </cell>
          <cell r="H617">
            <v>600</v>
          </cell>
          <cell r="I617">
            <v>759</v>
          </cell>
          <cell r="J617" t="str">
            <v>386</v>
          </cell>
          <cell r="K617" t="str">
            <v>上田市国分840</v>
          </cell>
          <cell r="L617" t="str">
            <v xml:space="preserve"> </v>
          </cell>
          <cell r="M617" t="str">
            <v>0268-24-3111</v>
          </cell>
          <cell r="N617" t="str">
            <v>/</v>
          </cell>
          <cell r="O617" t="str">
            <v>ｽﾚｰﾌﾟｼﾘﾝﾀﾞｰ</v>
          </cell>
          <cell r="Q617" t="str">
            <v>◎</v>
          </cell>
          <cell r="R617" t="str">
            <v>□</v>
          </cell>
          <cell r="S617" t="str">
            <v>☆</v>
          </cell>
          <cell r="T617" t="str">
            <v>ﾆｯｼﾝｺｳｷﾞｮｳ</v>
          </cell>
          <cell r="V617" t="str">
            <v>56</v>
          </cell>
        </row>
        <row r="618">
          <cell r="B618" t="str">
            <v>5070</v>
          </cell>
          <cell r="C618" t="str">
            <v>A</v>
          </cell>
          <cell r="D618" t="str">
            <v>日信工業(株)</v>
          </cell>
          <cell r="E618" t="str">
            <v>東京営業所</v>
          </cell>
          <cell r="F618" t="str">
            <v>所長</v>
          </cell>
          <cell r="G618" t="str">
            <v>手塚  一夫</v>
          </cell>
          <cell r="J618" t="str">
            <v>113</v>
          </cell>
          <cell r="K618" t="str">
            <v>文京区本駒込6-3-6</v>
          </cell>
          <cell r="L618" t="str">
            <v>大信ビル</v>
          </cell>
          <cell r="M618" t="str">
            <v>03-3946-5111</v>
          </cell>
          <cell r="N618" t="str">
            <v>/3943-2116</v>
          </cell>
          <cell r="O618" t="str">
            <v>ｽﾚｰﾌﾟｼﾘﾝﾀﾞｰ</v>
          </cell>
          <cell r="Q618" t="str">
            <v xml:space="preserve"> </v>
          </cell>
          <cell r="T618" t="str">
            <v>ﾆｯｼﾝｺｳｷﾞｮｳ</v>
          </cell>
          <cell r="V618" t="str">
            <v>56</v>
          </cell>
        </row>
        <row r="619">
          <cell r="B619" t="str">
            <v>5071</v>
          </cell>
          <cell r="C619" t="str">
            <v>#</v>
          </cell>
          <cell r="D619" t="str">
            <v>(株)ソミック石川</v>
          </cell>
          <cell r="F619" t="str">
            <v>取締役社長</v>
          </cell>
          <cell r="G619" t="str">
            <v>石川　晃三</v>
          </cell>
          <cell r="H619">
            <v>162</v>
          </cell>
          <cell r="I619">
            <v>824</v>
          </cell>
          <cell r="J619" t="str">
            <v>130</v>
          </cell>
          <cell r="K619" t="str">
            <v>墨田区本所1-34-6</v>
          </cell>
          <cell r="L619" t="str">
            <v xml:space="preserve"> </v>
          </cell>
          <cell r="M619" t="str">
            <v>03-3623-0319</v>
          </cell>
          <cell r="N619" t="str">
            <v>/</v>
          </cell>
          <cell r="O619" t="str">
            <v>ｻｽﾍﾟﾝｼｮﾝ､ﾎﾞｰﾙｼﾞｮｲﾝﾄ</v>
          </cell>
          <cell r="Q619" t="str">
            <v>◎</v>
          </cell>
          <cell r="R619" t="str">
            <v>□</v>
          </cell>
          <cell r="S619" t="str">
            <v>☆</v>
          </cell>
          <cell r="T619" t="str">
            <v>ｿﾐｯｸｲｼｶﾜ</v>
          </cell>
          <cell r="V619" t="str">
            <v>54</v>
          </cell>
        </row>
        <row r="620">
          <cell r="B620" t="str">
            <v>5071</v>
          </cell>
          <cell r="C620" t="str">
            <v>A</v>
          </cell>
          <cell r="D620" t="str">
            <v>(株)ソミック石川</v>
          </cell>
          <cell r="E620" t="str">
            <v>古川工場</v>
          </cell>
          <cell r="J620" t="str">
            <v>435</v>
          </cell>
          <cell r="K620" t="str">
            <v>浜松市古川町500番地</v>
          </cell>
          <cell r="L620" t="str">
            <v xml:space="preserve"> </v>
          </cell>
          <cell r="M620" t="str">
            <v>0534-25-6616</v>
          </cell>
          <cell r="N620" t="str">
            <v>/25-2100</v>
          </cell>
          <cell r="O620" t="str">
            <v>ｻｽﾍﾟﾝｼｮﾝ､ﾎﾞｰﾙｼﾞｮｲﾝﾄ</v>
          </cell>
          <cell r="Q620" t="str">
            <v xml:space="preserve"> </v>
          </cell>
          <cell r="T620" t="str">
            <v>ｿﾐｯｸｲｼｶﾜ</v>
          </cell>
          <cell r="V620" t="str">
            <v>54</v>
          </cell>
        </row>
        <row r="621">
          <cell r="B621" t="str">
            <v>5071</v>
          </cell>
          <cell r="C621" t="str">
            <v>B</v>
          </cell>
          <cell r="D621" t="str">
            <v>(株)ソミック石川</v>
          </cell>
          <cell r="E621" t="str">
            <v>領家工場</v>
          </cell>
          <cell r="J621" t="str">
            <v>430</v>
          </cell>
          <cell r="K621" t="str">
            <v>浜松市領家350-1</v>
          </cell>
          <cell r="L621" t="str">
            <v xml:space="preserve"> </v>
          </cell>
          <cell r="M621" t="str">
            <v>0534-61-3118</v>
          </cell>
          <cell r="N621" t="str">
            <v>/</v>
          </cell>
          <cell r="O621" t="str">
            <v>ｻｽﾍﾟﾝｼｮﾝ､ﾎﾞｰﾙｼﾞｮｲﾝﾄ</v>
          </cell>
          <cell r="Q621" t="str">
            <v xml:space="preserve"> </v>
          </cell>
          <cell r="T621" t="str">
            <v>ｿﾐｯｸｲｼｶﾜ</v>
          </cell>
          <cell r="V621" t="str">
            <v>54</v>
          </cell>
        </row>
        <row r="622">
          <cell r="B622" t="str">
            <v>5071</v>
          </cell>
          <cell r="C622" t="str">
            <v>C</v>
          </cell>
          <cell r="D622" t="str">
            <v>(株)ソミック石川</v>
          </cell>
          <cell r="E622" t="str">
            <v>鶴見工場</v>
          </cell>
          <cell r="J622" t="str">
            <v>435</v>
          </cell>
          <cell r="K622" t="str">
            <v>浜松市鶴見町1356</v>
          </cell>
          <cell r="L622" t="str">
            <v xml:space="preserve"> </v>
          </cell>
          <cell r="M622" t="str">
            <v>0534-21-2241</v>
          </cell>
          <cell r="N622" t="str">
            <v>/</v>
          </cell>
          <cell r="O622" t="str">
            <v>ｻｽﾍﾟﾝｼｮﾝ､ﾎﾞｰﾙｼﾞｮｲﾝﾄ</v>
          </cell>
          <cell r="Q622" t="str">
            <v xml:space="preserve"> </v>
          </cell>
          <cell r="T622" t="str">
            <v>ｿﾐｯｸｲｼｶﾜ</v>
          </cell>
          <cell r="V622" t="str">
            <v>54</v>
          </cell>
        </row>
        <row r="623">
          <cell r="B623" t="str">
            <v>5072</v>
          </cell>
          <cell r="C623" t="str">
            <v>#</v>
          </cell>
          <cell r="D623" t="str">
            <v>(株)三友精機</v>
          </cell>
          <cell r="F623" t="str">
            <v>取締役社長</v>
          </cell>
          <cell r="G623" t="str">
            <v>早川  久雄</v>
          </cell>
          <cell r="H623">
            <v>30</v>
          </cell>
          <cell r="I623">
            <v>20</v>
          </cell>
          <cell r="J623" t="str">
            <v>160</v>
          </cell>
          <cell r="K623" t="str">
            <v>新宿区西新宿7-16-3</v>
          </cell>
          <cell r="L623" t="str">
            <v>フジビル</v>
          </cell>
          <cell r="M623" t="str">
            <v>03-3365-1381</v>
          </cell>
          <cell r="N623" t="str">
            <v>/3365-2496</v>
          </cell>
          <cell r="O623" t="str">
            <v>ヘリサート</v>
          </cell>
          <cell r="Q623" t="str">
            <v xml:space="preserve"> </v>
          </cell>
          <cell r="R623" t="str">
            <v>□</v>
          </cell>
          <cell r="T623" t="str">
            <v>ｻﾝﾕｳｾｲｷ</v>
          </cell>
          <cell r="V623" t="str">
            <v>30</v>
          </cell>
        </row>
        <row r="624">
          <cell r="B624" t="str">
            <v>5073</v>
          </cell>
          <cell r="C624" t="str">
            <v>#</v>
          </cell>
          <cell r="D624" t="str">
            <v>京浜興産(株)</v>
          </cell>
          <cell r="F624" t="str">
            <v>代表取締役</v>
          </cell>
          <cell r="G624" t="str">
            <v>駒場　芳夫</v>
          </cell>
          <cell r="H624">
            <v>20</v>
          </cell>
          <cell r="I624">
            <v>13</v>
          </cell>
          <cell r="J624" t="str">
            <v>221</v>
          </cell>
          <cell r="K624" t="str">
            <v>横浜市神奈川区入江2-13-3</v>
          </cell>
          <cell r="L624" t="str">
            <v xml:space="preserve"> </v>
          </cell>
          <cell r="M624" t="str">
            <v>045-433-8525</v>
          </cell>
          <cell r="N624" t="str">
            <v>/432-3994</v>
          </cell>
          <cell r="O624" t="str">
            <v>リンクロッド・ディスタンスビース</v>
          </cell>
          <cell r="P624" t="str">
            <v>▽</v>
          </cell>
          <cell r="Q624" t="str">
            <v xml:space="preserve"> </v>
          </cell>
          <cell r="R624" t="str">
            <v>□</v>
          </cell>
          <cell r="S624" t="str">
            <v>☆</v>
          </cell>
          <cell r="T624" t="str">
            <v>ｹｲﾋﾝｺｳｻﾝ</v>
          </cell>
          <cell r="V624" t="str">
            <v>53</v>
          </cell>
        </row>
        <row r="625">
          <cell r="B625" t="str">
            <v>5075</v>
          </cell>
          <cell r="C625" t="str">
            <v>#</v>
          </cell>
          <cell r="D625" t="str">
            <v>(株)増田製作所</v>
          </cell>
          <cell r="F625" t="str">
            <v>代表取締役</v>
          </cell>
          <cell r="G625" t="str">
            <v>増田　照子</v>
          </cell>
          <cell r="H625">
            <v>24</v>
          </cell>
          <cell r="I625">
            <v>58</v>
          </cell>
          <cell r="J625" t="str">
            <v>330</v>
          </cell>
          <cell r="K625" t="str">
            <v>大宮市東大成町2-616</v>
          </cell>
          <cell r="L625" t="str">
            <v xml:space="preserve"> </v>
          </cell>
          <cell r="M625" t="str">
            <v>0486-65-8131</v>
          </cell>
          <cell r="N625" t="str">
            <v>/51-8818</v>
          </cell>
          <cell r="O625" t="str">
            <v>マシンキー</v>
          </cell>
          <cell r="P625" t="str">
            <v>▽</v>
          </cell>
          <cell r="Q625" t="str">
            <v xml:space="preserve"> </v>
          </cell>
          <cell r="T625" t="str">
            <v>ﾏｽﾀﾞｾｲｻｸｼｮ</v>
          </cell>
          <cell r="V625" t="str">
            <v>64</v>
          </cell>
        </row>
        <row r="626">
          <cell r="B626" t="str">
            <v>5076</v>
          </cell>
          <cell r="C626" t="str">
            <v>#</v>
          </cell>
          <cell r="D626" t="str">
            <v>日本ギア工業(株)</v>
          </cell>
          <cell r="F626" t="str">
            <v>代表取締役社長</v>
          </cell>
          <cell r="G626" t="str">
            <v>中村  敏彦</v>
          </cell>
          <cell r="H626">
            <v>600</v>
          </cell>
          <cell r="I626">
            <v>489</v>
          </cell>
          <cell r="J626" t="str">
            <v>252</v>
          </cell>
          <cell r="K626" t="str">
            <v>藤沢市桐原町7</v>
          </cell>
          <cell r="L626" t="str">
            <v xml:space="preserve"> </v>
          </cell>
          <cell r="M626" t="str">
            <v>0466-45-2140</v>
          </cell>
          <cell r="N626" t="str">
            <v>/45-3336</v>
          </cell>
          <cell r="O626" t="str">
            <v>ｷﾞﾔ加工</v>
          </cell>
          <cell r="Q626" t="str">
            <v xml:space="preserve"> </v>
          </cell>
          <cell r="S626" t="str">
            <v>☆</v>
          </cell>
          <cell r="T626" t="str">
            <v>ﾆﾎﾝｷﾞｱｺｳｷﾞｮｳ</v>
          </cell>
          <cell r="V626" t="str">
            <v>53</v>
          </cell>
        </row>
        <row r="627">
          <cell r="B627" t="str">
            <v>5077</v>
          </cell>
          <cell r="C627" t="str">
            <v>#</v>
          </cell>
          <cell r="D627" t="str">
            <v>(株)青山製作所</v>
          </cell>
          <cell r="F627" t="str">
            <v>取締役社長</v>
          </cell>
          <cell r="G627" t="str">
            <v>青山　義光</v>
          </cell>
          <cell r="H627">
            <v>40</v>
          </cell>
          <cell r="I627">
            <v>504</v>
          </cell>
          <cell r="J627" t="str">
            <v>480-01</v>
          </cell>
          <cell r="K627" t="str">
            <v>愛知県丹羽郡大口町高橋1-8</v>
          </cell>
          <cell r="L627" t="str">
            <v xml:space="preserve"> </v>
          </cell>
          <cell r="M627" t="str">
            <v>0587-95-1151</v>
          </cell>
          <cell r="N627" t="str">
            <v>/95-3839</v>
          </cell>
          <cell r="O627" t="str">
            <v>ボルト ナット</v>
          </cell>
          <cell r="P627" t="str">
            <v>▽</v>
          </cell>
          <cell r="Q627" t="str">
            <v>◎</v>
          </cell>
          <cell r="R627" t="str">
            <v>□</v>
          </cell>
          <cell r="S627" t="str">
            <v>☆</v>
          </cell>
          <cell r="T627" t="str">
            <v>ｱｵﾔﾏｾｲｻｸｼｮ</v>
          </cell>
          <cell r="V627" t="str">
            <v>64</v>
          </cell>
        </row>
        <row r="628">
          <cell r="B628" t="str">
            <v>5077</v>
          </cell>
          <cell r="C628" t="str">
            <v>A</v>
          </cell>
          <cell r="D628" t="str">
            <v>(株)青山製作所</v>
          </cell>
          <cell r="E628" t="str">
            <v>関東支店</v>
          </cell>
          <cell r="F628" t="str">
            <v>統括</v>
          </cell>
          <cell r="G628" t="str">
            <v>守谷  崇司</v>
          </cell>
          <cell r="J628" t="str">
            <v>146</v>
          </cell>
          <cell r="K628" t="str">
            <v>大田区矢口2-32-16</v>
          </cell>
          <cell r="L628" t="str">
            <v xml:space="preserve"> </v>
          </cell>
          <cell r="M628" t="str">
            <v>03-3758-4001</v>
          </cell>
          <cell r="N628" t="str">
            <v>/3758-4003</v>
          </cell>
          <cell r="O628" t="str">
            <v>ボルト ナット</v>
          </cell>
          <cell r="P628" t="str">
            <v>▽</v>
          </cell>
          <cell r="Q628" t="str">
            <v xml:space="preserve"> </v>
          </cell>
          <cell r="T628" t="str">
            <v>ｱｵﾔﾏｾｲｻｸｼｮ</v>
          </cell>
          <cell r="V628" t="str">
            <v>64</v>
          </cell>
        </row>
        <row r="629">
          <cell r="B629" t="str">
            <v>5078</v>
          </cell>
          <cell r="C629" t="str">
            <v>#</v>
          </cell>
          <cell r="D629" t="str">
            <v>(株)エラン</v>
          </cell>
          <cell r="F629" t="str">
            <v>代表取締役</v>
          </cell>
          <cell r="G629" t="str">
            <v>真木　孝英</v>
          </cell>
          <cell r="H629">
            <v>10</v>
          </cell>
          <cell r="I629">
            <v>18</v>
          </cell>
          <cell r="J629" t="str">
            <v>223</v>
          </cell>
          <cell r="K629" t="str">
            <v>横浜市港北区新羽町159-2</v>
          </cell>
          <cell r="L629" t="str">
            <v xml:space="preserve"> </v>
          </cell>
          <cell r="M629" t="str">
            <v>045-543-4711</v>
          </cell>
          <cell r="N629" t="str">
            <v>/531-4749</v>
          </cell>
          <cell r="O629" t="str">
            <v>ボルト</v>
          </cell>
          <cell r="P629" t="str">
            <v>▽</v>
          </cell>
          <cell r="Q629" t="str">
            <v xml:space="preserve"> </v>
          </cell>
          <cell r="R629" t="str">
            <v>□</v>
          </cell>
          <cell r="S629" t="str">
            <v>☆</v>
          </cell>
          <cell r="T629" t="str">
            <v>ｴﾗﾝ</v>
          </cell>
          <cell r="V629" t="str">
            <v>64</v>
          </cell>
        </row>
        <row r="630">
          <cell r="B630" t="str">
            <v>5079</v>
          </cell>
          <cell r="C630" t="str">
            <v>#</v>
          </cell>
          <cell r="D630" t="str">
            <v>日産工機(株)</v>
          </cell>
          <cell r="F630" t="str">
            <v>取締役社長</v>
          </cell>
          <cell r="G630" t="str">
            <v>大村  次郎</v>
          </cell>
          <cell r="H630">
            <v>2020</v>
          </cell>
          <cell r="I630">
            <v>1039</v>
          </cell>
          <cell r="J630" t="str">
            <v>253-01</v>
          </cell>
          <cell r="K630" t="str">
            <v>神奈川県高座郡寒川町岡田</v>
          </cell>
          <cell r="L630" t="str">
            <v>6-6-1</v>
          </cell>
          <cell r="M630" t="str">
            <v>0467-75-1714</v>
          </cell>
          <cell r="N630" t="str">
            <v>/75-0450</v>
          </cell>
          <cell r="O630" t="str">
            <v>ｸﾗﾝｸｼｬﾌﾄ･ｶﾑｼｬﾌﾄ</v>
          </cell>
          <cell r="R630" t="str">
            <v>□</v>
          </cell>
          <cell r="S630" t="str">
            <v>☆</v>
          </cell>
          <cell r="T630" t="str">
            <v>ﾆｯｻﾝｺｳｷ</v>
          </cell>
          <cell r="V630" t="str">
            <v>51</v>
          </cell>
          <cell r="W630" t="str">
            <v xml:space="preserve"> </v>
          </cell>
        </row>
        <row r="631">
          <cell r="B631" t="str">
            <v>5100</v>
          </cell>
          <cell r="C631" t="str">
            <v>#</v>
          </cell>
          <cell r="D631" t="str">
            <v>(株)アイシーティー</v>
          </cell>
          <cell r="F631" t="str">
            <v>代表取締役社長</v>
          </cell>
          <cell r="G631" t="str">
            <v>仙波  淳三</v>
          </cell>
          <cell r="H631">
            <v>60</v>
          </cell>
          <cell r="I631">
            <v>13</v>
          </cell>
          <cell r="J631" t="str">
            <v>541</v>
          </cell>
          <cell r="K631" t="str">
            <v>大阪市中央区高麗橋4-1-1</v>
          </cell>
          <cell r="L631" t="str">
            <v>興銀ビル6F</v>
          </cell>
          <cell r="M631" t="str">
            <v>06-223-9202</v>
          </cell>
          <cell r="N631" t="str">
            <v>/</v>
          </cell>
          <cell r="O631" t="str">
            <v>触媒</v>
          </cell>
          <cell r="P631" t="str">
            <v>▽</v>
          </cell>
          <cell r="Q631" t="str">
            <v>◎</v>
          </cell>
          <cell r="R631" t="str">
            <v>□</v>
          </cell>
          <cell r="S631" t="str">
            <v>☆</v>
          </cell>
          <cell r="T631" t="str">
            <v>ｱｲｼｰﾃｨｰ</v>
          </cell>
          <cell r="V631" t="str">
            <v>51</v>
          </cell>
        </row>
        <row r="632">
          <cell r="B632" t="str">
            <v>5100</v>
          </cell>
          <cell r="C632" t="str">
            <v>A</v>
          </cell>
          <cell r="E632" t="str">
            <v>東京事務所</v>
          </cell>
          <cell r="J632" t="str">
            <v>105</v>
          </cell>
          <cell r="K632" t="str">
            <v>港区西新橋1-4-14</v>
          </cell>
          <cell r="L632" t="str">
            <v>物産ビル3階</v>
          </cell>
          <cell r="M632" t="str">
            <v>03-3506-1980</v>
          </cell>
          <cell r="N632" t="str">
            <v>/3506-1975</v>
          </cell>
          <cell r="P632" t="str">
            <v>▽</v>
          </cell>
          <cell r="Q632" t="str">
            <v xml:space="preserve"> </v>
          </cell>
          <cell r="T632" t="str">
            <v>ｱｲｼｰﾃｨｰ</v>
          </cell>
          <cell r="V632" t="str">
            <v>51</v>
          </cell>
        </row>
        <row r="633">
          <cell r="B633" t="str">
            <v>5500</v>
          </cell>
          <cell r="C633" t="str">
            <v>#</v>
          </cell>
          <cell r="D633" t="str">
            <v>日立精機(株)</v>
          </cell>
          <cell r="F633" t="str">
            <v>代表取締役社長</v>
          </cell>
          <cell r="G633" t="str">
            <v>手島　五郎</v>
          </cell>
          <cell r="H633">
            <v>5060</v>
          </cell>
          <cell r="I633">
            <v>1176</v>
          </cell>
          <cell r="J633" t="str">
            <v>270-11</v>
          </cell>
          <cell r="K633" t="str">
            <v>我孫子市我孫子1番地</v>
          </cell>
          <cell r="L633" t="str">
            <v xml:space="preserve"> </v>
          </cell>
          <cell r="M633" t="str">
            <v>0471-84-1111</v>
          </cell>
          <cell r="N633" t="str">
            <v>/83-2345</v>
          </cell>
          <cell r="O633" t="str">
            <v>工作機械</v>
          </cell>
          <cell r="Q633" t="str">
            <v xml:space="preserve"> </v>
          </cell>
          <cell r="R633" t="str">
            <v>□</v>
          </cell>
          <cell r="S633" t="str">
            <v>☆</v>
          </cell>
          <cell r="T633" t="str">
            <v>ﾋﾀﾁｾｲｷ</v>
          </cell>
          <cell r="V633" t="str">
            <v>30</v>
          </cell>
        </row>
        <row r="634">
          <cell r="B634" t="str">
            <v>5501</v>
          </cell>
          <cell r="C634" t="str">
            <v>#</v>
          </cell>
          <cell r="D634" t="str">
            <v>東京器(株)</v>
          </cell>
          <cell r="F634" t="str">
            <v>取締役社長</v>
          </cell>
          <cell r="G634" t="str">
            <v>高村　巖</v>
          </cell>
          <cell r="H634">
            <v>2000</v>
          </cell>
          <cell r="I634">
            <v>845</v>
          </cell>
          <cell r="J634" t="str">
            <v>224</v>
          </cell>
          <cell r="K634" t="str">
            <v>横浜市都筑区仲町台3-12-3</v>
          </cell>
          <cell r="L634" t="str">
            <v xml:space="preserve"> </v>
          </cell>
          <cell r="M634" t="str">
            <v>045-945-8521</v>
          </cell>
          <cell r="N634" t="str">
            <v>/945-8510</v>
          </cell>
          <cell r="O634" t="str">
            <v>ｵｲﾙﾌｨﾙﾀｰｴﾚﾒﾝﾄ</v>
          </cell>
          <cell r="Q634" t="str">
            <v>◎</v>
          </cell>
          <cell r="R634" t="str">
            <v>□</v>
          </cell>
          <cell r="S634" t="str">
            <v>☆</v>
          </cell>
          <cell r="T634" t="str">
            <v>ﾄｳｷｮｳﾛｷ</v>
          </cell>
          <cell r="V634" t="str">
            <v>51</v>
          </cell>
        </row>
        <row r="635">
          <cell r="B635" t="str">
            <v>5503</v>
          </cell>
          <cell r="C635" t="str">
            <v>#</v>
          </cell>
          <cell r="D635" t="str">
            <v>(株)エクセディ</v>
          </cell>
          <cell r="F635" t="str">
            <v>代表取締役社長</v>
          </cell>
          <cell r="G635" t="str">
            <v>足立　勝</v>
          </cell>
          <cell r="H635">
            <v>6878</v>
          </cell>
          <cell r="I635">
            <v>2088</v>
          </cell>
          <cell r="J635" t="str">
            <v>572</v>
          </cell>
          <cell r="K635" t="str">
            <v>寝屋川市木田元宮1-1-1</v>
          </cell>
          <cell r="L635" t="str">
            <v/>
          </cell>
          <cell r="M635" t="str">
            <v>0720-22-1151</v>
          </cell>
          <cell r="N635" t="str">
            <v>/</v>
          </cell>
          <cell r="O635" t="str">
            <v>自動車用ﾏﾆｭｱﾙｸﾗｯﾁ</v>
          </cell>
          <cell r="Q635" t="str">
            <v>◎</v>
          </cell>
          <cell r="R635" t="str">
            <v>□</v>
          </cell>
          <cell r="S635" t="str">
            <v>☆</v>
          </cell>
          <cell r="T635" t="str">
            <v>ｴｸｾﾃﾞｨ</v>
          </cell>
          <cell r="V635" t="str">
            <v>56</v>
          </cell>
        </row>
        <row r="636">
          <cell r="B636" t="str">
            <v>5503</v>
          </cell>
          <cell r="C636" t="str">
            <v>A</v>
          </cell>
          <cell r="D636" t="str">
            <v>(株)大金製作所</v>
          </cell>
          <cell r="E636" t="str">
            <v>東京営業所</v>
          </cell>
          <cell r="F636" t="str">
            <v>所長</v>
          </cell>
          <cell r="G636" t="str">
            <v>澤田　直章</v>
          </cell>
          <cell r="J636" t="str">
            <v>101</v>
          </cell>
          <cell r="K636" t="str">
            <v>千代田区神田佐久間町4-14-1</v>
          </cell>
          <cell r="L636" t="str">
            <v>ﾆｭｰｲﾜｻｷﾋﾞﾙ7F</v>
          </cell>
          <cell r="M636" t="str">
            <v>03-3862-2771</v>
          </cell>
          <cell r="N636" t="str">
            <v>/3864-1547</v>
          </cell>
          <cell r="O636" t="str">
            <v>ドリブンプレート プレッシャープレート</v>
          </cell>
          <cell r="Q636" t="str">
            <v xml:space="preserve"> </v>
          </cell>
          <cell r="T636" t="str">
            <v>ｴｸｾﾃﾞｨ</v>
          </cell>
          <cell r="V636" t="str">
            <v>56</v>
          </cell>
        </row>
        <row r="637">
          <cell r="B637" t="str">
            <v>5506</v>
          </cell>
          <cell r="C637" t="str">
            <v>#</v>
          </cell>
          <cell r="D637" t="str">
            <v>いすゞマリン製造(株)</v>
          </cell>
          <cell r="F637" t="str">
            <v>取締役社長</v>
          </cell>
          <cell r="G637" t="str">
            <v>岩松　忠久</v>
          </cell>
          <cell r="H637">
            <v>90</v>
          </cell>
          <cell r="I637">
            <v>60</v>
          </cell>
          <cell r="J637" t="str">
            <v>290</v>
          </cell>
          <cell r="K637" t="str">
            <v>市原市松ケ島西1-2-19</v>
          </cell>
          <cell r="L637" t="str">
            <v xml:space="preserve"> </v>
          </cell>
          <cell r="M637" t="str">
            <v>0436-22-7441</v>
          </cell>
          <cell r="N637" t="str">
            <v>/22-7445</v>
          </cell>
          <cell r="O637" t="str">
            <v>マリンエンジン</v>
          </cell>
          <cell r="P637" t="str">
            <v>▽</v>
          </cell>
          <cell r="Q637" t="str">
            <v>◎</v>
          </cell>
          <cell r="R637" t="str">
            <v>□</v>
          </cell>
          <cell r="S637" t="str">
            <v>☆</v>
          </cell>
          <cell r="T637" t="str">
            <v>ｲｽｽﾞﾏﾘﾝｾｲｿﾞｳ</v>
          </cell>
          <cell r="V637" t="str">
            <v>51</v>
          </cell>
        </row>
        <row r="638">
          <cell r="B638" t="str">
            <v>5507</v>
          </cell>
          <cell r="C638" t="str">
            <v>#</v>
          </cell>
          <cell r="D638" t="str">
            <v>(株)岡村製作所</v>
          </cell>
          <cell r="F638" t="str">
            <v>取締役社長</v>
          </cell>
          <cell r="G638" t="str">
            <v>中村  喜久男</v>
          </cell>
          <cell r="H638">
            <v>2700</v>
          </cell>
          <cell r="I638">
            <v>2260</v>
          </cell>
          <cell r="J638" t="str">
            <v>220</v>
          </cell>
          <cell r="K638" t="str">
            <v>横浜市西区北幸1-4-1</v>
          </cell>
          <cell r="L638" t="str">
            <v>ワールドプラザ天理19F</v>
          </cell>
          <cell r="M638" t="str">
            <v>045-319-3401</v>
          </cell>
          <cell r="N638" t="str">
            <v>/</v>
          </cell>
          <cell r="O638" t="str">
            <v>部品棚</v>
          </cell>
          <cell r="Q638" t="str">
            <v xml:space="preserve"> </v>
          </cell>
          <cell r="T638" t="str">
            <v>ｵｶﾑﾗｾｲｻｸｼｮ</v>
          </cell>
          <cell r="V638" t="str">
            <v>30</v>
          </cell>
        </row>
        <row r="639">
          <cell r="B639" t="str">
            <v>5507</v>
          </cell>
          <cell r="C639" t="str">
            <v>A</v>
          </cell>
          <cell r="D639" t="str">
            <v>(株)岡村製作所</v>
          </cell>
          <cell r="E639" t="str">
            <v>東京西支店</v>
          </cell>
          <cell r="J639" t="str">
            <v>160-10</v>
          </cell>
          <cell r="K639" t="str">
            <v>新宿区西新宿3-7-1</v>
          </cell>
          <cell r="L639" t="str">
            <v>新宿ﾊﾟｰｸﾀﾜｰﾋﾞﾙ10F</v>
          </cell>
          <cell r="M639" t="str">
            <v>03-5323-3781</v>
          </cell>
          <cell r="N639" t="str">
            <v>/5323-3795</v>
          </cell>
          <cell r="O639" t="str">
            <v>事務用備品</v>
          </cell>
          <cell r="Q639" t="str">
            <v xml:space="preserve"> </v>
          </cell>
          <cell r="T639" t="str">
            <v>ｵｶﾑﾗｾｲｻｸｼｮ</v>
          </cell>
          <cell r="V639" t="str">
            <v>30</v>
          </cell>
        </row>
        <row r="640">
          <cell r="B640" t="str">
            <v>5509</v>
          </cell>
          <cell r="C640" t="str">
            <v>#</v>
          </cell>
          <cell r="D640" t="str">
            <v>冨士自動車興業(株)</v>
          </cell>
          <cell r="F640" t="str">
            <v>取締役社長</v>
          </cell>
          <cell r="G640" t="str">
            <v>青木　秀眞</v>
          </cell>
          <cell r="H640">
            <v>98</v>
          </cell>
          <cell r="I640">
            <v>151</v>
          </cell>
          <cell r="J640" t="str">
            <v>252</v>
          </cell>
          <cell r="K640" t="str">
            <v>綾瀬市寺尾釜田2-19-11</v>
          </cell>
          <cell r="L640" t="str">
            <v xml:space="preserve"> </v>
          </cell>
          <cell r="M640" t="str">
            <v>0467-78-0211</v>
          </cell>
          <cell r="N640" t="str">
            <v>/78-4121</v>
          </cell>
          <cell r="O640" t="str">
            <v>リンクエンド・リンクアーム・トルクロッド</v>
          </cell>
          <cell r="P640" t="str">
            <v>▽</v>
          </cell>
          <cell r="Q640" t="str">
            <v>◎</v>
          </cell>
          <cell r="R640" t="str">
            <v>□</v>
          </cell>
          <cell r="S640" t="str">
            <v>☆</v>
          </cell>
          <cell r="T640" t="str">
            <v>ﾌｼﾞｼﾞﾄﾞｳｼｬｺｳｷﾞｮｳ</v>
          </cell>
          <cell r="V640" t="str">
            <v>54</v>
          </cell>
        </row>
        <row r="641">
          <cell r="B641" t="str">
            <v>5512</v>
          </cell>
          <cell r="C641" t="str">
            <v>#</v>
          </cell>
          <cell r="D641" t="str">
            <v>(株)大安工業所</v>
          </cell>
          <cell r="F641" t="str">
            <v>取締役社長</v>
          </cell>
          <cell r="G641" t="str">
            <v>宮本　三盛</v>
          </cell>
          <cell r="H641">
            <v>10</v>
          </cell>
          <cell r="I641">
            <v>98</v>
          </cell>
          <cell r="J641" t="str">
            <v>211</v>
          </cell>
          <cell r="K641" t="str">
            <v>川崎市中原区市ノ坪201</v>
          </cell>
          <cell r="L641" t="str">
            <v xml:space="preserve"> </v>
          </cell>
          <cell r="M641" t="str">
            <v>044-411-2168</v>
          </cell>
          <cell r="N641" t="str">
            <v>/433-8156</v>
          </cell>
          <cell r="O641" t="str">
            <v>各種バルブ・コック</v>
          </cell>
          <cell r="P641" t="str">
            <v>▽</v>
          </cell>
          <cell r="Q641" t="str">
            <v>◎</v>
          </cell>
          <cell r="R641" t="str">
            <v>□</v>
          </cell>
          <cell r="S641" t="str">
            <v>☆</v>
          </cell>
          <cell r="T641" t="str">
            <v>ﾀｲｱﾝｺｳｷﾞｮｳｼｮ</v>
          </cell>
          <cell r="V641" t="str">
            <v>53</v>
          </cell>
        </row>
        <row r="642">
          <cell r="B642" t="str">
            <v>5512</v>
          </cell>
          <cell r="C642" t="str">
            <v>A</v>
          </cell>
          <cell r="D642" t="str">
            <v>(株)大安工業所</v>
          </cell>
          <cell r="E642" t="str">
            <v>角田工場</v>
          </cell>
          <cell r="J642" t="str">
            <v>981-15</v>
          </cell>
          <cell r="K642" t="str">
            <v>角田市町尻238</v>
          </cell>
          <cell r="L642" t="str">
            <v xml:space="preserve"> </v>
          </cell>
          <cell r="M642" t="str">
            <v>02246-3-1051</v>
          </cell>
          <cell r="N642" t="str">
            <v>/</v>
          </cell>
          <cell r="O642" t="str">
            <v>メータードライブ</v>
          </cell>
          <cell r="P642" t="str">
            <v>▽</v>
          </cell>
          <cell r="Q642" t="str">
            <v xml:space="preserve"> </v>
          </cell>
          <cell r="T642" t="str">
            <v>ﾀｲｱﾝｺｳｷﾞｮｳｼｮ</v>
          </cell>
          <cell r="V642" t="str">
            <v>53</v>
          </cell>
        </row>
        <row r="643">
          <cell r="B643" t="str">
            <v>5515</v>
          </cell>
          <cell r="C643" t="str">
            <v>#</v>
          </cell>
          <cell r="D643" t="str">
            <v>三輪精機(株)</v>
          </cell>
          <cell r="F643" t="str">
            <v>代表取締役社長</v>
          </cell>
          <cell r="G643" t="str">
            <v>岡田  行生</v>
          </cell>
          <cell r="H643">
            <v>100</v>
          </cell>
          <cell r="I643">
            <v>583</v>
          </cell>
          <cell r="J643" t="str">
            <v>338</v>
          </cell>
          <cell r="K643" t="str">
            <v>与野市中里3-20-30</v>
          </cell>
          <cell r="L643" t="str">
            <v xml:space="preserve"> </v>
          </cell>
          <cell r="M643" t="str">
            <v>048-831-6192</v>
          </cell>
          <cell r="N643" t="str">
            <v>/833-7212</v>
          </cell>
          <cell r="O643" t="str">
            <v>キャブチルト装置</v>
          </cell>
          <cell r="P643" t="str">
            <v>▽</v>
          </cell>
          <cell r="Q643" t="str">
            <v>◎</v>
          </cell>
          <cell r="R643" t="str">
            <v>□</v>
          </cell>
          <cell r="S643" t="str">
            <v>☆</v>
          </cell>
          <cell r="T643" t="str">
            <v>ｻﾝﾜｾｲｷ</v>
          </cell>
          <cell r="V643" t="str">
            <v>54</v>
          </cell>
        </row>
        <row r="644">
          <cell r="B644" t="str">
            <v>5516</v>
          </cell>
          <cell r="C644" t="str">
            <v>#</v>
          </cell>
          <cell r="D644" t="str">
            <v>万能工業(株)</v>
          </cell>
          <cell r="F644" t="str">
            <v>取締役社長</v>
          </cell>
          <cell r="G644" t="str">
            <v>小西　紀久雄</v>
          </cell>
          <cell r="H644">
            <v>210</v>
          </cell>
          <cell r="I644">
            <v>413</v>
          </cell>
          <cell r="J644" t="str">
            <v>446</v>
          </cell>
          <cell r="K644" t="str">
            <v>安城市今本町4-14-24</v>
          </cell>
          <cell r="L644" t="str">
            <v xml:space="preserve"> </v>
          </cell>
          <cell r="M644" t="str">
            <v>0566-97-8511</v>
          </cell>
          <cell r="N644" t="str">
            <v>/97-8516</v>
          </cell>
          <cell r="O644" t="str">
            <v>ﾁｪﾝｼﾞﾚﾊﾞｰ</v>
          </cell>
          <cell r="Q644" t="str">
            <v>◎</v>
          </cell>
          <cell r="S644" t="str">
            <v>☆</v>
          </cell>
          <cell r="T644" t="str">
            <v>ﾏﾝﾉｳｺｳｷﾞｮｳ</v>
          </cell>
          <cell r="V644" t="str">
            <v>56</v>
          </cell>
        </row>
        <row r="645">
          <cell r="B645" t="str">
            <v>5518</v>
          </cell>
          <cell r="C645" t="str">
            <v>#</v>
          </cell>
          <cell r="D645" t="str">
            <v>日清紡ブレーキ販売(株)</v>
          </cell>
          <cell r="F645" t="str">
            <v>代表取締役社長</v>
          </cell>
          <cell r="G645" t="str">
            <v>中村  勝彦</v>
          </cell>
          <cell r="H645">
            <v>150</v>
          </cell>
          <cell r="I645">
            <v>90</v>
          </cell>
          <cell r="J645" t="str">
            <v>105</v>
          </cell>
          <cell r="K645" t="str">
            <v>港区西新橋3-14-12</v>
          </cell>
          <cell r="L645" t="str">
            <v xml:space="preserve"> </v>
          </cell>
          <cell r="M645" t="str">
            <v>03-5470-3917</v>
          </cell>
          <cell r="N645" t="str">
            <v>/3434-7629</v>
          </cell>
          <cell r="O645" t="str">
            <v>ブレーキライニング</v>
          </cell>
          <cell r="Q645" t="str">
            <v>◎</v>
          </cell>
          <cell r="R645" t="str">
            <v>□</v>
          </cell>
          <cell r="S645" t="str">
            <v>☆</v>
          </cell>
          <cell r="T645" t="str">
            <v>ﾆｯｼﾝﾎﾞｳﾌﾞﾚｰｷﾊﾝﾊﾞｲ</v>
          </cell>
          <cell r="V645" t="str">
            <v>54</v>
          </cell>
        </row>
        <row r="646">
          <cell r="B646" t="str">
            <v>5519</v>
          </cell>
          <cell r="C646" t="str">
            <v>#</v>
          </cell>
          <cell r="D646" t="str">
            <v>アイシン精機(株)</v>
          </cell>
          <cell r="F646" t="str">
            <v>取締役社長</v>
          </cell>
          <cell r="G646" t="str">
            <v>豊田  幹司郎</v>
          </cell>
          <cell r="H646">
            <v>33229</v>
          </cell>
          <cell r="I646">
            <v>11303</v>
          </cell>
          <cell r="J646" t="str">
            <v>448</v>
          </cell>
          <cell r="K646" t="str">
            <v>刈谷市朝日町2-1</v>
          </cell>
          <cell r="L646" t="str">
            <v xml:space="preserve"> </v>
          </cell>
          <cell r="M646" t="str">
            <v>0566-24-8231</v>
          </cell>
          <cell r="N646" t="str">
            <v>/</v>
          </cell>
          <cell r="O646" t="str">
            <v>フロントカバー・ファン</v>
          </cell>
          <cell r="Q646" t="str">
            <v>◎</v>
          </cell>
          <cell r="R646" t="str">
            <v>□</v>
          </cell>
          <cell r="S646" t="str">
            <v>☆</v>
          </cell>
          <cell r="T646" t="str">
            <v>ｱｲｼﾝｾｲｷ</v>
          </cell>
          <cell r="V646" t="str">
            <v>51</v>
          </cell>
        </row>
        <row r="647">
          <cell r="B647" t="str">
            <v>5519</v>
          </cell>
          <cell r="C647" t="str">
            <v>A</v>
          </cell>
          <cell r="D647" t="str">
            <v>アイシン精機(株)</v>
          </cell>
          <cell r="E647" t="str">
            <v>東京営業所</v>
          </cell>
          <cell r="F647" t="str">
            <v>所長</v>
          </cell>
          <cell r="G647" t="str">
            <v>鈴木  邦彦</v>
          </cell>
          <cell r="J647" t="str">
            <v>105</v>
          </cell>
          <cell r="K647" t="str">
            <v>港区虎ノ門1-18-1</v>
          </cell>
          <cell r="L647" t="str">
            <v>第10森ビル</v>
          </cell>
          <cell r="M647" t="str">
            <v>03-3503-3511</v>
          </cell>
          <cell r="N647" t="str">
            <v>/3508-1003</v>
          </cell>
          <cell r="O647" t="str">
            <v>ｸﾗｯﾁﾊﾞﾙﾌﾞ</v>
          </cell>
          <cell r="Q647" t="str">
            <v xml:space="preserve"> </v>
          </cell>
          <cell r="T647" t="str">
            <v>ｱｲｼﾝｾｲｷ</v>
          </cell>
          <cell r="V647" t="str">
            <v>51</v>
          </cell>
        </row>
        <row r="648">
          <cell r="B648" t="str">
            <v>5520</v>
          </cell>
          <cell r="C648" t="str">
            <v>#</v>
          </cell>
          <cell r="D648" t="str">
            <v>日本ドナルドソン(株)</v>
          </cell>
          <cell r="F648" t="str">
            <v>代表取締役</v>
          </cell>
          <cell r="G648" t="str">
            <v>唐澤　光義</v>
          </cell>
          <cell r="H648">
            <v>208</v>
          </cell>
          <cell r="I648">
            <v>197</v>
          </cell>
          <cell r="J648" t="str">
            <v>198</v>
          </cell>
          <cell r="K648" t="str">
            <v>青梅市今寺5-13-2</v>
          </cell>
          <cell r="L648" t="str">
            <v xml:space="preserve"> </v>
          </cell>
          <cell r="M648" t="str">
            <v>0428-31-2211</v>
          </cell>
          <cell r="N648" t="str">
            <v>/31-9074</v>
          </cell>
          <cell r="O648" t="str">
            <v>ｴｱｸﾘｰﾅｰ･ｴﾚﾒﾝﾄ</v>
          </cell>
          <cell r="Q648" t="str">
            <v>◎</v>
          </cell>
          <cell r="R648" t="str">
            <v>□</v>
          </cell>
          <cell r="S648" t="str">
            <v>☆</v>
          </cell>
          <cell r="T648" t="str">
            <v>ﾆﾎﾝﾄﾞﾅﾙﾄﾞｿﾝ</v>
          </cell>
          <cell r="V648" t="str">
            <v>51</v>
          </cell>
        </row>
        <row r="649">
          <cell r="B649" t="str">
            <v>5521</v>
          </cell>
          <cell r="C649" t="str">
            <v>#</v>
          </cell>
          <cell r="D649" t="str">
            <v>ディーゼルユニット(株)</v>
          </cell>
          <cell r="F649" t="str">
            <v>代表取締役社長</v>
          </cell>
          <cell r="G649" t="str">
            <v>宮川  和馬</v>
          </cell>
          <cell r="H649">
            <v>12</v>
          </cell>
          <cell r="I649">
            <v>45</v>
          </cell>
          <cell r="J649" t="str">
            <v>334</v>
          </cell>
          <cell r="K649" t="str">
            <v>川口市本蓮4-4-14</v>
          </cell>
          <cell r="L649" t="str">
            <v xml:space="preserve"> </v>
          </cell>
          <cell r="M649" t="str">
            <v>0482-84-3811</v>
          </cell>
          <cell r="N649" t="str">
            <v>/84-3815</v>
          </cell>
          <cell r="O649" t="str">
            <v>パワーユニット</v>
          </cell>
          <cell r="P649" t="str">
            <v>▽</v>
          </cell>
          <cell r="Q649" t="str">
            <v xml:space="preserve"> </v>
          </cell>
          <cell r="R649" t="str">
            <v>□</v>
          </cell>
          <cell r="T649" t="str">
            <v>ﾃﾞｨｰｾﾞﾙﾕﾆｯﾄ</v>
          </cell>
          <cell r="V649" t="str">
            <v>51</v>
          </cell>
        </row>
        <row r="650">
          <cell r="B650" t="str">
            <v>5522</v>
          </cell>
          <cell r="C650" t="str">
            <v>#</v>
          </cell>
          <cell r="D650" t="str">
            <v>新潟コンバーター(株)</v>
          </cell>
          <cell r="F650" t="str">
            <v>代表取締役社長</v>
          </cell>
          <cell r="G650" t="str">
            <v>岩田  敏夫</v>
          </cell>
          <cell r="H650">
            <v>500</v>
          </cell>
          <cell r="I650">
            <v>922</v>
          </cell>
          <cell r="J650" t="str">
            <v>151</v>
          </cell>
          <cell r="K650" t="str">
            <v>渋谷区千駄ヶ谷5-27-9</v>
          </cell>
          <cell r="L650" t="str">
            <v>アサノ新宿ビル</v>
          </cell>
          <cell r="M650" t="str">
            <v>03-3354-1271</v>
          </cell>
          <cell r="N650" t="str">
            <v>/3341-5365</v>
          </cell>
          <cell r="O650" t="str">
            <v>マリンギヤー</v>
          </cell>
          <cell r="Q650" t="str">
            <v xml:space="preserve"> </v>
          </cell>
          <cell r="R650" t="str">
            <v>□</v>
          </cell>
          <cell r="T650" t="str">
            <v>ﾆｲｶﾞﾀｺﾝﾊﾞｰﾀｰ</v>
          </cell>
          <cell r="V650" t="str">
            <v>51</v>
          </cell>
        </row>
        <row r="651">
          <cell r="B651" t="str">
            <v>5523</v>
          </cell>
          <cell r="C651" t="str">
            <v>#</v>
          </cell>
          <cell r="D651" t="str">
            <v>日本ＧＭアリソン(株)</v>
          </cell>
          <cell r="F651" t="str">
            <v>代表取締役社長</v>
          </cell>
          <cell r="G651" t="str">
            <v>長野  茂樹</v>
          </cell>
          <cell r="H651">
            <v>90</v>
          </cell>
          <cell r="I651">
            <v>14</v>
          </cell>
          <cell r="J651" t="str">
            <v>150</v>
          </cell>
          <cell r="K651" t="str">
            <v>渋谷区恵比寿4-20-3</v>
          </cell>
          <cell r="L651" t="str">
            <v>恵比寿ｶﾞｰﾃﾞﾝﾌﾟﾚｲｽ27F</v>
          </cell>
          <cell r="M651" t="str">
            <v>03-5424-2640</v>
          </cell>
          <cell r="N651" t="str">
            <v>/5424-2643</v>
          </cell>
          <cell r="O651" t="str">
            <v>自動変速装置</v>
          </cell>
          <cell r="Q651" t="str">
            <v xml:space="preserve"> </v>
          </cell>
          <cell r="R651" t="str">
            <v>□</v>
          </cell>
          <cell r="T651" t="str">
            <v>ﾆﾎﾝｼﾞｰｴﾑｱﾘｿﾝ</v>
          </cell>
          <cell r="V651" t="str">
            <v>75</v>
          </cell>
        </row>
        <row r="652">
          <cell r="B652" t="str">
            <v>5525</v>
          </cell>
          <cell r="C652" t="str">
            <v>#</v>
          </cell>
          <cell r="D652" t="str">
            <v>日発モース(株)</v>
          </cell>
          <cell r="F652" t="str">
            <v>取締役社長</v>
          </cell>
          <cell r="G652" t="str">
            <v>小林　康夫</v>
          </cell>
          <cell r="H652">
            <v>80</v>
          </cell>
          <cell r="I652">
            <v>80</v>
          </cell>
          <cell r="J652" t="str">
            <v>222</v>
          </cell>
          <cell r="K652" t="str">
            <v>横浜市港北区新横浜3-21-10</v>
          </cell>
          <cell r="L652" t="str">
            <v xml:space="preserve"> </v>
          </cell>
          <cell r="M652" t="str">
            <v>045-475-8905</v>
          </cell>
          <cell r="N652" t="str">
            <v>/475-8908</v>
          </cell>
          <cell r="O652" t="str">
            <v>モースコントロールレバー プッシュプルケーブル</v>
          </cell>
          <cell r="P652" t="str">
            <v>▽</v>
          </cell>
          <cell r="Q652" t="str">
            <v xml:space="preserve"> </v>
          </cell>
          <cell r="S652" t="str">
            <v>☆</v>
          </cell>
          <cell r="T652" t="str">
            <v>ﾆｯﾊﾟﾂﾓｰｽ</v>
          </cell>
          <cell r="V652" t="str">
            <v>56</v>
          </cell>
        </row>
        <row r="653">
          <cell r="B653" t="str">
            <v>5526</v>
          </cell>
          <cell r="C653" t="str">
            <v>#</v>
          </cell>
          <cell r="D653" t="str">
            <v>ｱｲｼﾝ･ｴｲ･ﾀﾞﾌﾞﾘｭ(株)</v>
          </cell>
          <cell r="F653" t="str">
            <v>取締役社長</v>
          </cell>
          <cell r="G653" t="str">
            <v xml:space="preserve"> 森   治男</v>
          </cell>
          <cell r="H653">
            <v>26480</v>
          </cell>
          <cell r="I653">
            <v>5000</v>
          </cell>
          <cell r="J653" t="str">
            <v>444-11</v>
          </cell>
          <cell r="K653" t="str">
            <v>安城市藤井町高根10</v>
          </cell>
          <cell r="L653" t="str">
            <v xml:space="preserve"> </v>
          </cell>
          <cell r="M653" t="str">
            <v>0566-73-1138</v>
          </cell>
          <cell r="N653" t="str">
            <v>/73-1378</v>
          </cell>
          <cell r="O653" t="str">
            <v>A/T ﾐｯｼｮﾝ</v>
          </cell>
          <cell r="Q653" t="str">
            <v>◎</v>
          </cell>
          <cell r="R653" t="str">
            <v>□</v>
          </cell>
          <cell r="S653" t="str">
            <v>☆</v>
          </cell>
          <cell r="T653" t="str">
            <v>ｱｲｼﾝｴｰﾀﾞﾌﾞﾘｭｰ</v>
          </cell>
          <cell r="V653" t="str">
            <v>56</v>
          </cell>
        </row>
        <row r="654">
          <cell r="B654" t="str">
            <v>5527</v>
          </cell>
          <cell r="C654" t="str">
            <v>#</v>
          </cell>
          <cell r="D654" t="str">
            <v>(株)ギャレットターボ</v>
          </cell>
          <cell r="F654" t="str">
            <v>代表取締役社長</v>
          </cell>
          <cell r="G654" t="str">
            <v xml:space="preserve">ﾛﾊﾞｰﾄｴﾌｳｫﾙﾄﾝ </v>
          </cell>
          <cell r="H654">
            <v>204</v>
          </cell>
          <cell r="I654">
            <v>163</v>
          </cell>
          <cell r="J654" t="str">
            <v>108</v>
          </cell>
          <cell r="K654" t="str">
            <v>港区三田3-13-16</v>
          </cell>
          <cell r="L654" t="str">
            <v>三田43森ビル4階</v>
          </cell>
          <cell r="M654" t="str">
            <v>03-3769-3731</v>
          </cell>
          <cell r="N654" t="str">
            <v>/</v>
          </cell>
          <cell r="O654" t="str">
            <v>ﾀｰﾎﾞﾁｬｰｼﾞｬｰ</v>
          </cell>
          <cell r="Q654" t="str">
            <v>◎</v>
          </cell>
          <cell r="R654" t="str">
            <v>□</v>
          </cell>
          <cell r="S654" t="str">
            <v>☆</v>
          </cell>
          <cell r="T654" t="str">
            <v>ｷﾞｬﾚｯﾄﾀｰﾎﾞ</v>
          </cell>
          <cell r="V654" t="str">
            <v>51</v>
          </cell>
        </row>
        <row r="655">
          <cell r="B655" t="str">
            <v>5527</v>
          </cell>
          <cell r="C655" t="str">
            <v>###</v>
          </cell>
          <cell r="D655" t="str">
            <v>(株)ギャレットターボ</v>
          </cell>
          <cell r="E655" t="str">
            <v>営業本部</v>
          </cell>
          <cell r="F655" t="str">
            <v>取締役営業本部長</v>
          </cell>
          <cell r="G655" t="str">
            <v>鈴木  年雄</v>
          </cell>
          <cell r="J655" t="str">
            <v>108</v>
          </cell>
          <cell r="K655" t="str">
            <v>港区三田3-13-16</v>
          </cell>
          <cell r="L655" t="str">
            <v>三田43森ビル4階</v>
          </cell>
          <cell r="M655" t="str">
            <v>03-3769-5021</v>
          </cell>
          <cell r="N655" t="str">
            <v>/3769-3750</v>
          </cell>
          <cell r="Q655" t="str">
            <v xml:space="preserve"> </v>
          </cell>
          <cell r="T655" t="str">
            <v>ｷﾞｬﾚｯﾄﾀｰﾎﾞ</v>
          </cell>
          <cell r="V655" t="str">
            <v>51</v>
          </cell>
        </row>
        <row r="656">
          <cell r="B656" t="str">
            <v>5527</v>
          </cell>
          <cell r="C656" t="str">
            <v>A</v>
          </cell>
          <cell r="D656" t="str">
            <v>(株)ギャレットターボ</v>
          </cell>
          <cell r="E656" t="str">
            <v>児玉工場</v>
          </cell>
          <cell r="J656" t="str">
            <v>367-02</v>
          </cell>
          <cell r="K656" t="str">
            <v>埼玉県児玉郡児玉町共栄</v>
          </cell>
          <cell r="L656" t="str">
            <v>350-17</v>
          </cell>
          <cell r="M656" t="str">
            <v>0495-72-4151</v>
          </cell>
          <cell r="N656" t="str">
            <v>/</v>
          </cell>
          <cell r="Q656" t="str">
            <v xml:space="preserve"> </v>
          </cell>
          <cell r="T656" t="str">
            <v>ｷﾞｬﾚｯﾄﾀｰﾎﾞ</v>
          </cell>
          <cell r="V656" t="str">
            <v>51</v>
          </cell>
        </row>
        <row r="657">
          <cell r="B657" t="str">
            <v>5528</v>
          </cell>
          <cell r="C657" t="str">
            <v>#</v>
          </cell>
          <cell r="D657" t="str">
            <v>栃木富士産業(株)</v>
          </cell>
          <cell r="F657" t="str">
            <v>取締役社長</v>
          </cell>
          <cell r="G657" t="str">
            <v>栗原　義一</v>
          </cell>
          <cell r="H657">
            <v>726</v>
          </cell>
          <cell r="I657">
            <v>770</v>
          </cell>
          <cell r="J657" t="str">
            <v>328</v>
          </cell>
          <cell r="K657" t="str">
            <v>栃木市大宮町2388</v>
          </cell>
          <cell r="L657" t="str">
            <v xml:space="preserve"> </v>
          </cell>
          <cell r="M657" t="str">
            <v>0282-22-8525</v>
          </cell>
          <cell r="N657" t="str">
            <v>/27-1120</v>
          </cell>
          <cell r="O657" t="str">
            <v>デフロック</v>
          </cell>
          <cell r="Q657" t="str">
            <v>◎　</v>
          </cell>
          <cell r="R657" t="str">
            <v>□</v>
          </cell>
          <cell r="S657" t="str">
            <v>☆</v>
          </cell>
          <cell r="T657" t="str">
            <v>ﾄﾁｷﾞﾌｼﾞｻﾝｷﾞｮｳ</v>
          </cell>
          <cell r="V657" t="str">
            <v>56</v>
          </cell>
        </row>
        <row r="658">
          <cell r="B658" t="str">
            <v>5529</v>
          </cell>
          <cell r="C658" t="str">
            <v>#</v>
          </cell>
          <cell r="D658" t="str">
            <v>極東機械産業(株)</v>
          </cell>
          <cell r="F658" t="str">
            <v>代表取締役</v>
          </cell>
          <cell r="G658" t="str">
            <v>合屋　稔</v>
          </cell>
          <cell r="H658">
            <v>30</v>
          </cell>
          <cell r="I658">
            <v>35</v>
          </cell>
          <cell r="J658" t="str">
            <v>143</v>
          </cell>
          <cell r="K658" t="str">
            <v>大田区大森北3-1-2</v>
          </cell>
          <cell r="L658" t="str">
            <v xml:space="preserve"> </v>
          </cell>
          <cell r="M658" t="str">
            <v>03-3767-8311</v>
          </cell>
          <cell r="N658" t="str">
            <v>/3767-8545</v>
          </cell>
          <cell r="O658" t="str">
            <v>ﾀｰﾎﾞﾁｬｰｼﾞｬｰ</v>
          </cell>
          <cell r="P658" t="str">
            <v>▽</v>
          </cell>
          <cell r="Q658" t="str">
            <v xml:space="preserve"> </v>
          </cell>
          <cell r="T658" t="str">
            <v>ｷｮｸﾄｳｷｶｲｻﾝｷﾞｮｳ</v>
          </cell>
          <cell r="V658" t="str">
            <v>51</v>
          </cell>
        </row>
        <row r="659">
          <cell r="B659" t="str">
            <v>5530</v>
          </cell>
          <cell r="C659" t="str">
            <v>#</v>
          </cell>
          <cell r="D659" t="str">
            <v>日本ﾊﾟﾜｰｽﾃｱﾘﾝｸﾞ(株)</v>
          </cell>
          <cell r="F659" t="str">
            <v>取締役社長</v>
          </cell>
          <cell r="G659" t="str">
            <v>山森  澄</v>
          </cell>
          <cell r="H659">
            <v>1000</v>
          </cell>
          <cell r="I659">
            <v>333</v>
          </cell>
          <cell r="J659" t="str">
            <v>509-02</v>
          </cell>
          <cell r="K659" t="str">
            <v>可児市土田2548</v>
          </cell>
          <cell r="L659" t="str">
            <v xml:space="preserve"> </v>
          </cell>
          <cell r="M659" t="str">
            <v>0574-28-2811</v>
          </cell>
          <cell r="N659" t="str">
            <v>/</v>
          </cell>
          <cell r="O659" t="str">
            <v>パワーステアリング</v>
          </cell>
          <cell r="Q659" t="str">
            <v>◎</v>
          </cell>
          <cell r="R659" t="str">
            <v>□</v>
          </cell>
          <cell r="S659" t="str">
            <v>☆</v>
          </cell>
          <cell r="T659" t="str">
            <v>ﾆﾎﾝﾊﾟﾜｰｽﾃｱﾘﾝｸﾞ</v>
          </cell>
          <cell r="V659" t="str">
            <v>54</v>
          </cell>
        </row>
        <row r="660">
          <cell r="B660" t="str">
            <v>5532</v>
          </cell>
          <cell r="C660" t="str">
            <v>#</v>
          </cell>
          <cell r="D660" t="str">
            <v>日本イートン(株)</v>
          </cell>
          <cell r="F660" t="str">
            <v>取締役社長</v>
          </cell>
          <cell r="G660" t="str">
            <v>鹿熊  翼</v>
          </cell>
          <cell r="H660">
            <v>50</v>
          </cell>
          <cell r="I660">
            <v>25</v>
          </cell>
          <cell r="J660" t="str">
            <v>107</v>
          </cell>
          <cell r="K660" t="str">
            <v>港区赤坂8-11-37</v>
          </cell>
          <cell r="L660" t="str">
            <v>漆間興和ビル４階</v>
          </cell>
          <cell r="M660" t="str">
            <v>03-3746-3141</v>
          </cell>
          <cell r="N660" t="str">
            <v>/3746-3148</v>
          </cell>
          <cell r="O660" t="str">
            <v>トランスミッション アクスル部品</v>
          </cell>
          <cell r="Q660" t="str">
            <v>◎</v>
          </cell>
          <cell r="R660" t="str">
            <v>□</v>
          </cell>
          <cell r="T660" t="str">
            <v>ﾆﾎﾝｲｰﾄﾝ</v>
          </cell>
          <cell r="V660" t="str">
            <v>75</v>
          </cell>
        </row>
        <row r="661">
          <cell r="B661" t="str">
            <v>5533</v>
          </cell>
          <cell r="C661" t="str">
            <v>#</v>
          </cell>
          <cell r="D661" t="str">
            <v>ジャトコ(株)</v>
          </cell>
          <cell r="F661" t="str">
            <v>取締役社長</v>
          </cell>
          <cell r="G661" t="str">
            <v>森　　千里</v>
          </cell>
          <cell r="H661">
            <v>3240</v>
          </cell>
          <cell r="I661">
            <v>1350</v>
          </cell>
          <cell r="J661" t="str">
            <v>417</v>
          </cell>
          <cell r="K661" t="str">
            <v>富士市今泉字鴨田700-1</v>
          </cell>
          <cell r="L661" t="str">
            <v xml:space="preserve"> </v>
          </cell>
          <cell r="M661" t="str">
            <v>0545-53-9503</v>
          </cell>
          <cell r="N661" t="str">
            <v>/51-9280</v>
          </cell>
          <cell r="O661" t="str">
            <v>自動変速機</v>
          </cell>
          <cell r="Q661" t="str">
            <v>◎</v>
          </cell>
          <cell r="R661" t="str">
            <v>□</v>
          </cell>
          <cell r="S661" t="str">
            <v>☆</v>
          </cell>
          <cell r="T661" t="str">
            <v>ｼﾞｬﾄｺ</v>
          </cell>
          <cell r="V661" t="str">
            <v>56</v>
          </cell>
        </row>
        <row r="662">
          <cell r="B662" t="str">
            <v>5534</v>
          </cell>
          <cell r="C662" t="str">
            <v>#</v>
          </cell>
          <cell r="D662" t="str">
            <v>ﾛｯｸｳｪﾙｲﾝﾀｰﾅｼｮﾅﾙｼﾞｬﾊﾟﾝ(株)</v>
          </cell>
          <cell r="F662" t="str">
            <v>代表取締役社長</v>
          </cell>
          <cell r="G662" t="str">
            <v>鈴木  明</v>
          </cell>
          <cell r="H662">
            <v>2835</v>
          </cell>
          <cell r="I662">
            <v>70</v>
          </cell>
          <cell r="J662" t="str">
            <v>104</v>
          </cell>
          <cell r="K662" t="str">
            <v>中央区新川1-3-17</v>
          </cell>
          <cell r="L662" t="str">
            <v>新川三幸ﾋﾞﾙﾃﾞｨﾝｸﾞ9階</v>
          </cell>
          <cell r="M662" t="str">
            <v>03-5543-3535</v>
          </cell>
          <cell r="N662" t="str">
            <v>/5543-3585</v>
          </cell>
          <cell r="O662" t="str">
            <v>ｷｬﾘｱｱｾﾝﾌﾞﾘ</v>
          </cell>
          <cell r="Q662" t="str">
            <v xml:space="preserve"> </v>
          </cell>
          <cell r="R662" t="str">
            <v>□</v>
          </cell>
          <cell r="T662" t="str">
            <v xml:space="preserve">ﾛｯｸｳｪﾙｲﾝﾀｰﾅｼｮﾅﾙｼﾞｬﾊﾟﾝ </v>
          </cell>
          <cell r="V662" t="str">
            <v>75</v>
          </cell>
        </row>
        <row r="663">
          <cell r="B663" t="str">
            <v>5537</v>
          </cell>
          <cell r="C663" t="str">
            <v>#</v>
          </cell>
          <cell r="D663" t="str">
            <v>(株)ユニシアジェックス</v>
          </cell>
          <cell r="F663" t="str">
            <v>取締役社長</v>
          </cell>
          <cell r="G663" t="str">
            <v>任田  晃一郎</v>
          </cell>
          <cell r="H663">
            <v>12738</v>
          </cell>
          <cell r="I663">
            <v>7030</v>
          </cell>
          <cell r="J663" t="str">
            <v>243</v>
          </cell>
          <cell r="K663" t="str">
            <v>厚木市恩名1370</v>
          </cell>
          <cell r="L663" t="str">
            <v xml:space="preserve"> </v>
          </cell>
          <cell r="M663" t="str">
            <v>0462-25-8065</v>
          </cell>
          <cell r="N663" t="str">
            <v>/25-8170</v>
          </cell>
          <cell r="O663" t="str">
            <v>ポンプ プロペラ ストラット 電子制御燃料措置 装置付属品　</v>
          </cell>
          <cell r="Q663" t="str">
            <v>◎</v>
          </cell>
          <cell r="R663" t="str">
            <v>□</v>
          </cell>
          <cell r="S663" t="str">
            <v>☆</v>
          </cell>
          <cell r="T663" t="str">
            <v>ﾕﾆｼｱｼﾞｪｯｸｽ</v>
          </cell>
          <cell r="V663" t="str">
            <v>51</v>
          </cell>
        </row>
        <row r="664">
          <cell r="B664" t="str">
            <v>5538</v>
          </cell>
          <cell r="C664" t="str">
            <v>#</v>
          </cell>
          <cell r="D664" t="str">
            <v>盟和産業(株)</v>
          </cell>
          <cell r="F664" t="str">
            <v>取締役社長</v>
          </cell>
          <cell r="G664" t="str">
            <v>三井田  弘義</v>
          </cell>
          <cell r="H664">
            <v>2167</v>
          </cell>
          <cell r="I664">
            <v>432</v>
          </cell>
          <cell r="J664" t="str">
            <v>243</v>
          </cell>
          <cell r="K664" t="str">
            <v>厚木市恩名33</v>
          </cell>
          <cell r="L664" t="str">
            <v xml:space="preserve"> </v>
          </cell>
          <cell r="M664" t="str">
            <v>0462-25-1313</v>
          </cell>
          <cell r="N664" t="str">
            <v>/25-1316</v>
          </cell>
          <cell r="O664" t="str">
            <v>内装部品</v>
          </cell>
          <cell r="Q664" t="str">
            <v>◎</v>
          </cell>
          <cell r="R664" t="str">
            <v>□</v>
          </cell>
          <cell r="S664" t="str">
            <v>☆</v>
          </cell>
          <cell r="T664" t="str">
            <v>ﾒｲﾜｻﾝｷﾞｮｳ</v>
          </cell>
          <cell r="V664" t="str">
            <v>62</v>
          </cell>
        </row>
        <row r="665">
          <cell r="B665" t="str">
            <v>5539</v>
          </cell>
          <cell r="C665" t="str">
            <v>#</v>
          </cell>
          <cell r="D665" t="str">
            <v>富士機工(株)</v>
          </cell>
          <cell r="F665" t="str">
            <v>取締役社長</v>
          </cell>
          <cell r="G665" t="str">
            <v>山邊　道彦</v>
          </cell>
          <cell r="H665">
            <v>3619</v>
          </cell>
          <cell r="I665">
            <v>1339</v>
          </cell>
          <cell r="J665" t="str">
            <v>431-04</v>
          </cell>
          <cell r="K665" t="str">
            <v>湖西市鷲津2028</v>
          </cell>
          <cell r="L665" t="str">
            <v xml:space="preserve"> </v>
          </cell>
          <cell r="M665" t="str">
            <v>053-594-4312</v>
          </cell>
          <cell r="N665" t="str">
            <v>/594-4300</v>
          </cell>
          <cell r="O665" t="str">
            <v>ｽﾃｱﾘﾝｸﾞｺﾗﾑASSY</v>
          </cell>
          <cell r="Q665" t="str">
            <v>◎</v>
          </cell>
          <cell r="R665" t="str">
            <v>□</v>
          </cell>
          <cell r="S665" t="str">
            <v>☆</v>
          </cell>
          <cell r="T665" t="str">
            <v>ﾌｼﾞｷｺｳ</v>
          </cell>
          <cell r="V665" t="str">
            <v>54</v>
          </cell>
        </row>
        <row r="666">
          <cell r="B666" t="str">
            <v>5540</v>
          </cell>
          <cell r="C666" t="str">
            <v>#</v>
          </cell>
          <cell r="D666" t="str">
            <v>ﾋﾞｽｺﾄﾞﾗｲﾌﾞｼﾞｬﾊﾟﾝ(株)</v>
          </cell>
          <cell r="F666" t="str">
            <v>取締役社長</v>
          </cell>
          <cell r="G666" t="str">
            <v>宇賀神  清</v>
          </cell>
          <cell r="H666">
            <v>100</v>
          </cell>
          <cell r="I666">
            <v>19</v>
          </cell>
          <cell r="J666" t="str">
            <v>328</v>
          </cell>
          <cell r="K666" t="str">
            <v>栃木市大光寺町1150</v>
          </cell>
          <cell r="L666" t="str">
            <v xml:space="preserve"> </v>
          </cell>
          <cell r="M666" t="str">
            <v>0282-28-1800</v>
          </cell>
          <cell r="N666" t="str">
            <v>/28-1811</v>
          </cell>
          <cell r="O666" t="str">
            <v>ビスココントロールユニット</v>
          </cell>
          <cell r="Q666" t="str">
            <v xml:space="preserve"> </v>
          </cell>
          <cell r="T666" t="str">
            <v>ﾋﾞｽｺﾄﾞﾗｲﾌﾞｼﾞｬﾊﾟﾝ</v>
          </cell>
          <cell r="V666" t="str">
            <v>56</v>
          </cell>
        </row>
        <row r="667">
          <cell r="B667" t="str">
            <v>5541</v>
          </cell>
          <cell r="C667" t="str">
            <v>#</v>
          </cell>
          <cell r="D667" t="str">
            <v>三菱重工業(株)</v>
          </cell>
          <cell r="F667" t="str">
            <v>取締役社長</v>
          </cell>
          <cell r="G667" t="str">
            <v>増田  信行</v>
          </cell>
          <cell r="H667">
            <v>264583</v>
          </cell>
          <cell r="I667">
            <v>43113</v>
          </cell>
          <cell r="J667" t="str">
            <v>100</v>
          </cell>
          <cell r="K667" t="str">
            <v>千代田区丸の内2-5-1</v>
          </cell>
          <cell r="L667" t="str">
            <v xml:space="preserve"> </v>
          </cell>
          <cell r="M667" t="str">
            <v>03-3212-3111</v>
          </cell>
          <cell r="N667" t="str">
            <v>/</v>
          </cell>
          <cell r="O667" t="str">
            <v>ﾀｰﾎﾞﾁｬｰｼﾞｬｰ</v>
          </cell>
          <cell r="Q667" t="str">
            <v xml:space="preserve"> </v>
          </cell>
          <cell r="S667" t="str">
            <v>☆</v>
          </cell>
          <cell r="T667" t="str">
            <v>ﾐﾂﾋﾞｼｼﾞｭｳｺｳ</v>
          </cell>
          <cell r="V667" t="str">
            <v>51</v>
          </cell>
        </row>
        <row r="668">
          <cell r="B668" t="str">
            <v>5541</v>
          </cell>
          <cell r="C668" t="str">
            <v>A</v>
          </cell>
          <cell r="D668" t="str">
            <v>三菱重工業(株)</v>
          </cell>
          <cell r="E668" t="str">
            <v>相模原製作所</v>
          </cell>
          <cell r="J668" t="str">
            <v>229</v>
          </cell>
          <cell r="K668" t="str">
            <v>相模原市田名3000</v>
          </cell>
          <cell r="L668" t="str">
            <v xml:space="preserve"> </v>
          </cell>
          <cell r="M668" t="str">
            <v>0427-61-2069</v>
          </cell>
          <cell r="N668" t="str">
            <v>/62-7889</v>
          </cell>
          <cell r="Q668" t="str">
            <v xml:space="preserve"> </v>
          </cell>
          <cell r="T668" t="str">
            <v>ﾐﾂﾋﾞｼｼﾞｭｳｺｳ</v>
          </cell>
          <cell r="V668" t="str">
            <v>51</v>
          </cell>
        </row>
        <row r="669">
          <cell r="B669" t="str">
            <v>5542</v>
          </cell>
          <cell r="C669" t="str">
            <v>#</v>
          </cell>
          <cell r="D669" t="str">
            <v>ブラザー精密工業(株)</v>
          </cell>
          <cell r="F669" t="str">
            <v>取締役社長</v>
          </cell>
          <cell r="G669" t="str">
            <v>安井  法彦</v>
          </cell>
          <cell r="H669">
            <v>396</v>
          </cell>
          <cell r="I669">
            <v>353</v>
          </cell>
          <cell r="J669" t="str">
            <v>472</v>
          </cell>
          <cell r="K669" t="str">
            <v>知立市池端2-43</v>
          </cell>
          <cell r="L669" t="str">
            <v xml:space="preserve"> </v>
          </cell>
          <cell r="M669" t="str">
            <v>0566-81-1211</v>
          </cell>
          <cell r="N669" t="str">
            <v>/82-1167</v>
          </cell>
          <cell r="O669" t="str">
            <v>ｶﾑｼｬﾌﾄ</v>
          </cell>
          <cell r="Q669" t="str">
            <v xml:space="preserve"> </v>
          </cell>
          <cell r="T669" t="str">
            <v>ﾌﾞﾗｻﾞｰｾｲﾐﾂｺｳｷﾞｮｳ</v>
          </cell>
          <cell r="V669" t="str">
            <v>51</v>
          </cell>
        </row>
        <row r="670">
          <cell r="B670" t="str">
            <v>5542</v>
          </cell>
          <cell r="C670" t="str">
            <v>A</v>
          </cell>
          <cell r="D670" t="str">
            <v>ブラザー精密工業(株)</v>
          </cell>
          <cell r="E670" t="str">
            <v>谷田工場</v>
          </cell>
          <cell r="J670" t="str">
            <v>472</v>
          </cell>
          <cell r="K670" t="str">
            <v>知立市谷田町北屋下48</v>
          </cell>
          <cell r="L670" t="str">
            <v/>
          </cell>
          <cell r="M670" t="str">
            <v>0566-81-1216</v>
          </cell>
          <cell r="N670" t="str">
            <v>/</v>
          </cell>
          <cell r="O670" t="str">
            <v xml:space="preserve"> </v>
          </cell>
          <cell r="Q670" t="str">
            <v xml:space="preserve"> </v>
          </cell>
          <cell r="T670" t="str">
            <v>ﾌﾞﾗｻﾞｰｾｲﾐﾂｺｳｷﾞｮｳ</v>
          </cell>
          <cell r="V670" t="str">
            <v>51</v>
          </cell>
        </row>
        <row r="671">
          <cell r="B671" t="str">
            <v>5543</v>
          </cell>
          <cell r="C671" t="str">
            <v>#</v>
          </cell>
          <cell r="D671" t="str">
            <v>ｺﾏﾂ･ｾﾞｯﾄｴﾌ･ｵｰﾄﾓｰﾃｨﾌﾞ(株)</v>
          </cell>
          <cell r="F671" t="str">
            <v>代表取締役社長</v>
          </cell>
          <cell r="G671" t="str">
            <v>野口  美建</v>
          </cell>
          <cell r="H671">
            <v>90</v>
          </cell>
          <cell r="I671">
            <v>4</v>
          </cell>
          <cell r="J671" t="str">
            <v>210</v>
          </cell>
          <cell r="K671" t="str">
            <v>川崎市川崎区砂子1-7-1</v>
          </cell>
          <cell r="L671" t="str">
            <v>文学堂ビル4F</v>
          </cell>
          <cell r="M671" t="str">
            <v>044-246-5550</v>
          </cell>
          <cell r="N671" t="str">
            <v>/246-1571</v>
          </cell>
          <cell r="O671" t="str">
            <v>ｵｰﾄﾏﾁｯｸ･ﾄﾗﾝｽﾐｯｼｮﾝ</v>
          </cell>
          <cell r="P671" t="str">
            <v>▽</v>
          </cell>
          <cell r="R671" t="str">
            <v>□</v>
          </cell>
          <cell r="T671" t="str">
            <v>ｺﾏﾂ･ｾﾞｯﾄｴﾌ･ｵｰﾄﾓｰﾃｨﾌﾞ</v>
          </cell>
          <cell r="V671" t="str">
            <v>75</v>
          </cell>
        </row>
        <row r="672">
          <cell r="B672" t="str">
            <v>5544</v>
          </cell>
          <cell r="C672" t="str">
            <v>#</v>
          </cell>
          <cell r="D672" t="str">
            <v>IMI ﾉﾙｸﾞﾚﾝｹﾞｰｴﾑﾍﾞｰﾊｰ</v>
          </cell>
          <cell r="F672" t="str">
            <v>日本支社長</v>
          </cell>
          <cell r="G672" t="str">
            <v>ｳｫﾙﾀｰﾏﾙﾂｺｰﾝ</v>
          </cell>
          <cell r="H672">
            <v>116</v>
          </cell>
          <cell r="I672">
            <v>10</v>
          </cell>
          <cell r="J672" t="str">
            <v>565</v>
          </cell>
          <cell r="K672" t="str">
            <v>大阪府吹田市青葉丘北14-1</v>
          </cell>
          <cell r="L672" t="str">
            <v/>
          </cell>
          <cell r="M672" t="str">
            <v>06-876-8913</v>
          </cell>
          <cell r="N672" t="str">
            <v>/876-8929</v>
          </cell>
          <cell r="O672" t="str">
            <v>継手</v>
          </cell>
          <cell r="T672" t="str">
            <v>ｱｲｴﾑｱｲ ﾉﾙｸﾞﾚﾝｹﾞｰｴﾑﾍﾞｰﾊｰ</v>
          </cell>
          <cell r="V672" t="str">
            <v>75</v>
          </cell>
        </row>
        <row r="673">
          <cell r="B673" t="str">
            <v>5545</v>
          </cell>
          <cell r="C673" t="str">
            <v>#</v>
          </cell>
          <cell r="D673" t="str">
            <v>アート金属工業(株)</v>
          </cell>
          <cell r="F673" t="str">
            <v>取締役社長</v>
          </cell>
          <cell r="G673" t="str">
            <v>永井  靖二</v>
          </cell>
          <cell r="H673">
            <v>2397</v>
          </cell>
          <cell r="I673">
            <v>798</v>
          </cell>
          <cell r="J673" t="str">
            <v>104</v>
          </cell>
          <cell r="K673" t="str">
            <v>中央区銀座6-14-5</v>
          </cell>
          <cell r="L673" t="str">
            <v/>
          </cell>
          <cell r="M673" t="str">
            <v>03-3541-2346</v>
          </cell>
          <cell r="N673" t="str">
            <v>/3545-1746</v>
          </cell>
          <cell r="O673" t="str">
            <v>ﾋﾟｽﾄﾝ</v>
          </cell>
          <cell r="R673" t="str">
            <v>□</v>
          </cell>
          <cell r="T673" t="str">
            <v>ｱｰﾄｷﾝｿﾞｸｺｳｷﾞｮｳ</v>
          </cell>
          <cell r="V673" t="str">
            <v>51</v>
          </cell>
        </row>
        <row r="674">
          <cell r="B674" t="str">
            <v>5546</v>
          </cell>
          <cell r="C674" t="str">
            <v>#</v>
          </cell>
          <cell r="D674" t="str">
            <v>日産ディーゼル工業(株)</v>
          </cell>
          <cell r="F674" t="str">
            <v>代表取締役社長</v>
          </cell>
          <cell r="G674" t="str">
            <v>齋藤  雅之</v>
          </cell>
          <cell r="H674" t="str">
            <v>118</v>
          </cell>
          <cell r="I674" t="str">
            <v>5131</v>
          </cell>
          <cell r="J674" t="str">
            <v>101</v>
          </cell>
          <cell r="K674" t="str">
            <v>千代田区神田錦町3-7-1</v>
          </cell>
          <cell r="L674" t="str">
            <v/>
          </cell>
          <cell r="M674" t="str">
            <v>03-3294-9186</v>
          </cell>
          <cell r="N674" t="str">
            <v>/3294-9298</v>
          </cell>
          <cell r="O674" t="str">
            <v xml:space="preserve">ﾏﾆｭｱﾙﾐｯｼｮﾝ </v>
          </cell>
          <cell r="T674" t="str">
            <v>ﾆｯｻﾝﾃﾞｨｰｾﾞﾙｺｳｷﾞｮｳ</v>
          </cell>
          <cell r="V674" t="str">
            <v>56</v>
          </cell>
        </row>
        <row r="675">
          <cell r="B675" t="str">
            <v>5547</v>
          </cell>
          <cell r="C675" t="str">
            <v>#</v>
          </cell>
          <cell r="D675" t="str">
            <v>(株）山田製作所</v>
          </cell>
          <cell r="F675" t="str">
            <v>取締役社長</v>
          </cell>
          <cell r="G675" t="str">
            <v>山田  康彦</v>
          </cell>
          <cell r="H675">
            <v>578</v>
          </cell>
          <cell r="I675">
            <v>1038</v>
          </cell>
          <cell r="J675">
            <v>376</v>
          </cell>
          <cell r="K675" t="str">
            <v>桐生市広沢町1-2757</v>
          </cell>
          <cell r="L675" t="str">
            <v/>
          </cell>
          <cell r="M675" t="str">
            <v>0277-54-2108</v>
          </cell>
          <cell r="N675" t="str">
            <v>/54-2515</v>
          </cell>
          <cell r="O675" t="str">
            <v>PUMP ASM;OIL</v>
          </cell>
          <cell r="T675" t="str">
            <v>ﾔﾏﾀﾞｾｲｻｸｼﾞｮ</v>
          </cell>
          <cell r="V675" t="str">
            <v>51</v>
          </cell>
        </row>
        <row r="676">
          <cell r="B676" t="str">
            <v>5548</v>
          </cell>
          <cell r="C676" t="str">
            <v>#</v>
          </cell>
          <cell r="D676" t="str">
            <v>和興産業(株)</v>
          </cell>
          <cell r="F676" t="str">
            <v>代表取締役社長</v>
          </cell>
          <cell r="G676" t="str">
            <v>宮島  清</v>
          </cell>
          <cell r="H676">
            <v>130</v>
          </cell>
          <cell r="I676">
            <v>363</v>
          </cell>
          <cell r="J676" t="str">
            <v>104</v>
          </cell>
          <cell r="K676" t="str">
            <v>中央区京橋3-1-2</v>
          </cell>
          <cell r="L676" t="str">
            <v/>
          </cell>
          <cell r="M676" t="str">
            <v>03-3281-0585</v>
          </cell>
          <cell r="N676" t="str">
            <v>/3281-5359</v>
          </cell>
          <cell r="O676" t="str">
            <v>ﾌｨﾙﾀ ｴﾚﾒﾝﾄ</v>
          </cell>
          <cell r="T676" t="str">
            <v>ﾜｺｳｻﾝｷﾞｮｳ KK</v>
          </cell>
          <cell r="V676" t="str">
            <v>51</v>
          </cell>
        </row>
        <row r="677">
          <cell r="B677" t="str">
            <v>7000</v>
          </cell>
          <cell r="C677" t="str">
            <v>#</v>
          </cell>
          <cell r="D677" t="str">
            <v>中央日石(株)</v>
          </cell>
          <cell r="F677" t="str">
            <v>取締役社長</v>
          </cell>
          <cell r="G677" t="str">
            <v>野村　利則</v>
          </cell>
          <cell r="H677">
            <v>100</v>
          </cell>
          <cell r="I677">
            <v>92</v>
          </cell>
          <cell r="J677" t="str">
            <v>108</v>
          </cell>
          <cell r="K677" t="str">
            <v>港区高輪2-18-10</v>
          </cell>
          <cell r="L677" t="str">
            <v xml:space="preserve"> </v>
          </cell>
          <cell r="M677" t="str">
            <v>03-3441-5266</v>
          </cell>
          <cell r="N677" t="str">
            <v>/3441-5542</v>
          </cell>
          <cell r="O677" t="str">
            <v>燃料油・潤滑油</v>
          </cell>
          <cell r="Q677" t="str">
            <v>◎</v>
          </cell>
          <cell r="R677" t="str">
            <v>□</v>
          </cell>
          <cell r="S677" t="str">
            <v>☆</v>
          </cell>
          <cell r="T677" t="str">
            <v>ﾁｭｳｵｳﾆｯｾｷ</v>
          </cell>
          <cell r="U677" t="str">
            <v xml:space="preserve"> </v>
          </cell>
          <cell r="V677" t="str">
            <v>15</v>
          </cell>
        </row>
        <row r="678">
          <cell r="B678" t="str">
            <v>7001</v>
          </cell>
          <cell r="C678" t="str">
            <v>#</v>
          </cell>
          <cell r="D678" t="str">
            <v>横浜米油(株)</v>
          </cell>
          <cell r="F678" t="str">
            <v>代表取締役</v>
          </cell>
          <cell r="G678" t="str">
            <v>熊澤　康生</v>
          </cell>
          <cell r="H678">
            <v>49</v>
          </cell>
          <cell r="I678">
            <v>30</v>
          </cell>
          <cell r="J678" t="str">
            <v>220</v>
          </cell>
          <cell r="K678" t="str">
            <v>横浜市西区高島2-12-12</v>
          </cell>
          <cell r="L678" t="str">
            <v xml:space="preserve"> </v>
          </cell>
          <cell r="M678" t="str">
            <v>045-441-9331</v>
          </cell>
          <cell r="N678" t="str">
            <v>/441-9336</v>
          </cell>
          <cell r="O678" t="str">
            <v>燃料油・潤滑油</v>
          </cell>
          <cell r="Q678" t="str">
            <v>◎</v>
          </cell>
          <cell r="R678" t="str">
            <v>□</v>
          </cell>
          <cell r="S678" t="str">
            <v>☆</v>
          </cell>
          <cell r="T678" t="str">
            <v>ﾖｺﾊﾏﾍﾞｲﾕ</v>
          </cell>
          <cell r="U678" t="str">
            <v xml:space="preserve"> </v>
          </cell>
          <cell r="V678" t="str">
            <v>15</v>
          </cell>
        </row>
        <row r="679">
          <cell r="B679" t="str">
            <v>7002</v>
          </cell>
          <cell r="C679" t="str">
            <v>#</v>
          </cell>
          <cell r="D679" t="str">
            <v>旭礦油(株)</v>
          </cell>
          <cell r="F679" t="str">
            <v>取締役社長</v>
          </cell>
          <cell r="G679" t="str">
            <v>笠井　英二</v>
          </cell>
          <cell r="H679">
            <v>30</v>
          </cell>
          <cell r="I679">
            <v>3</v>
          </cell>
          <cell r="J679" t="str">
            <v>113</v>
          </cell>
          <cell r="K679" t="str">
            <v>文京区向丘1-7-11</v>
          </cell>
          <cell r="L679" t="str">
            <v xml:space="preserve"> </v>
          </cell>
          <cell r="M679" t="str">
            <v>03-3813-3721</v>
          </cell>
          <cell r="N679" t="str">
            <v>/3813-3764</v>
          </cell>
          <cell r="O679" t="str">
            <v>潤滑油  昭和ｼｪﾙ石油</v>
          </cell>
          <cell r="Q679" t="str">
            <v>◎</v>
          </cell>
          <cell r="R679" t="str">
            <v>□</v>
          </cell>
          <cell r="S679" t="str">
            <v>☆</v>
          </cell>
          <cell r="T679" t="str">
            <v>ｱｻﾋｺｳﾕ</v>
          </cell>
          <cell r="U679" t="str">
            <v/>
          </cell>
          <cell r="V679" t="str">
            <v>15</v>
          </cell>
        </row>
        <row r="680">
          <cell r="B680" t="str">
            <v>7005</v>
          </cell>
          <cell r="C680" t="str">
            <v>#</v>
          </cell>
          <cell r="D680" t="str">
            <v>陸運油脂産業(株)</v>
          </cell>
          <cell r="F680" t="str">
            <v>代表取締役社長</v>
          </cell>
          <cell r="G680" t="str">
            <v>立川　嘉光</v>
          </cell>
          <cell r="H680">
            <v>10</v>
          </cell>
          <cell r="I680">
            <v>12</v>
          </cell>
          <cell r="J680" t="str">
            <v>103</v>
          </cell>
          <cell r="K680" t="str">
            <v>中央区日本橋茅場町3-5-2</v>
          </cell>
          <cell r="L680" t="str">
            <v xml:space="preserve"> </v>
          </cell>
          <cell r="M680" t="str">
            <v>03-3668-8011</v>
          </cell>
          <cell r="N680" t="str">
            <v>/3668-8013</v>
          </cell>
          <cell r="O680" t="str">
            <v>ブレーキフルード</v>
          </cell>
          <cell r="Q680" t="str">
            <v>◎</v>
          </cell>
          <cell r="R680" t="str">
            <v>□</v>
          </cell>
          <cell r="S680" t="str">
            <v>☆</v>
          </cell>
          <cell r="T680" t="str">
            <v>ﾘｸｳﾝﾕｼｻﾝｷﾞｮｳ</v>
          </cell>
          <cell r="V680" t="str">
            <v>15</v>
          </cell>
        </row>
        <row r="681">
          <cell r="B681" t="str">
            <v>7006</v>
          </cell>
          <cell r="C681" t="str">
            <v>#</v>
          </cell>
          <cell r="D681" t="str">
            <v>三進化学工業(株)</v>
          </cell>
          <cell r="F681" t="str">
            <v>取締役社長</v>
          </cell>
          <cell r="G681" t="str">
            <v>渡辺　武雄</v>
          </cell>
          <cell r="H681">
            <v>10</v>
          </cell>
          <cell r="I681">
            <v>42</v>
          </cell>
          <cell r="J681" t="str">
            <v>105</v>
          </cell>
          <cell r="K681" t="str">
            <v>港区新橋2-20-15-301</v>
          </cell>
          <cell r="L681" t="str">
            <v xml:space="preserve"> </v>
          </cell>
          <cell r="M681" t="str">
            <v>03-3573-6811</v>
          </cell>
          <cell r="N681" t="str">
            <v>/3574-1324</v>
          </cell>
          <cell r="O681" t="str">
            <v>不凍液</v>
          </cell>
          <cell r="P681" t="str">
            <v>▽</v>
          </cell>
          <cell r="Q681" t="str">
            <v>◎</v>
          </cell>
          <cell r="R681" t="str">
            <v>□</v>
          </cell>
          <cell r="S681" t="str">
            <v>☆</v>
          </cell>
          <cell r="T681" t="str">
            <v>ｻﾝｼﾝｶｶﾞｸｺｳｷﾞｮｳ</v>
          </cell>
          <cell r="V681" t="str">
            <v>15</v>
          </cell>
        </row>
        <row r="682">
          <cell r="B682" t="str">
            <v>7009</v>
          </cell>
          <cell r="C682" t="str">
            <v>#</v>
          </cell>
          <cell r="D682" t="str">
            <v>協同油脂(株)</v>
          </cell>
          <cell r="F682" t="str">
            <v>取締役社長</v>
          </cell>
          <cell r="G682" t="str">
            <v>小船　昭</v>
          </cell>
          <cell r="H682">
            <v>773</v>
          </cell>
          <cell r="I682">
            <v>287</v>
          </cell>
          <cell r="J682" t="str">
            <v>104</v>
          </cell>
          <cell r="K682" t="str">
            <v>中央区銀座2-16-7</v>
          </cell>
          <cell r="L682" t="str">
            <v>電通恒産第3ビル</v>
          </cell>
          <cell r="M682" t="str">
            <v>03-3543-5811</v>
          </cell>
          <cell r="N682" t="str">
            <v>/3545-6259</v>
          </cell>
          <cell r="O682" t="str">
            <v>切削剤・グリス</v>
          </cell>
          <cell r="Q682" t="str">
            <v>◎</v>
          </cell>
          <cell r="R682" t="str">
            <v>□</v>
          </cell>
          <cell r="S682" t="str">
            <v>☆</v>
          </cell>
          <cell r="T682" t="str">
            <v>ｷｮｳﾄﾞｳﾕｼ</v>
          </cell>
          <cell r="V682" t="str">
            <v>15</v>
          </cell>
        </row>
        <row r="683">
          <cell r="B683" t="str">
            <v>7015</v>
          </cell>
          <cell r="C683" t="str">
            <v>#</v>
          </cell>
          <cell r="D683" t="str">
            <v>日新商事(株)</v>
          </cell>
          <cell r="F683" t="str">
            <v>代表取締役</v>
          </cell>
          <cell r="G683" t="str">
            <v>相山  武夫</v>
          </cell>
          <cell r="H683" t="str">
            <v>30</v>
          </cell>
          <cell r="I683" t="str">
            <v>40</v>
          </cell>
          <cell r="J683" t="str">
            <v>104</v>
          </cell>
          <cell r="K683" t="str">
            <v>中央区銀座4-2-15</v>
          </cell>
          <cell r="L683" t="str">
            <v xml:space="preserve"> </v>
          </cell>
          <cell r="M683" t="str">
            <v>03-3562-0041</v>
          </cell>
          <cell r="N683" t="str">
            <v>/3562-0045</v>
          </cell>
          <cell r="O683" t="str">
            <v>燃料油</v>
          </cell>
          <cell r="R683" t="str">
            <v>□</v>
          </cell>
          <cell r="T683" t="str">
            <v>ﾆｯｼﾝｼｮｳｼﾞ</v>
          </cell>
          <cell r="V683" t="str">
            <v>15</v>
          </cell>
        </row>
        <row r="684">
          <cell r="B684" t="str">
            <v>7016</v>
          </cell>
          <cell r="C684" t="str">
            <v>#</v>
          </cell>
          <cell r="D684" t="str">
            <v>三恵商事(株)</v>
          </cell>
          <cell r="F684" t="str">
            <v>代表取締役</v>
          </cell>
          <cell r="G684" t="str">
            <v>鶴岡　知行</v>
          </cell>
          <cell r="H684">
            <v>10</v>
          </cell>
          <cell r="I684">
            <v>7</v>
          </cell>
          <cell r="J684" t="str">
            <v>105</v>
          </cell>
          <cell r="K684" t="str">
            <v>港区新橋4-16-9</v>
          </cell>
          <cell r="L684" t="str">
            <v xml:space="preserve"> </v>
          </cell>
          <cell r="M684" t="str">
            <v>03-3433-6441</v>
          </cell>
          <cell r="N684" t="str">
            <v>/3578-9276</v>
          </cell>
          <cell r="O684" t="str">
            <v>ｸﾞﾘｰｽ</v>
          </cell>
          <cell r="Q684" t="str">
            <v xml:space="preserve"> </v>
          </cell>
          <cell r="R684" t="str">
            <v>□</v>
          </cell>
          <cell r="T684" t="str">
            <v>ｻﾝｹｲｼｮｳｼﾞ</v>
          </cell>
          <cell r="U684" t="str">
            <v xml:space="preserve"> </v>
          </cell>
          <cell r="V684" t="str">
            <v>15</v>
          </cell>
        </row>
        <row r="685">
          <cell r="B685" t="str">
            <v>7017</v>
          </cell>
          <cell r="C685" t="str">
            <v>#</v>
          </cell>
          <cell r="D685" t="str">
            <v>ユシロ化学工業(株)</v>
          </cell>
          <cell r="F685" t="str">
            <v>取締役社長</v>
          </cell>
          <cell r="G685" t="str">
            <v>小林　義弘</v>
          </cell>
          <cell r="H685">
            <v>4249</v>
          </cell>
          <cell r="I685">
            <v>382</v>
          </cell>
          <cell r="J685" t="str">
            <v>146</v>
          </cell>
          <cell r="K685" t="str">
            <v>大田区千鳥2-34-16</v>
          </cell>
          <cell r="L685" t="str">
            <v xml:space="preserve"> </v>
          </cell>
          <cell r="M685" t="str">
            <v>03-3750-1101</v>
          </cell>
          <cell r="N685" t="str">
            <v>/3750-1142</v>
          </cell>
          <cell r="O685" t="str">
            <v>切削剤</v>
          </cell>
          <cell r="Q685" t="str">
            <v>◎</v>
          </cell>
          <cell r="R685" t="str">
            <v>□</v>
          </cell>
          <cell r="S685" t="str">
            <v>☆</v>
          </cell>
          <cell r="T685" t="str">
            <v>ﾕｼﾛｶｶﾞｸｺｳｷﾞｮｳ</v>
          </cell>
          <cell r="V685" t="str">
            <v>15</v>
          </cell>
        </row>
        <row r="686">
          <cell r="B686" t="str">
            <v>7020</v>
          </cell>
          <cell r="C686" t="str">
            <v>#</v>
          </cell>
          <cell r="D686" t="str">
            <v>日本石油(株)</v>
          </cell>
          <cell r="F686" t="str">
            <v>取締役社長</v>
          </cell>
          <cell r="G686" t="str">
            <v>大澤  秀次郎</v>
          </cell>
          <cell r="H686">
            <v>123648</v>
          </cell>
          <cell r="I686">
            <v>2752</v>
          </cell>
          <cell r="J686" t="str">
            <v>105</v>
          </cell>
          <cell r="K686" t="str">
            <v>港区西新橋1-3-12</v>
          </cell>
          <cell r="L686" t="str">
            <v xml:space="preserve"> </v>
          </cell>
          <cell r="M686" t="str">
            <v>03-3502-9135</v>
          </cell>
          <cell r="N686" t="str">
            <v>/3502-9362</v>
          </cell>
          <cell r="O686" t="str">
            <v>燃料油・潤滑油</v>
          </cell>
          <cell r="Q686" t="str">
            <v xml:space="preserve"> </v>
          </cell>
          <cell r="R686" t="str">
            <v>□</v>
          </cell>
          <cell r="T686" t="str">
            <v>ﾆﾎﾝｾｷﾕ</v>
          </cell>
          <cell r="V686" t="str">
            <v>15</v>
          </cell>
        </row>
        <row r="687">
          <cell r="B687" t="str">
            <v>7020</v>
          </cell>
          <cell r="C687" t="str">
            <v>A</v>
          </cell>
          <cell r="D687" t="str">
            <v>日本石油(株)</v>
          </cell>
          <cell r="E687" t="str">
            <v>産業燃料一部</v>
          </cell>
          <cell r="F687" t="str">
            <v>取締役部長</v>
          </cell>
          <cell r="G687" t="str">
            <v>吉田  清</v>
          </cell>
          <cell r="J687" t="str">
            <v>105</v>
          </cell>
          <cell r="K687" t="str">
            <v>港区西新橋1-3-12</v>
          </cell>
          <cell r="L687" t="str">
            <v xml:space="preserve"> </v>
          </cell>
          <cell r="M687" t="str">
            <v>03-3502-9135</v>
          </cell>
          <cell r="N687" t="str">
            <v>/</v>
          </cell>
          <cell r="O687" t="str">
            <v>燃料油・潤滑油</v>
          </cell>
          <cell r="Q687" t="str">
            <v xml:space="preserve"> </v>
          </cell>
          <cell r="S687" t="str">
            <v>☆</v>
          </cell>
          <cell r="T687" t="str">
            <v>ﾆﾎﾝｾｷﾕ</v>
          </cell>
          <cell r="V687" t="str">
            <v>15</v>
          </cell>
        </row>
        <row r="688">
          <cell r="B688" t="str">
            <v>7021</v>
          </cell>
          <cell r="C688" t="str">
            <v>#</v>
          </cell>
          <cell r="D688" t="str">
            <v>昭和シェル石油(株)</v>
          </cell>
          <cell r="F688" t="str">
            <v>代表取締役社長</v>
          </cell>
          <cell r="G688" t="str">
            <v>山崎  保</v>
          </cell>
          <cell r="H688">
            <v>3419</v>
          </cell>
          <cell r="I688">
            <v>2380</v>
          </cell>
          <cell r="J688" t="str">
            <v>135</v>
          </cell>
          <cell r="K688" t="str">
            <v>港区台場2-3-2</v>
          </cell>
          <cell r="L688" t="str">
            <v xml:space="preserve"> </v>
          </cell>
          <cell r="M688" t="str">
            <v>03-5531-5743</v>
          </cell>
          <cell r="N688" t="str">
            <v>/5531-5749</v>
          </cell>
          <cell r="O688" t="str">
            <v>燃料油・潤滑油</v>
          </cell>
          <cell r="Q688" t="str">
            <v xml:space="preserve"> </v>
          </cell>
          <cell r="R688" t="str">
            <v>□</v>
          </cell>
          <cell r="S688" t="str">
            <v xml:space="preserve"> </v>
          </cell>
          <cell r="T688" t="str">
            <v>ｼｮｳﾜｼｪﾙｾｷﾕ</v>
          </cell>
          <cell r="V688" t="str">
            <v>15</v>
          </cell>
        </row>
        <row r="689">
          <cell r="B689" t="str">
            <v>7021</v>
          </cell>
          <cell r="C689" t="str">
            <v>A</v>
          </cell>
          <cell r="D689" t="str">
            <v>昭和シェル石油(株)</v>
          </cell>
          <cell r="E689" t="str">
            <v>直売部</v>
          </cell>
          <cell r="F689" t="str">
            <v>取締役</v>
          </cell>
          <cell r="G689" t="str">
            <v>田島  幸次郎</v>
          </cell>
          <cell r="J689" t="str">
            <v>100</v>
          </cell>
          <cell r="K689" t="str">
            <v>千代田区霞が関3-2-5</v>
          </cell>
          <cell r="L689" t="str">
            <v>(霞が関ビル)</v>
          </cell>
          <cell r="M689" t="str">
            <v>03-3503-4062</v>
          </cell>
          <cell r="N689" t="str">
            <v>/3503-4028</v>
          </cell>
          <cell r="O689" t="str">
            <v>燃料油・潤滑油</v>
          </cell>
          <cell r="Q689" t="str">
            <v xml:space="preserve"> </v>
          </cell>
          <cell r="T689" t="str">
            <v>ｼｮｳﾜｼｪﾙｾｷﾕ</v>
          </cell>
          <cell r="V689" t="str">
            <v>15</v>
          </cell>
        </row>
        <row r="690">
          <cell r="B690" t="str">
            <v>7025</v>
          </cell>
          <cell r="C690" t="str">
            <v>#</v>
          </cell>
          <cell r="D690" t="str">
            <v>(株)カナセキユニオン</v>
          </cell>
          <cell r="F690" t="str">
            <v>代表取締役社長</v>
          </cell>
          <cell r="G690" t="str">
            <v>中村　保夫</v>
          </cell>
          <cell r="H690">
            <v>60</v>
          </cell>
          <cell r="I690">
            <v>98</v>
          </cell>
          <cell r="J690" t="str">
            <v>221</v>
          </cell>
          <cell r="K690" t="str">
            <v>横浜市神奈川区金港町5-10</v>
          </cell>
          <cell r="L690" t="str">
            <v>金港ビル</v>
          </cell>
          <cell r="M690" t="str">
            <v>045-461-5921</v>
          </cell>
          <cell r="N690" t="str">
            <v>/453-2088</v>
          </cell>
          <cell r="O690" t="str">
            <v>燃料油・潤滑油</v>
          </cell>
          <cell r="Q690" t="str">
            <v>◎</v>
          </cell>
          <cell r="R690" t="str">
            <v>□</v>
          </cell>
          <cell r="S690" t="str">
            <v>☆</v>
          </cell>
          <cell r="T690" t="str">
            <v>ｶﾅｶﾞﾜｾｷﾕﾊﾝﾊﾞｲ</v>
          </cell>
          <cell r="U690" t="str">
            <v xml:space="preserve"> </v>
          </cell>
          <cell r="V690" t="str">
            <v>15</v>
          </cell>
        </row>
        <row r="691">
          <cell r="B691" t="str">
            <v>7030</v>
          </cell>
          <cell r="C691" t="str">
            <v>#</v>
          </cell>
          <cell r="D691" t="str">
            <v>出光興産(株)</v>
          </cell>
          <cell r="F691" t="str">
            <v>代表取締役社長</v>
          </cell>
          <cell r="G691" t="str">
            <v>出光  裕治</v>
          </cell>
          <cell r="H691">
            <v>1000</v>
          </cell>
          <cell r="I691">
            <v>5446</v>
          </cell>
          <cell r="J691" t="str">
            <v>100</v>
          </cell>
          <cell r="K691" t="str">
            <v>千代田区丸の内3-1-1</v>
          </cell>
          <cell r="L691" t="str">
            <v xml:space="preserve"> </v>
          </cell>
          <cell r="M691" t="str">
            <v>03-3213-3111</v>
          </cell>
          <cell r="N691" t="str">
            <v>/</v>
          </cell>
          <cell r="O691" t="str">
            <v>燃料油</v>
          </cell>
          <cell r="Q691" t="str">
            <v xml:space="preserve"> </v>
          </cell>
          <cell r="R691" t="str">
            <v>□</v>
          </cell>
          <cell r="S691" t="str">
            <v>☆</v>
          </cell>
          <cell r="T691" t="str">
            <v>ｲﾃﾞﾐﾂｺｳｻﾝ</v>
          </cell>
          <cell r="V691" t="str">
            <v>15</v>
          </cell>
        </row>
        <row r="692">
          <cell r="B692" t="str">
            <v>7030</v>
          </cell>
          <cell r="C692" t="str">
            <v>A</v>
          </cell>
          <cell r="D692" t="str">
            <v>出光興産(株)</v>
          </cell>
          <cell r="E692" t="str">
            <v>横浜支店</v>
          </cell>
          <cell r="F692" t="str">
            <v>支店長</v>
          </cell>
          <cell r="G692" t="str">
            <v>向井  正典</v>
          </cell>
          <cell r="J692" t="str">
            <v>231</v>
          </cell>
          <cell r="K692" t="str">
            <v>横浜市中区羽衣町2-7-8</v>
          </cell>
          <cell r="L692" t="str">
            <v xml:space="preserve"> </v>
          </cell>
          <cell r="M692" t="str">
            <v>045-261-6023</v>
          </cell>
          <cell r="N692" t="str">
            <v>/252-6851</v>
          </cell>
          <cell r="O692" t="str">
            <v>燃料油</v>
          </cell>
          <cell r="Q692" t="str">
            <v xml:space="preserve"> </v>
          </cell>
          <cell r="T692" t="str">
            <v>ｲﾃﾞﾐﾂｺｳｻﾝ</v>
          </cell>
          <cell r="V692" t="str">
            <v>15</v>
          </cell>
        </row>
        <row r="693">
          <cell r="B693" t="str">
            <v>7033</v>
          </cell>
          <cell r="C693" t="str">
            <v>#</v>
          </cell>
          <cell r="D693" t="str">
            <v>大同化学工業(株)</v>
          </cell>
          <cell r="F693" t="str">
            <v>代表取締役社長</v>
          </cell>
          <cell r="G693" t="str">
            <v>黒川　一</v>
          </cell>
          <cell r="H693">
            <v>224</v>
          </cell>
          <cell r="I693">
            <v>200</v>
          </cell>
          <cell r="J693" t="str">
            <v>530</v>
          </cell>
          <cell r="K693" t="str">
            <v>大阪市北区梅田1-2-2</v>
          </cell>
          <cell r="L693" t="str">
            <v>1400号大阪駅前第2ビル</v>
          </cell>
          <cell r="M693" t="str">
            <v xml:space="preserve">06-346-5111 </v>
          </cell>
          <cell r="N693" t="str">
            <v>/</v>
          </cell>
          <cell r="O693" t="str">
            <v>切削剤・焼入油</v>
          </cell>
          <cell r="Q693" t="str">
            <v xml:space="preserve"> </v>
          </cell>
          <cell r="R693" t="str">
            <v>□</v>
          </cell>
          <cell r="T693" t="str">
            <v>ﾀﾞｲﾄﾞｳｶｶﾞｸｺｳｷﾞｮｳ</v>
          </cell>
          <cell r="V693" t="str">
            <v>15</v>
          </cell>
        </row>
        <row r="694">
          <cell r="B694" t="str">
            <v>7033</v>
          </cell>
          <cell r="C694" t="str">
            <v>A</v>
          </cell>
          <cell r="D694" t="str">
            <v>大同化学工業(株)</v>
          </cell>
          <cell r="E694" t="str">
            <v>東京支店</v>
          </cell>
          <cell r="F694" t="str">
            <v>取締役支店長</v>
          </cell>
          <cell r="G694" t="str">
            <v>高木　友三</v>
          </cell>
          <cell r="J694" t="str">
            <v>104</v>
          </cell>
          <cell r="K694" t="str">
            <v>中央区日本橋2-10-8</v>
          </cell>
          <cell r="L694" t="str">
            <v>日本橋日光ビル</v>
          </cell>
          <cell r="M694" t="str">
            <v>03-3273-3066</v>
          </cell>
          <cell r="N694" t="str">
            <v>/3278-0169</v>
          </cell>
          <cell r="O694" t="str">
            <v>切削油・焼入油</v>
          </cell>
          <cell r="Q694" t="str">
            <v xml:space="preserve"> </v>
          </cell>
          <cell r="T694" t="str">
            <v>ﾀﾞｲﾄﾞｳｶｶﾞｸｺｳｷﾞｮｳ</v>
          </cell>
          <cell r="V694" t="str">
            <v>15</v>
          </cell>
        </row>
        <row r="695">
          <cell r="B695" t="str">
            <v>7035</v>
          </cell>
          <cell r="C695" t="str">
            <v>#</v>
          </cell>
          <cell r="D695" t="str">
            <v>日本工作油(株)</v>
          </cell>
          <cell r="F695" t="str">
            <v>取締役社長</v>
          </cell>
          <cell r="G695" t="str">
            <v>小堀　美智子</v>
          </cell>
          <cell r="H695">
            <v>60</v>
          </cell>
          <cell r="I695">
            <v>57</v>
          </cell>
          <cell r="J695" t="str">
            <v>108</v>
          </cell>
          <cell r="K695" t="str">
            <v>港区芝5-29-14</v>
          </cell>
          <cell r="L695" t="str">
            <v xml:space="preserve"> </v>
          </cell>
          <cell r="M695" t="str">
            <v>03-3455-5511</v>
          </cell>
          <cell r="N695" t="str">
            <v>/</v>
          </cell>
          <cell r="O695" t="str">
            <v>潤滑油</v>
          </cell>
          <cell r="Q695" t="str">
            <v xml:space="preserve"> </v>
          </cell>
          <cell r="T695" t="str">
            <v>ﾆﾎﾝｺｳｻｸﾕ</v>
          </cell>
          <cell r="V695" t="str">
            <v>15</v>
          </cell>
        </row>
        <row r="696">
          <cell r="B696" t="str">
            <v>7040</v>
          </cell>
          <cell r="C696" t="str">
            <v>#</v>
          </cell>
          <cell r="D696" t="str">
            <v>コスモ石油(株)</v>
          </cell>
          <cell r="F696" t="str">
            <v>代表取締役社長</v>
          </cell>
          <cell r="G696" t="str">
            <v>岡部  敬一郎</v>
          </cell>
          <cell r="H696">
            <v>28332</v>
          </cell>
          <cell r="I696">
            <v>3470</v>
          </cell>
          <cell r="J696" t="str">
            <v>105</v>
          </cell>
          <cell r="K696" t="str">
            <v>港区芝浦1-1-1</v>
          </cell>
          <cell r="L696" t="str">
            <v xml:space="preserve"> </v>
          </cell>
          <cell r="M696" t="str">
            <v>03-3798-3211</v>
          </cell>
          <cell r="N696" t="str">
            <v>/</v>
          </cell>
          <cell r="O696" t="str">
            <v>燃料油・潤滑油</v>
          </cell>
          <cell r="Q696" t="str">
            <v xml:space="preserve"> </v>
          </cell>
          <cell r="R696" t="str">
            <v>□</v>
          </cell>
          <cell r="S696" t="str">
            <v>☆</v>
          </cell>
          <cell r="T696" t="str">
            <v>ｺｽﾓｾｷﾕ</v>
          </cell>
          <cell r="V696" t="str">
            <v>15</v>
          </cell>
        </row>
        <row r="697">
          <cell r="B697" t="str">
            <v>7040</v>
          </cell>
          <cell r="C697" t="str">
            <v>A</v>
          </cell>
          <cell r="D697" t="str">
            <v>コスモ石油(株)</v>
          </cell>
          <cell r="E697" t="str">
            <v>潤滑油部</v>
          </cell>
          <cell r="F697" t="str">
            <v>部長</v>
          </cell>
          <cell r="G697" t="str">
            <v>徳田  泰介</v>
          </cell>
          <cell r="J697" t="str">
            <v>105</v>
          </cell>
          <cell r="K697" t="str">
            <v>港区芝浦1-1-1</v>
          </cell>
          <cell r="L697" t="str">
            <v xml:space="preserve"> </v>
          </cell>
          <cell r="M697" t="str">
            <v>03-3798-3163</v>
          </cell>
          <cell r="N697" t="str">
            <v>/3798-3237</v>
          </cell>
          <cell r="O697" t="str">
            <v>燃料油・石油製品</v>
          </cell>
          <cell r="Q697" t="str">
            <v xml:space="preserve"> </v>
          </cell>
          <cell r="T697" t="str">
            <v>ｺｽﾓｾｷﾕ</v>
          </cell>
          <cell r="V697" t="str">
            <v>15</v>
          </cell>
        </row>
        <row r="698">
          <cell r="B698" t="str">
            <v>7040</v>
          </cell>
          <cell r="C698" t="str">
            <v>B</v>
          </cell>
          <cell r="D698" t="str">
            <v>コスモ石油(株)</v>
          </cell>
          <cell r="E698" t="str">
            <v>東京東支店</v>
          </cell>
          <cell r="F698" t="str">
            <v>常務取締役支店長</v>
          </cell>
          <cell r="G698" t="str">
            <v>中原  晟介</v>
          </cell>
          <cell r="J698" t="str">
            <v>104</v>
          </cell>
          <cell r="K698" t="str">
            <v>中央区八重州2-4-1</v>
          </cell>
          <cell r="L698" t="str">
            <v>常和八重洲ビル5F</v>
          </cell>
          <cell r="M698" t="str">
            <v>03-3275-8052</v>
          </cell>
          <cell r="N698" t="str">
            <v>/3275-8057</v>
          </cell>
          <cell r="O698" t="str">
            <v>燃料油・石油製品</v>
          </cell>
          <cell r="Q698" t="str">
            <v xml:space="preserve"> </v>
          </cell>
          <cell r="T698" t="str">
            <v>ｺｽﾓｾｷﾕ</v>
          </cell>
          <cell r="V698" t="str">
            <v>15</v>
          </cell>
        </row>
        <row r="699">
          <cell r="B699" t="str">
            <v>7042</v>
          </cell>
          <cell r="C699" t="str">
            <v>#</v>
          </cell>
          <cell r="D699" t="str">
            <v>日星石油(株)</v>
          </cell>
          <cell r="F699" t="str">
            <v>代表取締役社長</v>
          </cell>
          <cell r="G699" t="str">
            <v>加藤　左武郎</v>
          </cell>
          <cell r="H699">
            <v>100</v>
          </cell>
          <cell r="I699">
            <v>150</v>
          </cell>
          <cell r="J699" t="str">
            <v>320</v>
          </cell>
          <cell r="K699" t="str">
            <v>宇都宮市不動前2-2-51</v>
          </cell>
          <cell r="L699" t="str">
            <v xml:space="preserve"> </v>
          </cell>
          <cell r="M699" t="str">
            <v>0286-33-1411</v>
          </cell>
          <cell r="N699" t="str">
            <v>/</v>
          </cell>
          <cell r="O699" t="str">
            <v>燃料油</v>
          </cell>
          <cell r="Q699" t="str">
            <v xml:space="preserve"> </v>
          </cell>
          <cell r="T699" t="str">
            <v>ﾆｯｾｲｾｷﾕ</v>
          </cell>
          <cell r="U699" t="str">
            <v xml:space="preserve"> </v>
          </cell>
          <cell r="V699" t="str">
            <v>15</v>
          </cell>
        </row>
        <row r="700">
          <cell r="B700" t="str">
            <v>7046</v>
          </cell>
          <cell r="C700" t="str">
            <v>#</v>
          </cell>
          <cell r="D700" t="str">
            <v>両毛丸善(株)</v>
          </cell>
          <cell r="F700" t="str">
            <v>代表取締役</v>
          </cell>
          <cell r="G700" t="str">
            <v>長谷　俊夫</v>
          </cell>
          <cell r="H700">
            <v>250</v>
          </cell>
          <cell r="I700">
            <v>387</v>
          </cell>
          <cell r="J700" t="str">
            <v>326-03</v>
          </cell>
          <cell r="K700" t="str">
            <v>足利市問屋町1535-12</v>
          </cell>
          <cell r="L700" t="str">
            <v xml:space="preserve"> </v>
          </cell>
          <cell r="M700" t="str">
            <v>0284-70-2105</v>
          </cell>
          <cell r="N700" t="str">
            <v>/</v>
          </cell>
          <cell r="O700" t="str">
            <v xml:space="preserve">燃料油・潤滑油 </v>
          </cell>
          <cell r="Q700" t="str">
            <v xml:space="preserve"> </v>
          </cell>
          <cell r="T700" t="str">
            <v>ﾘｮｳﾓｳﾏﾙｾﾞﾝ</v>
          </cell>
          <cell r="V700" t="str">
            <v>15</v>
          </cell>
        </row>
        <row r="701">
          <cell r="B701" t="str">
            <v>7048</v>
          </cell>
          <cell r="C701" t="str">
            <v>#</v>
          </cell>
          <cell r="D701" t="str">
            <v>シーシーアイ(株)</v>
          </cell>
          <cell r="F701" t="str">
            <v>代表取締役社長</v>
          </cell>
          <cell r="G701" t="str">
            <v>岡部　修二</v>
          </cell>
          <cell r="H701">
            <v>4805</v>
          </cell>
          <cell r="I701">
            <v>242</v>
          </cell>
          <cell r="J701" t="str">
            <v>501-32</v>
          </cell>
          <cell r="K701" t="str">
            <v>関市新迫間12</v>
          </cell>
          <cell r="L701" t="str">
            <v xml:space="preserve"> </v>
          </cell>
          <cell r="M701" t="str">
            <v>0575-24-4436</v>
          </cell>
          <cell r="N701" t="str">
            <v>/24-4447</v>
          </cell>
          <cell r="O701" t="str">
            <v>ブレーキ・フルード</v>
          </cell>
          <cell r="Q701" t="str">
            <v xml:space="preserve"> </v>
          </cell>
          <cell r="R701" t="str">
            <v>□</v>
          </cell>
          <cell r="S701" t="str">
            <v>☆</v>
          </cell>
          <cell r="T701" t="str">
            <v>ｼｰｼｰｱｲ</v>
          </cell>
          <cell r="V701" t="str">
            <v>15</v>
          </cell>
        </row>
        <row r="702">
          <cell r="B702" t="str">
            <v>7048</v>
          </cell>
          <cell r="C702" t="str">
            <v>A</v>
          </cell>
          <cell r="D702" t="str">
            <v>シーシーアイ(株)</v>
          </cell>
          <cell r="E702" t="str">
            <v>東京営業所</v>
          </cell>
          <cell r="F702" t="str">
            <v>所長</v>
          </cell>
          <cell r="G702" t="str">
            <v>水谷  修</v>
          </cell>
          <cell r="J702" t="str">
            <v>333</v>
          </cell>
          <cell r="K702" t="str">
            <v>埼玉県川口市北園町15-4</v>
          </cell>
          <cell r="L702" t="str">
            <v xml:space="preserve"> </v>
          </cell>
          <cell r="M702" t="str">
            <v>048-262-7724</v>
          </cell>
          <cell r="N702" t="str">
            <v>/262-7728</v>
          </cell>
          <cell r="O702" t="str">
            <v>ブレーキ・フルード</v>
          </cell>
          <cell r="Q702" t="str">
            <v xml:space="preserve"> </v>
          </cell>
          <cell r="T702" t="str">
            <v>ｼｰｼｰｱｲ</v>
          </cell>
          <cell r="V702" t="str">
            <v>15</v>
          </cell>
        </row>
        <row r="703">
          <cell r="B703" t="str">
            <v>7049</v>
          </cell>
          <cell r="C703" t="str">
            <v>#</v>
          </cell>
          <cell r="D703" t="str">
            <v>大洋石油(株)</v>
          </cell>
          <cell r="F703" t="str">
            <v>代表取締役</v>
          </cell>
          <cell r="G703" t="str">
            <v>熊澤  蕃</v>
          </cell>
          <cell r="H703">
            <v>400</v>
          </cell>
          <cell r="I703">
            <v>52</v>
          </cell>
          <cell r="J703" t="str">
            <v>230</v>
          </cell>
          <cell r="K703" t="str">
            <v>横浜市鶴見区生麦3-5-22</v>
          </cell>
          <cell r="L703" t="str">
            <v xml:space="preserve"> </v>
          </cell>
          <cell r="M703" t="str">
            <v>045-521-5925</v>
          </cell>
          <cell r="N703" t="str">
            <v>/</v>
          </cell>
          <cell r="O703" t="str">
            <v>機械油･灯油･軽油</v>
          </cell>
          <cell r="Q703" t="str">
            <v xml:space="preserve"> </v>
          </cell>
          <cell r="R703" t="str">
            <v>□</v>
          </cell>
          <cell r="T703" t="str">
            <v>ﾀｲﾖｳｾｷﾕ</v>
          </cell>
          <cell r="V703" t="str">
            <v>15</v>
          </cell>
        </row>
        <row r="704">
          <cell r="B704" t="str">
            <v>7050</v>
          </cell>
          <cell r="C704" t="str">
            <v>#</v>
          </cell>
          <cell r="D704" t="str">
            <v>パーカー興産(株)</v>
          </cell>
          <cell r="F704" t="str">
            <v>代表取締役社長</v>
          </cell>
          <cell r="G704" t="str">
            <v>里見  豊</v>
          </cell>
          <cell r="H704">
            <v>300</v>
          </cell>
          <cell r="I704">
            <v>90</v>
          </cell>
          <cell r="J704" t="str">
            <v>146</v>
          </cell>
          <cell r="K704" t="str">
            <v>大田区仲池上2-14-12</v>
          </cell>
          <cell r="L704" t="str">
            <v xml:space="preserve"> </v>
          </cell>
          <cell r="M704" t="str">
            <v>03-5748-4061</v>
          </cell>
          <cell r="N704" t="str">
            <v>/5748-4063</v>
          </cell>
          <cell r="O704" t="str">
            <v>防錆油剤</v>
          </cell>
          <cell r="Q704" t="str">
            <v xml:space="preserve"> </v>
          </cell>
          <cell r="R704" t="str">
            <v>□</v>
          </cell>
          <cell r="T704" t="str">
            <v xml:space="preserve">ﾊﾟｰｶｰｺｳｻﾝ </v>
          </cell>
          <cell r="V704" t="str">
            <v>15</v>
          </cell>
        </row>
        <row r="705">
          <cell r="B705" t="str">
            <v>7100</v>
          </cell>
          <cell r="C705" t="str">
            <v>#</v>
          </cell>
          <cell r="D705" t="str">
            <v>東京商事(株)</v>
          </cell>
          <cell r="F705" t="str">
            <v>代表取締役社長</v>
          </cell>
          <cell r="G705" t="str">
            <v>川田　浩二</v>
          </cell>
          <cell r="H705">
            <v>10</v>
          </cell>
          <cell r="I705">
            <v>52</v>
          </cell>
          <cell r="J705" t="str">
            <v>105</v>
          </cell>
          <cell r="K705" t="str">
            <v>港区西新橋1-13-4</v>
          </cell>
          <cell r="L705" t="str">
            <v xml:space="preserve"> </v>
          </cell>
          <cell r="M705" t="str">
            <v>03-3591-5321</v>
          </cell>
          <cell r="N705" t="str">
            <v>/3503-8608</v>
          </cell>
          <cell r="O705" t="str">
            <v>ｺｰｸｽ､石灰石</v>
          </cell>
          <cell r="Q705" t="str">
            <v>◎</v>
          </cell>
          <cell r="R705" t="str">
            <v>□</v>
          </cell>
          <cell r="S705" t="str">
            <v>☆</v>
          </cell>
          <cell r="T705" t="str">
            <v>ﾄｳｷｮｳｼｮｳｼﾞ</v>
          </cell>
          <cell r="V705" t="str">
            <v>15</v>
          </cell>
        </row>
        <row r="706">
          <cell r="B706" t="str">
            <v>7102</v>
          </cell>
          <cell r="C706" t="str">
            <v>#</v>
          </cell>
          <cell r="D706" t="str">
            <v>金商又一(株)</v>
          </cell>
          <cell r="F706" t="str">
            <v>代表取締役社長</v>
          </cell>
          <cell r="G706" t="str">
            <v>河内  鋭雄</v>
          </cell>
          <cell r="H706">
            <v>1605</v>
          </cell>
          <cell r="I706">
            <v>512</v>
          </cell>
          <cell r="J706" t="str">
            <v>104</v>
          </cell>
          <cell r="K706" t="str">
            <v>中央区新川1-24-1</v>
          </cell>
          <cell r="L706" t="str">
            <v xml:space="preserve"> </v>
          </cell>
          <cell r="M706" t="str">
            <v>03-3297-7111</v>
          </cell>
          <cell r="N706" t="str">
            <v>/3297-7399</v>
          </cell>
          <cell r="O706" t="str">
            <v>ｺｰｸｽ</v>
          </cell>
          <cell r="Q706" t="str">
            <v xml:space="preserve"> </v>
          </cell>
          <cell r="R706" t="str">
            <v>□</v>
          </cell>
          <cell r="T706" t="str">
            <v>ｷﾝｼｮｳﾏﾀｲﾁ</v>
          </cell>
          <cell r="U706" t="str">
            <v xml:space="preserve"> </v>
          </cell>
          <cell r="V706" t="str">
            <v>15</v>
          </cell>
        </row>
        <row r="707">
          <cell r="B707" t="str">
            <v>7108</v>
          </cell>
          <cell r="C707" t="str">
            <v>#</v>
          </cell>
          <cell r="D707" t="str">
            <v>日産トレーディング(株)</v>
          </cell>
          <cell r="F707" t="str">
            <v>取締役社長</v>
          </cell>
          <cell r="G707" t="str">
            <v>永渕  秀夫</v>
          </cell>
          <cell r="H707">
            <v>200</v>
          </cell>
          <cell r="I707">
            <v>319</v>
          </cell>
          <cell r="J707" t="str">
            <v>108</v>
          </cell>
          <cell r="K707" t="str">
            <v>港区三田3-13-16</v>
          </cell>
          <cell r="L707" t="str">
            <v>三田43大森ビル</v>
          </cell>
          <cell r="M707" t="str">
            <v>03-5442-7224</v>
          </cell>
          <cell r="N707" t="str">
            <v>/5442-7240</v>
          </cell>
          <cell r="O707" t="str">
            <v>Fｺｰｸｽ</v>
          </cell>
          <cell r="Q707" t="str">
            <v xml:space="preserve"> </v>
          </cell>
          <cell r="R707" t="str">
            <v>□</v>
          </cell>
          <cell r="T707" t="str">
            <v>ﾆｯｻﾝﾄﾚｰﾃﾞｨﾝｸﾞ</v>
          </cell>
          <cell r="V707" t="str">
            <v>15</v>
          </cell>
        </row>
        <row r="708">
          <cell r="B708" t="str">
            <v>7202</v>
          </cell>
          <cell r="C708" t="str">
            <v>#</v>
          </cell>
          <cell r="D708" t="str">
            <v>(株)ｳｴｷｺｰﾎﾟﾚｰｼｮﾝ</v>
          </cell>
          <cell r="F708" t="str">
            <v>取締役社長</v>
          </cell>
          <cell r="G708" t="str">
            <v>植木　武彦</v>
          </cell>
          <cell r="H708">
            <v>30</v>
          </cell>
          <cell r="I708">
            <v>95</v>
          </cell>
          <cell r="J708" t="str">
            <v>146</v>
          </cell>
          <cell r="K708" t="str">
            <v>大田区久ケ原5-33-10</v>
          </cell>
          <cell r="L708" t="str">
            <v xml:space="preserve"> </v>
          </cell>
          <cell r="M708" t="str">
            <v>03-3753-2211</v>
          </cell>
          <cell r="N708" t="str">
            <v>/</v>
          </cell>
          <cell r="O708" t="str">
            <v>工業用特殊ガス 溶材機器</v>
          </cell>
          <cell r="Q708" t="str">
            <v xml:space="preserve"> </v>
          </cell>
          <cell r="R708" t="str">
            <v>□</v>
          </cell>
          <cell r="T708" t="str">
            <v>ｳｴｷｺｰﾎﾟﾚｰｼｮﾝ</v>
          </cell>
          <cell r="V708" t="str">
            <v>30</v>
          </cell>
        </row>
        <row r="709">
          <cell r="B709" t="str">
            <v>7203</v>
          </cell>
          <cell r="C709" t="str">
            <v>#</v>
          </cell>
          <cell r="D709" t="str">
            <v>東邦酸素工業(株)</v>
          </cell>
          <cell r="F709" t="str">
            <v>代表取締役社長</v>
          </cell>
          <cell r="G709" t="str">
            <v>鴨川  俊次</v>
          </cell>
          <cell r="H709">
            <v>50</v>
          </cell>
          <cell r="I709">
            <v>44</v>
          </cell>
          <cell r="J709" t="str">
            <v>230</v>
          </cell>
          <cell r="K709" t="str">
            <v>横浜市鶴見区江ケ崎11-34</v>
          </cell>
          <cell r="L709" t="str">
            <v xml:space="preserve"> </v>
          </cell>
          <cell r="M709" t="str">
            <v>045-571-7345</v>
          </cell>
          <cell r="N709" t="str">
            <v>/575-9318</v>
          </cell>
          <cell r="O709" t="str">
            <v>LPG･酸素･ｱｾﾁﾚﾝ</v>
          </cell>
          <cell r="Q709" t="str">
            <v>◎</v>
          </cell>
          <cell r="R709" t="str">
            <v>□</v>
          </cell>
          <cell r="S709" t="str">
            <v>☆</v>
          </cell>
          <cell r="T709" t="str">
            <v>ﾄｳﾎｳｻﾝｿｺｳｷﾞｮｳ</v>
          </cell>
          <cell r="V709" t="str">
            <v>15</v>
          </cell>
        </row>
        <row r="710">
          <cell r="B710" t="str">
            <v>7204</v>
          </cell>
          <cell r="C710" t="str">
            <v>#</v>
          </cell>
          <cell r="D710" t="str">
            <v>(株)渡商会</v>
          </cell>
          <cell r="F710" t="str">
            <v>取締役社長</v>
          </cell>
          <cell r="G710" t="str">
            <v>高木  明</v>
          </cell>
          <cell r="H710">
            <v>20</v>
          </cell>
          <cell r="I710">
            <v>104</v>
          </cell>
          <cell r="J710">
            <v>221</v>
          </cell>
          <cell r="K710" t="str">
            <v>横浜市神奈川区子安通2-234</v>
          </cell>
          <cell r="L710" t="str">
            <v xml:space="preserve"> </v>
          </cell>
          <cell r="M710" t="str">
            <v>045-441-1321</v>
          </cell>
          <cell r="N710" t="str">
            <v>/441-7082</v>
          </cell>
          <cell r="O710" t="str">
            <v>LPG・酸素</v>
          </cell>
          <cell r="Q710" t="str">
            <v>◎</v>
          </cell>
          <cell r="R710" t="str">
            <v>□</v>
          </cell>
          <cell r="S710" t="str">
            <v>☆</v>
          </cell>
          <cell r="T710" t="str">
            <v>ﾜﾀﾘｼｮｳｶｲ</v>
          </cell>
          <cell r="V710" t="str">
            <v>15</v>
          </cell>
        </row>
        <row r="711">
          <cell r="B711" t="str">
            <v>7204</v>
          </cell>
          <cell r="C711" t="str">
            <v>A</v>
          </cell>
          <cell r="D711" t="str">
            <v>(株)渡商会</v>
          </cell>
          <cell r="E711" t="str">
            <v>営業部</v>
          </cell>
          <cell r="F711" t="str">
            <v>取締役部長</v>
          </cell>
          <cell r="G711" t="str">
            <v>原田  和彦</v>
          </cell>
          <cell r="J711" t="str">
            <v>211</v>
          </cell>
          <cell r="K711" t="str">
            <v>横浜市神奈川区子安通2-234</v>
          </cell>
          <cell r="L711" t="str">
            <v xml:space="preserve"> </v>
          </cell>
          <cell r="M711" t="str">
            <v>045-441-1321</v>
          </cell>
          <cell r="N711" t="str">
            <v>/</v>
          </cell>
          <cell r="O711" t="str">
            <v>その他高圧ｶﾞｽ</v>
          </cell>
          <cell r="Q711" t="str">
            <v xml:space="preserve"> </v>
          </cell>
          <cell r="T711" t="str">
            <v>ﾜﾀﾘｼｮｳｶｲ</v>
          </cell>
          <cell r="V711" t="str">
            <v>15</v>
          </cell>
        </row>
        <row r="712">
          <cell r="B712" t="str">
            <v>7206</v>
          </cell>
          <cell r="C712" t="str">
            <v>#</v>
          </cell>
          <cell r="D712" t="str">
            <v>田邊工業(株)</v>
          </cell>
          <cell r="F712" t="str">
            <v>代表取締役</v>
          </cell>
          <cell r="G712" t="str">
            <v>田邊  重光</v>
          </cell>
          <cell r="H712">
            <v>20</v>
          </cell>
          <cell r="I712">
            <v>262</v>
          </cell>
          <cell r="J712" t="str">
            <v>150</v>
          </cell>
          <cell r="K712" t="str">
            <v>渋谷区東3-24-11</v>
          </cell>
          <cell r="L712" t="str">
            <v xml:space="preserve"> </v>
          </cell>
          <cell r="M712" t="str">
            <v>03-3499-3011</v>
          </cell>
          <cell r="N712" t="str">
            <v>/</v>
          </cell>
          <cell r="O712" t="str">
            <v>液体酸素･CO2･炭素</v>
          </cell>
          <cell r="Q712" t="str">
            <v xml:space="preserve"> </v>
          </cell>
          <cell r="R712" t="str">
            <v>□</v>
          </cell>
          <cell r="T712" t="str">
            <v>ﾀﾅﾍﾞｺｳｷﾞｮｳ</v>
          </cell>
          <cell r="V712" t="str">
            <v>15</v>
          </cell>
        </row>
        <row r="713">
          <cell r="B713" t="str">
            <v>7300</v>
          </cell>
          <cell r="C713" t="str">
            <v>#</v>
          </cell>
          <cell r="D713" t="str">
            <v>(株)ﾊﾟｰｶｰｺｰﾎﾟﾚｰｼｮﾝ</v>
          </cell>
          <cell r="F713" t="str">
            <v>代表取締役社長</v>
          </cell>
          <cell r="G713" t="str">
            <v>伊吹  和明</v>
          </cell>
          <cell r="H713">
            <v>1064</v>
          </cell>
          <cell r="I713">
            <v>243</v>
          </cell>
          <cell r="J713" t="str">
            <v>103</v>
          </cell>
          <cell r="K713" t="str">
            <v>中央区日本橋人形町2-22-1</v>
          </cell>
          <cell r="L713" t="str">
            <v xml:space="preserve"> </v>
          </cell>
          <cell r="M713" t="str">
            <v>03-5644-0640</v>
          </cell>
          <cell r="N713" t="str">
            <v>/3273-7915</v>
          </cell>
          <cell r="O713" t="str">
            <v>接着剤</v>
          </cell>
          <cell r="Q713" t="str">
            <v>◎</v>
          </cell>
          <cell r="R713" t="str">
            <v>□</v>
          </cell>
          <cell r="T713" t="str">
            <v>ﾊﾟｰｶｰｺｰﾎﾟﾚｰｼｮﾝ</v>
          </cell>
          <cell r="V713" t="str">
            <v>15</v>
          </cell>
        </row>
        <row r="714">
          <cell r="B714" t="str">
            <v>7303</v>
          </cell>
          <cell r="C714" t="str">
            <v>#</v>
          </cell>
          <cell r="D714" t="str">
            <v>セメダイン(株)</v>
          </cell>
          <cell r="F714" t="str">
            <v>代表取締役社長</v>
          </cell>
          <cell r="G714" t="str">
            <v>本郷  美宏</v>
          </cell>
          <cell r="H714" t="str">
            <v>2784</v>
          </cell>
          <cell r="I714" t="str">
            <v>562</v>
          </cell>
          <cell r="J714" t="str">
            <v>141</v>
          </cell>
          <cell r="K714" t="str">
            <v>品川区東五反田4-5-9</v>
          </cell>
          <cell r="L714" t="str">
            <v xml:space="preserve"> </v>
          </cell>
          <cell r="M714" t="str">
            <v>03-3442-1331</v>
          </cell>
          <cell r="N714" t="str">
            <v>/3445-6051</v>
          </cell>
          <cell r="O714" t="str">
            <v>接着剤</v>
          </cell>
          <cell r="T714" t="str">
            <v>ｾﾒﾀﾞｲﾝ</v>
          </cell>
          <cell r="V714" t="str">
            <v>15</v>
          </cell>
        </row>
        <row r="715">
          <cell r="B715" t="str">
            <v>7306</v>
          </cell>
          <cell r="C715" t="str">
            <v>#</v>
          </cell>
          <cell r="D715" t="str">
            <v>ダイアボンド工業(株)</v>
          </cell>
          <cell r="F715" t="str">
            <v>代表取締役</v>
          </cell>
          <cell r="G715" t="str">
            <v>岩城  正雄</v>
          </cell>
          <cell r="H715">
            <v>60</v>
          </cell>
          <cell r="I715">
            <v>60</v>
          </cell>
          <cell r="J715" t="str">
            <v>110</v>
          </cell>
          <cell r="K715" t="str">
            <v>台東区東上野3-15-5</v>
          </cell>
          <cell r="L715" t="str">
            <v>曽我ビル3F</v>
          </cell>
          <cell r="M715" t="str">
            <v>0462-85-8885</v>
          </cell>
          <cell r="N715" t="str">
            <v>/86-4292</v>
          </cell>
          <cell r="O715" t="str">
            <v>接着剤</v>
          </cell>
          <cell r="Q715" t="str">
            <v xml:space="preserve"> </v>
          </cell>
          <cell r="R715" t="str">
            <v>□</v>
          </cell>
          <cell r="T715" t="str">
            <v>ﾀﾞｲｱﾎﾞﾝﾄﾞｺｳｷﾞｮｳ</v>
          </cell>
          <cell r="V715" t="str">
            <v>15</v>
          </cell>
        </row>
        <row r="716">
          <cell r="B716" t="str">
            <v>7307</v>
          </cell>
          <cell r="C716" t="str">
            <v>#</v>
          </cell>
          <cell r="D716" t="str">
            <v>(株)スリ－ボンド</v>
          </cell>
          <cell r="F716" t="str">
            <v>取締役社長</v>
          </cell>
          <cell r="G716" t="str">
            <v>金子　覚</v>
          </cell>
          <cell r="H716">
            <v>300</v>
          </cell>
          <cell r="I716">
            <v>424</v>
          </cell>
          <cell r="J716" t="str">
            <v>193</v>
          </cell>
          <cell r="K716" t="str">
            <v>八王子市狭間町1456</v>
          </cell>
          <cell r="L716" t="str">
            <v xml:space="preserve"> </v>
          </cell>
          <cell r="M716" t="str">
            <v>0426-61-1333</v>
          </cell>
          <cell r="N716" t="str">
            <v>/69-7234</v>
          </cell>
          <cell r="O716" t="str">
            <v>接着剤</v>
          </cell>
          <cell r="Q716" t="str">
            <v xml:space="preserve"> </v>
          </cell>
          <cell r="R716" t="str">
            <v>□</v>
          </cell>
          <cell r="T716" t="str">
            <v>ｽﾘｰﾎﾞﾝﾄﾞ</v>
          </cell>
          <cell r="V716" t="str">
            <v>15</v>
          </cell>
        </row>
        <row r="717">
          <cell r="B717" t="str">
            <v>7307</v>
          </cell>
          <cell r="C717" t="str">
            <v>A</v>
          </cell>
          <cell r="D717" t="str">
            <v>(株)スリ－ボンド</v>
          </cell>
          <cell r="E717" t="str">
            <v>横浜支店</v>
          </cell>
          <cell r="F717" t="str">
            <v>支店長</v>
          </cell>
          <cell r="G717" t="str">
            <v>落合  信二</v>
          </cell>
          <cell r="J717" t="str">
            <v>222</v>
          </cell>
          <cell r="K717" t="str">
            <v>横浜市港北区新横浜2-5-5</v>
          </cell>
          <cell r="L717" t="str">
            <v>住友不動産新横浜ﾋﾞﾙ8F</v>
          </cell>
          <cell r="M717" t="str">
            <v>045-474-5558</v>
          </cell>
          <cell r="N717" t="str">
            <v>/474-5674</v>
          </cell>
          <cell r="O717" t="str">
            <v>接着剤</v>
          </cell>
          <cell r="Q717" t="str">
            <v xml:space="preserve"> </v>
          </cell>
          <cell r="T717" t="str">
            <v>ｽﾘｰﾎﾞﾝﾄﾞ</v>
          </cell>
          <cell r="V717" t="str">
            <v>15</v>
          </cell>
        </row>
        <row r="718">
          <cell r="B718" t="str">
            <v>7309</v>
          </cell>
          <cell r="C718" t="str">
            <v>#</v>
          </cell>
          <cell r="D718" t="str">
            <v>トキワ化成(株)</v>
          </cell>
          <cell r="F718" t="str">
            <v>代表取締役</v>
          </cell>
          <cell r="G718" t="str">
            <v>木野　明</v>
          </cell>
          <cell r="H718">
            <v>15</v>
          </cell>
          <cell r="I718">
            <v>15</v>
          </cell>
          <cell r="J718" t="str">
            <v>338</v>
          </cell>
          <cell r="K718" t="str">
            <v>浦和市新開2-22-4</v>
          </cell>
          <cell r="L718" t="str">
            <v xml:space="preserve"> </v>
          </cell>
          <cell r="M718" t="str">
            <v>0488-61-0086</v>
          </cell>
          <cell r="N718" t="str">
            <v>/64-8264</v>
          </cell>
          <cell r="O718" t="str">
            <v>充填剤</v>
          </cell>
          <cell r="Q718" t="str">
            <v xml:space="preserve"> </v>
          </cell>
          <cell r="T718" t="str">
            <v>ﾄｷﾜｶｾｲ</v>
          </cell>
          <cell r="V718" t="str">
            <v>15</v>
          </cell>
        </row>
        <row r="719">
          <cell r="B719" t="str">
            <v>7311</v>
          </cell>
          <cell r="C719" t="str">
            <v>#</v>
          </cell>
          <cell r="D719" t="str">
            <v>日本ロック(株)</v>
          </cell>
          <cell r="F719" t="str">
            <v>代表取締役</v>
          </cell>
          <cell r="G719" t="str">
            <v>山岸　キヨ</v>
          </cell>
          <cell r="H719">
            <v>10</v>
          </cell>
          <cell r="I719">
            <v>6</v>
          </cell>
          <cell r="J719" t="str">
            <v>141</v>
          </cell>
          <cell r="K719" t="str">
            <v>品川区東五反田2-4-4</v>
          </cell>
          <cell r="L719" t="str">
            <v xml:space="preserve"> </v>
          </cell>
          <cell r="M719" t="str">
            <v>045-847-4341</v>
          </cell>
          <cell r="N719" t="str">
            <v>/847-4144</v>
          </cell>
          <cell r="O719" t="str">
            <v>接着剤</v>
          </cell>
          <cell r="Q719" t="str">
            <v xml:space="preserve"> </v>
          </cell>
          <cell r="R719" t="str">
            <v>□</v>
          </cell>
          <cell r="T719" t="str">
            <v>ﾆﾎﾝﾛｯｸ</v>
          </cell>
          <cell r="V719" t="str">
            <v>15</v>
          </cell>
        </row>
        <row r="720">
          <cell r="B720" t="str">
            <v>7312</v>
          </cell>
          <cell r="C720" t="str">
            <v>#</v>
          </cell>
          <cell r="D720" t="str">
            <v>シールエンド(株)</v>
          </cell>
          <cell r="F720" t="str">
            <v>代表取締役社長</v>
          </cell>
          <cell r="G720" t="str">
            <v>寺田　次朗</v>
          </cell>
          <cell r="H720">
            <v>10</v>
          </cell>
          <cell r="I720">
            <v>40</v>
          </cell>
          <cell r="J720" t="str">
            <v>146</v>
          </cell>
          <cell r="K720" t="str">
            <v>大田区池上7-10-7</v>
          </cell>
          <cell r="L720" t="str">
            <v xml:space="preserve"> </v>
          </cell>
          <cell r="M720" t="str">
            <v>03-3753-1113</v>
          </cell>
          <cell r="N720" t="str">
            <v>/3751-2991</v>
          </cell>
          <cell r="O720" t="str">
            <v>接着剤</v>
          </cell>
          <cell r="Q720" t="str">
            <v xml:space="preserve"> </v>
          </cell>
          <cell r="T720" t="str">
            <v>ｼｰﾙｴﾝﾄﾞ</v>
          </cell>
          <cell r="V720" t="str">
            <v>15</v>
          </cell>
        </row>
        <row r="721">
          <cell r="B721" t="str">
            <v>7313</v>
          </cell>
          <cell r="C721" t="str">
            <v>#</v>
          </cell>
          <cell r="D721" t="str">
            <v>バルミックス(株)</v>
          </cell>
          <cell r="F721" t="str">
            <v>代表取締役</v>
          </cell>
          <cell r="G721" t="str">
            <v>宮田　義之</v>
          </cell>
          <cell r="H721">
            <v>27</v>
          </cell>
          <cell r="I721">
            <v>8</v>
          </cell>
          <cell r="J721" t="str">
            <v>105</v>
          </cell>
          <cell r="K721" t="str">
            <v>港区新橋5-17-1</v>
          </cell>
          <cell r="L721" t="str">
            <v xml:space="preserve"> </v>
          </cell>
          <cell r="M721" t="str">
            <v>03-3436-0821</v>
          </cell>
          <cell r="N721" t="str">
            <v>/3436-1048</v>
          </cell>
          <cell r="O721" t="str">
            <v>ｱﾁｿﾝ製ﾀﾞｯｸ</v>
          </cell>
          <cell r="Q721" t="str">
            <v xml:space="preserve"> </v>
          </cell>
          <cell r="R721" t="str">
            <v>□</v>
          </cell>
          <cell r="T721" t="str">
            <v>ﾊﾞﾙﾐｯｸｽ</v>
          </cell>
          <cell r="V721" t="str">
            <v>15</v>
          </cell>
        </row>
        <row r="722">
          <cell r="B722" t="str">
            <v>7314</v>
          </cell>
          <cell r="C722" t="str">
            <v>#</v>
          </cell>
          <cell r="D722" t="str">
            <v>オー・ジー(株)</v>
          </cell>
          <cell r="F722" t="str">
            <v>代表取締役社長</v>
          </cell>
          <cell r="G722" t="str">
            <v>高野  文雄</v>
          </cell>
          <cell r="H722">
            <v>1110</v>
          </cell>
          <cell r="I722">
            <v>568</v>
          </cell>
          <cell r="J722" t="str">
            <v>532</v>
          </cell>
          <cell r="K722" t="str">
            <v>大阪市淀川区宮原4-1-43</v>
          </cell>
          <cell r="L722" t="str">
            <v xml:space="preserve"> </v>
          </cell>
          <cell r="M722" t="str">
            <v>03-3665-8346</v>
          </cell>
          <cell r="N722" t="str">
            <v>/</v>
          </cell>
          <cell r="O722" t="str">
            <v>充てん剤･硬化剤</v>
          </cell>
          <cell r="Q722" t="str">
            <v xml:space="preserve"> </v>
          </cell>
          <cell r="T722" t="str">
            <v>ｵｰｼﾞｰ</v>
          </cell>
          <cell r="V722" t="str">
            <v>10</v>
          </cell>
        </row>
        <row r="723">
          <cell r="B723" t="str">
            <v>7315</v>
          </cell>
          <cell r="C723" t="str">
            <v>#</v>
          </cell>
          <cell r="D723" t="str">
            <v>アイシン化工(株)</v>
          </cell>
          <cell r="F723" t="str">
            <v>取締役社長</v>
          </cell>
          <cell r="G723" t="str">
            <v>高橋  徹</v>
          </cell>
          <cell r="H723">
            <v>2118</v>
          </cell>
          <cell r="I723">
            <v>891</v>
          </cell>
          <cell r="J723" t="str">
            <v>470-04</v>
          </cell>
          <cell r="K723" t="str">
            <v>愛知県西加茂郡藤岡町</v>
          </cell>
          <cell r="L723" t="str">
            <v>大字飯野字大川ｹ原1141-1</v>
          </cell>
          <cell r="M723" t="str">
            <v>03-3591-1913</v>
          </cell>
          <cell r="N723" t="str">
            <v>/3508-1003</v>
          </cell>
          <cell r="O723" t="str">
            <v>ｼｰﾗｰ(鈑金用)</v>
          </cell>
          <cell r="Q723" t="str">
            <v xml:space="preserve"> </v>
          </cell>
          <cell r="R723" t="str">
            <v>□</v>
          </cell>
          <cell r="T723" t="str">
            <v>ｱｲｼﾝｶｺｳ</v>
          </cell>
          <cell r="V723" t="str">
            <v>15</v>
          </cell>
        </row>
        <row r="724">
          <cell r="B724" t="str">
            <v>7316</v>
          </cell>
          <cell r="C724" t="str">
            <v>#</v>
          </cell>
          <cell r="D724" t="str">
            <v>日立化成ポリマー(株)</v>
          </cell>
          <cell r="F724" t="str">
            <v>取締役社長</v>
          </cell>
          <cell r="G724" t="str">
            <v>仲野  康雄</v>
          </cell>
          <cell r="H724">
            <v>305</v>
          </cell>
          <cell r="I724">
            <v>441</v>
          </cell>
          <cell r="J724" t="str">
            <v>101</v>
          </cell>
          <cell r="K724" t="str">
            <v>千代田区内神田1-13-7</v>
          </cell>
          <cell r="L724" t="str">
            <v xml:space="preserve"> </v>
          </cell>
          <cell r="M724" t="str">
            <v>03-3294-4504</v>
          </cell>
          <cell r="N724" t="str">
            <v>/</v>
          </cell>
          <cell r="O724" t="str">
            <v>ｼｰﾗｰ(鈑金用)</v>
          </cell>
          <cell r="Q724" t="str">
            <v xml:space="preserve"> </v>
          </cell>
          <cell r="R724" t="str">
            <v>□</v>
          </cell>
          <cell r="T724" t="str">
            <v>ﾋﾀﾁｶｾｲﾎﾟﾘﾏｰ</v>
          </cell>
          <cell r="V724" t="str">
            <v>15</v>
          </cell>
        </row>
        <row r="725">
          <cell r="B725" t="str">
            <v>7400</v>
          </cell>
          <cell r="C725" t="str">
            <v>#</v>
          </cell>
          <cell r="D725" t="str">
            <v>隅田化学(株)</v>
          </cell>
          <cell r="F725" t="str">
            <v>取締役社長</v>
          </cell>
          <cell r="G725" t="str">
            <v>中島　洋一</v>
          </cell>
          <cell r="H725">
            <v>30</v>
          </cell>
          <cell r="I725">
            <v>40</v>
          </cell>
          <cell r="J725" t="str">
            <v>102</v>
          </cell>
          <cell r="K725" t="str">
            <v>千代田区麹町4-4</v>
          </cell>
          <cell r="L725" t="str">
            <v>第一麹町ビル</v>
          </cell>
          <cell r="M725" t="str">
            <v>03-3263-2701</v>
          </cell>
          <cell r="N725" t="str">
            <v>/3241-3537</v>
          </cell>
          <cell r="O725" t="str">
            <v>工業薬品</v>
          </cell>
          <cell r="Q725" t="str">
            <v>◎</v>
          </cell>
          <cell r="R725" t="str">
            <v>□</v>
          </cell>
          <cell r="S725" t="str">
            <v>☆</v>
          </cell>
          <cell r="T725" t="str">
            <v>ｽﾐﾀﾞｶｶﾞｸ</v>
          </cell>
          <cell r="V725" t="str">
            <v>15</v>
          </cell>
        </row>
        <row r="726">
          <cell r="B726" t="str">
            <v>7401</v>
          </cell>
          <cell r="C726" t="str">
            <v>#</v>
          </cell>
          <cell r="D726" t="str">
            <v>(株)不二越化学製作所</v>
          </cell>
          <cell r="F726" t="str">
            <v>代表取締役</v>
          </cell>
          <cell r="G726" t="str">
            <v>小石　正夫</v>
          </cell>
          <cell r="H726">
            <v>10</v>
          </cell>
          <cell r="I726">
            <v>13</v>
          </cell>
          <cell r="J726" t="str">
            <v>143</v>
          </cell>
          <cell r="K726" t="str">
            <v>大田区大森北1-24-11</v>
          </cell>
          <cell r="L726" t="str">
            <v/>
          </cell>
          <cell r="M726" t="str">
            <v>03-5763-0871</v>
          </cell>
          <cell r="N726" t="str">
            <v>/</v>
          </cell>
          <cell r="O726" t="str">
            <v>分析用硝子器具 理化学機械</v>
          </cell>
          <cell r="Q726" t="str">
            <v xml:space="preserve"> </v>
          </cell>
          <cell r="R726" t="str">
            <v>□</v>
          </cell>
          <cell r="T726" t="str">
            <v>ﾌｼﾞｺｼｶｶﾞｸｾｲｻｸｼｮ</v>
          </cell>
          <cell r="V726" t="str">
            <v>15</v>
          </cell>
        </row>
        <row r="727">
          <cell r="B727" t="str">
            <v>7403</v>
          </cell>
          <cell r="C727" t="str">
            <v>#</v>
          </cell>
          <cell r="D727" t="str">
            <v>宇津商事(株)</v>
          </cell>
          <cell r="F727" t="str">
            <v>取締役社長</v>
          </cell>
          <cell r="G727" t="str">
            <v>宇津  元一朗</v>
          </cell>
          <cell r="H727">
            <v>50</v>
          </cell>
          <cell r="I727">
            <v>75</v>
          </cell>
          <cell r="J727" t="str">
            <v>103</v>
          </cell>
          <cell r="K727" t="str">
            <v>中央区日本橋本町2-8-8</v>
          </cell>
          <cell r="L727" t="str">
            <v/>
          </cell>
          <cell r="M727" t="str">
            <v>03-3663-5581</v>
          </cell>
          <cell r="N727" t="str">
            <v>/3663-7059</v>
          </cell>
          <cell r="O727" t="str">
            <v>ﾌﾛﾝ･水処理用薬剤</v>
          </cell>
          <cell r="T727" t="str">
            <v>ｳﾂｼｮｳｼﾞ</v>
          </cell>
          <cell r="V727" t="str">
            <v>15</v>
          </cell>
        </row>
        <row r="728">
          <cell r="B728" t="str">
            <v>7504</v>
          </cell>
          <cell r="C728" t="str">
            <v>#</v>
          </cell>
          <cell r="D728" t="str">
            <v>(株)槌屋</v>
          </cell>
          <cell r="F728" t="str">
            <v>代表取締役</v>
          </cell>
          <cell r="G728" t="str">
            <v>大原　康之</v>
          </cell>
          <cell r="H728">
            <v>20</v>
          </cell>
          <cell r="I728">
            <v>116</v>
          </cell>
          <cell r="J728" t="str">
            <v>460</v>
          </cell>
          <cell r="K728" t="str">
            <v>名古屋市中区上前津2-9-29</v>
          </cell>
          <cell r="L728" t="str">
            <v xml:space="preserve"> </v>
          </cell>
          <cell r="M728" t="str">
            <v>052-331-5451</v>
          </cell>
          <cell r="N728" t="str">
            <v>/</v>
          </cell>
          <cell r="O728" t="str">
            <v>粘着テープ</v>
          </cell>
          <cell r="Q728" t="str">
            <v xml:space="preserve"> </v>
          </cell>
          <cell r="R728" t="str">
            <v>□</v>
          </cell>
          <cell r="T728" t="str">
            <v>ﾂﾁﾔ</v>
          </cell>
          <cell r="V728" t="str">
            <v>15</v>
          </cell>
        </row>
        <row r="729">
          <cell r="B729" t="str">
            <v>7504</v>
          </cell>
          <cell r="C729" t="str">
            <v>A</v>
          </cell>
          <cell r="D729" t="str">
            <v>(株)槌屋</v>
          </cell>
          <cell r="E729" t="str">
            <v>東京</v>
          </cell>
          <cell r="F729" t="str">
            <v>取締役営業部長</v>
          </cell>
          <cell r="G729" t="str">
            <v>今津　匡由</v>
          </cell>
          <cell r="J729" t="str">
            <v>160</v>
          </cell>
          <cell r="K729" t="str">
            <v>新宿区四ツ谷3-2-2</v>
          </cell>
          <cell r="L729" t="str">
            <v>フジカビル</v>
          </cell>
          <cell r="M729" t="str">
            <v>03-3355-3511</v>
          </cell>
          <cell r="N729" t="str">
            <v>/</v>
          </cell>
          <cell r="O729" t="str">
            <v>粘着テープ</v>
          </cell>
          <cell r="Q729" t="str">
            <v xml:space="preserve"> </v>
          </cell>
          <cell r="T729" t="str">
            <v>ﾂﾁﾔ</v>
          </cell>
          <cell r="U729" t="str">
            <v xml:space="preserve"> </v>
          </cell>
          <cell r="V729" t="str">
            <v>15</v>
          </cell>
        </row>
        <row r="730">
          <cell r="B730" t="str">
            <v>7504</v>
          </cell>
          <cell r="C730" t="str">
            <v>B</v>
          </cell>
          <cell r="D730" t="str">
            <v>(株)槌屋</v>
          </cell>
          <cell r="E730" t="str">
            <v>厚木営業所</v>
          </cell>
          <cell r="F730" t="str">
            <v>所長</v>
          </cell>
          <cell r="G730" t="str">
            <v>山崎  信彰</v>
          </cell>
          <cell r="J730" t="str">
            <v>243</v>
          </cell>
          <cell r="K730" t="str">
            <v>厚木市中町1-8-24</v>
          </cell>
          <cell r="L730" t="str">
            <v xml:space="preserve"> </v>
          </cell>
          <cell r="M730" t="str">
            <v>0462-22-5451</v>
          </cell>
          <cell r="N730" t="str">
            <v>/22-2043</v>
          </cell>
          <cell r="O730" t="str">
            <v>粘着テープ</v>
          </cell>
          <cell r="Q730" t="str">
            <v xml:space="preserve"> </v>
          </cell>
          <cell r="T730" t="str">
            <v>ﾂﾁﾔ</v>
          </cell>
          <cell r="V730" t="str">
            <v>15</v>
          </cell>
        </row>
        <row r="731">
          <cell r="B731" t="str">
            <v>7505</v>
          </cell>
          <cell r="C731" t="str">
            <v>#</v>
          </cell>
          <cell r="D731" t="str">
            <v>大宝化学工業(株)</v>
          </cell>
          <cell r="F731" t="str">
            <v>代表取締役社長</v>
          </cell>
          <cell r="G731" t="str">
            <v>小笠原　敏明</v>
          </cell>
          <cell r="H731">
            <v>180</v>
          </cell>
          <cell r="I731">
            <v>86</v>
          </cell>
          <cell r="J731" t="str">
            <v>332</v>
          </cell>
          <cell r="K731" t="str">
            <v>川口市朝日3-1-5</v>
          </cell>
          <cell r="L731" t="str">
            <v>第二小笠原ビル</v>
          </cell>
          <cell r="M731" t="str">
            <v>0482-22-7950</v>
          </cell>
          <cell r="N731" t="str">
            <v>/22-7443</v>
          </cell>
          <cell r="O731" t="str">
            <v>塗料</v>
          </cell>
          <cell r="Q731" t="str">
            <v xml:space="preserve"> </v>
          </cell>
          <cell r="R731" t="str">
            <v>□</v>
          </cell>
          <cell r="T731" t="str">
            <v>ﾀｲﾎｳｶｶﾞｸｺｳｷﾞｮｳ</v>
          </cell>
          <cell r="V731" t="str">
            <v>15</v>
          </cell>
        </row>
        <row r="732">
          <cell r="B732" t="str">
            <v>7509</v>
          </cell>
          <cell r="C732" t="str">
            <v>#</v>
          </cell>
          <cell r="D732" t="str">
            <v>オーウェル(株)</v>
          </cell>
          <cell r="F732" t="str">
            <v>取締役社長</v>
          </cell>
          <cell r="G732" t="str">
            <v>片山  徹</v>
          </cell>
          <cell r="H732">
            <v>858</v>
          </cell>
          <cell r="I732">
            <v>400</v>
          </cell>
          <cell r="J732" t="str">
            <v>555</v>
          </cell>
          <cell r="K732" t="str">
            <v>大阪市西淀川区御幣島5-13-9</v>
          </cell>
          <cell r="L732" t="str">
            <v xml:space="preserve"> </v>
          </cell>
          <cell r="M732" t="str">
            <v xml:space="preserve">06-473-1451 </v>
          </cell>
          <cell r="N732" t="str">
            <v>/</v>
          </cell>
          <cell r="O732" t="str">
            <v>塗料・前処理剤</v>
          </cell>
          <cell r="Q732" t="str">
            <v>◎</v>
          </cell>
          <cell r="R732" t="str">
            <v>□</v>
          </cell>
          <cell r="S732" t="str">
            <v>☆</v>
          </cell>
          <cell r="T732" t="str">
            <v>ｵｰｳｪﾙ</v>
          </cell>
          <cell r="U732" t="str">
            <v xml:space="preserve"> </v>
          </cell>
          <cell r="V732" t="str">
            <v>15</v>
          </cell>
        </row>
        <row r="733">
          <cell r="B733" t="str">
            <v>7509</v>
          </cell>
          <cell r="C733" t="str">
            <v>A</v>
          </cell>
          <cell r="D733" t="str">
            <v>オーウェル(株)</v>
          </cell>
          <cell r="E733" t="str">
            <v>神奈川営業所</v>
          </cell>
          <cell r="F733" t="str">
            <v>所長</v>
          </cell>
          <cell r="G733" t="str">
            <v>有井  静男</v>
          </cell>
          <cell r="J733" t="str">
            <v>228</v>
          </cell>
          <cell r="K733" t="str">
            <v>座間市小松原1-5231</v>
          </cell>
          <cell r="L733" t="str">
            <v>53田中ビル</v>
          </cell>
          <cell r="M733" t="str">
            <v>0462-55-2741</v>
          </cell>
          <cell r="N733" t="str">
            <v>/54-8748</v>
          </cell>
          <cell r="O733" t="str">
            <v>塗料・前処理剤</v>
          </cell>
          <cell r="Q733" t="str">
            <v xml:space="preserve"> </v>
          </cell>
          <cell r="T733" t="str">
            <v>ｵｰｳｪﾙ</v>
          </cell>
          <cell r="U733" t="str">
            <v xml:space="preserve"> </v>
          </cell>
          <cell r="V733" t="str">
            <v>15</v>
          </cell>
        </row>
        <row r="734">
          <cell r="B734" t="str">
            <v>7510</v>
          </cell>
          <cell r="C734" t="str">
            <v>#</v>
          </cell>
          <cell r="D734" t="str">
            <v>日光塗料(株)</v>
          </cell>
          <cell r="F734" t="str">
            <v>代表取締役社長</v>
          </cell>
          <cell r="G734" t="str">
            <v>牧野　喜生</v>
          </cell>
          <cell r="H734">
            <v>60</v>
          </cell>
          <cell r="I734">
            <v>90</v>
          </cell>
          <cell r="J734" t="str">
            <v>272</v>
          </cell>
          <cell r="K734" t="str">
            <v>市川市田尻3-1-2</v>
          </cell>
          <cell r="L734" t="str">
            <v xml:space="preserve"> </v>
          </cell>
          <cell r="M734" t="str">
            <v>0473-77-0141</v>
          </cell>
          <cell r="N734" t="str">
            <v>/79-8642</v>
          </cell>
          <cell r="O734" t="str">
            <v>塗料</v>
          </cell>
          <cell r="Q734" t="str">
            <v>◎</v>
          </cell>
          <cell r="R734" t="str">
            <v>□</v>
          </cell>
          <cell r="S734" t="str">
            <v>☆</v>
          </cell>
          <cell r="T734" t="str">
            <v>ﾆｯｺｳﾄﾘｮｳ</v>
          </cell>
          <cell r="U734" t="str">
            <v xml:space="preserve"> </v>
          </cell>
          <cell r="V734" t="str">
            <v>15</v>
          </cell>
        </row>
        <row r="735">
          <cell r="B735" t="str">
            <v>7510</v>
          </cell>
          <cell r="C735" t="str">
            <v>A</v>
          </cell>
          <cell r="D735" t="str">
            <v>日光塗料(株)</v>
          </cell>
          <cell r="E735" t="str">
            <v>神奈川営業所</v>
          </cell>
          <cell r="F735" t="str">
            <v>所長　</v>
          </cell>
          <cell r="G735" t="str">
            <v>渡辺  正昭</v>
          </cell>
          <cell r="J735" t="str">
            <v>242</v>
          </cell>
          <cell r="K735" t="str">
            <v>大和市大和東2-5-12</v>
          </cell>
          <cell r="L735" t="str">
            <v>小島ビル5F</v>
          </cell>
          <cell r="M735" t="str">
            <v>0462-61-9837</v>
          </cell>
          <cell r="N735" t="str">
            <v>/64-3505</v>
          </cell>
          <cell r="O735" t="str">
            <v>塗料</v>
          </cell>
          <cell r="Q735" t="str">
            <v xml:space="preserve"> </v>
          </cell>
          <cell r="T735" t="str">
            <v>ﾆｯｺｳﾄﾘｮｳ</v>
          </cell>
          <cell r="V735" t="str">
            <v>15</v>
          </cell>
        </row>
        <row r="736">
          <cell r="B736" t="str">
            <v>7511</v>
          </cell>
          <cell r="C736" t="str">
            <v>#</v>
          </cell>
          <cell r="D736" t="str">
            <v>富士化学塗料(株)</v>
          </cell>
          <cell r="F736" t="str">
            <v>代表取締役社長</v>
          </cell>
          <cell r="G736" t="str">
            <v>鈴木　忠良</v>
          </cell>
          <cell r="H736">
            <v>72</v>
          </cell>
          <cell r="I736">
            <v>190</v>
          </cell>
          <cell r="J736" t="str">
            <v>153</v>
          </cell>
          <cell r="K736" t="str">
            <v>目黒区下目黒5-19-15</v>
          </cell>
          <cell r="L736" t="str">
            <v xml:space="preserve"> </v>
          </cell>
          <cell r="M736" t="str">
            <v>03-3711-5281</v>
          </cell>
          <cell r="N736" t="str">
            <v>/3793-6108</v>
          </cell>
          <cell r="O736" t="str">
            <v>塗料</v>
          </cell>
          <cell r="Q736" t="str">
            <v>◎</v>
          </cell>
          <cell r="R736" t="str">
            <v>□</v>
          </cell>
          <cell r="S736" t="str">
            <v>☆</v>
          </cell>
          <cell r="T736" t="str">
            <v>ﾌｼﾞｶｶﾞｸﾄﾘｮｳ</v>
          </cell>
          <cell r="U736" t="str">
            <v xml:space="preserve"> </v>
          </cell>
          <cell r="V736" t="str">
            <v>15</v>
          </cell>
        </row>
        <row r="737">
          <cell r="B737" t="str">
            <v>7513</v>
          </cell>
          <cell r="C737" t="str">
            <v>#</v>
          </cell>
          <cell r="D737" t="str">
            <v>関西ペイント(株)</v>
          </cell>
          <cell r="F737" t="str">
            <v>代表取締役社長</v>
          </cell>
          <cell r="G737" t="str">
            <v>佐々木  良夫</v>
          </cell>
          <cell r="H737">
            <v>25658</v>
          </cell>
          <cell r="I737">
            <v>2800</v>
          </cell>
          <cell r="J737" t="str">
            <v>661</v>
          </cell>
          <cell r="K737" t="str">
            <v>尼崎市神崎33-1</v>
          </cell>
          <cell r="L737" t="str">
            <v xml:space="preserve"> </v>
          </cell>
          <cell r="M737" t="str">
            <v xml:space="preserve">06-499-4861 </v>
          </cell>
          <cell r="N737" t="str">
            <v>/</v>
          </cell>
          <cell r="O737" t="str">
            <v>塗料</v>
          </cell>
          <cell r="Q737" t="str">
            <v>◎</v>
          </cell>
          <cell r="R737" t="str">
            <v>□</v>
          </cell>
          <cell r="S737" t="str">
            <v xml:space="preserve"> </v>
          </cell>
          <cell r="T737" t="str">
            <v>ｶﾝｻｲﾍﾟｲﾝﾄ</v>
          </cell>
          <cell r="V737" t="str">
            <v>15</v>
          </cell>
        </row>
        <row r="738">
          <cell r="B738" t="str">
            <v>7513</v>
          </cell>
          <cell r="C738" t="str">
            <v>A</v>
          </cell>
          <cell r="D738" t="str">
            <v>関西ペイント(株)</v>
          </cell>
          <cell r="E738" t="str">
            <v>本社事務所</v>
          </cell>
          <cell r="J738" t="str">
            <v>541</v>
          </cell>
          <cell r="K738" t="str">
            <v>大阪市中央区伏見町4-3-6</v>
          </cell>
          <cell r="L738" t="str">
            <v xml:space="preserve"> </v>
          </cell>
          <cell r="M738" t="str">
            <v xml:space="preserve">06-203-5531 </v>
          </cell>
          <cell r="N738" t="str">
            <v>/</v>
          </cell>
          <cell r="Q738" t="str">
            <v xml:space="preserve"> </v>
          </cell>
          <cell r="T738" t="str">
            <v>ｶﾝｻｲﾍﾟｲﾝﾄ</v>
          </cell>
          <cell r="V738" t="str">
            <v>15</v>
          </cell>
        </row>
        <row r="739">
          <cell r="B739" t="str">
            <v>7513</v>
          </cell>
          <cell r="C739" t="str">
            <v>B</v>
          </cell>
          <cell r="D739" t="str">
            <v>関西ペイント(株)</v>
          </cell>
          <cell r="E739" t="str">
            <v>横浜販売部</v>
          </cell>
          <cell r="J739" t="str">
            <v>220</v>
          </cell>
          <cell r="K739" t="str">
            <v>横浜市西区北幸2-15-1</v>
          </cell>
          <cell r="L739" t="str">
            <v>東武横浜第2ビル</v>
          </cell>
          <cell r="M739" t="str">
            <v>045-311-6541</v>
          </cell>
          <cell r="N739" t="str">
            <v>/313-3609</v>
          </cell>
          <cell r="Q739" t="str">
            <v xml:space="preserve"> </v>
          </cell>
          <cell r="T739" t="str">
            <v>ｶﾝｻｲﾍﾟｲﾝﾄ</v>
          </cell>
          <cell r="V739" t="str">
            <v>15</v>
          </cell>
        </row>
        <row r="740">
          <cell r="B740" t="str">
            <v>7513</v>
          </cell>
          <cell r="C740" t="str">
            <v>C</v>
          </cell>
          <cell r="D740" t="str">
            <v>関西ペイント(株)</v>
          </cell>
          <cell r="E740" t="str">
            <v>自動車塗料本部</v>
          </cell>
          <cell r="J740" t="str">
            <v>140</v>
          </cell>
          <cell r="K740" t="str">
            <v>品川区東大井5-24-15</v>
          </cell>
          <cell r="L740" t="str">
            <v xml:space="preserve"> </v>
          </cell>
          <cell r="M740" t="str">
            <v>03-3472-3136</v>
          </cell>
          <cell r="N740" t="str">
            <v>/3472-5775</v>
          </cell>
          <cell r="Q740" t="str">
            <v xml:space="preserve"> </v>
          </cell>
          <cell r="T740" t="str">
            <v>ｶﾝｻｲﾍﾟｲﾝﾄ</v>
          </cell>
          <cell r="V740" t="str">
            <v>15</v>
          </cell>
        </row>
        <row r="741">
          <cell r="B741" t="str">
            <v>7514</v>
          </cell>
          <cell r="C741" t="str">
            <v>#</v>
          </cell>
          <cell r="D741" t="str">
            <v>東京化学塗料(株)</v>
          </cell>
          <cell r="F741" t="str">
            <v>取締役社長</v>
          </cell>
          <cell r="G741" t="str">
            <v>門田　奎介</v>
          </cell>
          <cell r="H741">
            <v>16</v>
          </cell>
          <cell r="I741">
            <v>66</v>
          </cell>
          <cell r="J741" t="str">
            <v>161</v>
          </cell>
          <cell r="K741" t="str">
            <v>新宿区西新宿3-4-4</v>
          </cell>
          <cell r="L741" t="str">
            <v>トナンビューロービル3F</v>
          </cell>
          <cell r="M741" t="str">
            <v>03-3346-0581</v>
          </cell>
          <cell r="N741" t="str">
            <v>/3346-0583</v>
          </cell>
          <cell r="O741" t="str">
            <v>塗料</v>
          </cell>
          <cell r="Q741" t="str">
            <v>◎</v>
          </cell>
          <cell r="R741" t="str">
            <v>□</v>
          </cell>
          <cell r="S741" t="str">
            <v>☆</v>
          </cell>
          <cell r="T741" t="str">
            <v>ﾄｳｷｮｳｶｶﾞｸﾄﾘｮｳ</v>
          </cell>
          <cell r="V741" t="str">
            <v>15</v>
          </cell>
        </row>
        <row r="742">
          <cell r="B742" t="str">
            <v>7514</v>
          </cell>
          <cell r="C742" t="str">
            <v>A</v>
          </cell>
          <cell r="D742" t="str">
            <v>東京化学塗料(株)</v>
          </cell>
          <cell r="E742" t="str">
            <v>営業部</v>
          </cell>
          <cell r="J742" t="str">
            <v>229</v>
          </cell>
          <cell r="K742" t="str">
            <v>相模原市渕野辺1-21-23</v>
          </cell>
          <cell r="L742" t="str">
            <v xml:space="preserve"> </v>
          </cell>
          <cell r="M742" t="str">
            <v>0427-53-1601</v>
          </cell>
          <cell r="N742" t="str">
            <v>/54-9251</v>
          </cell>
          <cell r="O742" t="str">
            <v>防錆塗料</v>
          </cell>
          <cell r="Q742" t="str">
            <v xml:space="preserve"> </v>
          </cell>
          <cell r="T742" t="str">
            <v>ﾄｳｷｮｳｶｶﾞｸﾄﾘｮｳ</v>
          </cell>
          <cell r="V742" t="str">
            <v>15</v>
          </cell>
        </row>
        <row r="743">
          <cell r="B743" t="str">
            <v>7603</v>
          </cell>
          <cell r="C743" t="str">
            <v>#</v>
          </cell>
          <cell r="D743" t="str">
            <v>(株)トウチュウ</v>
          </cell>
          <cell r="F743" t="str">
            <v>代表取締役社長</v>
          </cell>
          <cell r="G743" t="str">
            <v>森田　勉司</v>
          </cell>
          <cell r="H743">
            <v>800</v>
          </cell>
          <cell r="I743">
            <v>226</v>
          </cell>
          <cell r="J743" t="str">
            <v>470-32</v>
          </cell>
          <cell r="K743" t="str">
            <v>愛知県知多郡美浜町大字野間字中新田5</v>
          </cell>
          <cell r="L743" t="str">
            <v xml:space="preserve"> </v>
          </cell>
          <cell r="M743" t="str">
            <v>05698-7-1111</v>
          </cell>
          <cell r="N743" t="str">
            <v>/</v>
          </cell>
          <cell r="O743" t="str">
            <v>鋳物用砂</v>
          </cell>
          <cell r="Q743" t="str">
            <v>◎</v>
          </cell>
          <cell r="R743" t="str">
            <v>□</v>
          </cell>
          <cell r="T743" t="str">
            <v>ﾄｳﾁｭｳ</v>
          </cell>
          <cell r="V743" t="str">
            <v>15</v>
          </cell>
        </row>
        <row r="744">
          <cell r="B744" t="str">
            <v>7603</v>
          </cell>
          <cell r="C744" t="str">
            <v>A</v>
          </cell>
          <cell r="D744" t="str">
            <v>(株)トウチュウ</v>
          </cell>
          <cell r="E744" t="str">
            <v>東京支店</v>
          </cell>
          <cell r="F744" t="str">
            <v>取締役東京支店長</v>
          </cell>
          <cell r="G744" t="str">
            <v>松本　喬司</v>
          </cell>
          <cell r="J744" t="str">
            <v>210</v>
          </cell>
          <cell r="K744" t="str">
            <v>川崎市川崎区池上町2-1</v>
          </cell>
          <cell r="L744" t="str">
            <v>NKK京浜製鉄所内</v>
          </cell>
          <cell r="M744" t="str">
            <v>044-366-1140</v>
          </cell>
          <cell r="N744" t="str">
            <v>/366-7108</v>
          </cell>
          <cell r="O744" t="str">
            <v>鋳物用砂</v>
          </cell>
          <cell r="Q744" t="str">
            <v xml:space="preserve"> </v>
          </cell>
          <cell r="S744" t="str">
            <v>☆</v>
          </cell>
          <cell r="T744" t="str">
            <v>ﾄｳﾁｭｳ</v>
          </cell>
          <cell r="V744" t="str">
            <v>15</v>
          </cell>
        </row>
        <row r="745">
          <cell r="B745" t="str">
            <v>7605</v>
          </cell>
          <cell r="C745" t="str">
            <v>#</v>
          </cell>
          <cell r="D745" t="str">
            <v>クニミネ工業(株)</v>
          </cell>
          <cell r="F745" t="str">
            <v>取締役社長</v>
          </cell>
          <cell r="G745" t="str">
            <v>國峯　保彦</v>
          </cell>
          <cell r="H745">
            <v>1617</v>
          </cell>
          <cell r="I745">
            <v>232</v>
          </cell>
          <cell r="J745" t="str">
            <v>101</v>
          </cell>
          <cell r="K745" t="str">
            <v>千代田区岩本町1-10-5</v>
          </cell>
          <cell r="L745" t="str">
            <v>T.M.M.ビル</v>
          </cell>
          <cell r="M745" t="str">
            <v>03-3866-7251</v>
          </cell>
          <cell r="N745" t="str">
            <v>/3866-2256</v>
          </cell>
          <cell r="O745" t="str">
            <v>ｸﾆｹﾞﾙA</v>
          </cell>
          <cell r="Q745" t="str">
            <v xml:space="preserve"> </v>
          </cell>
          <cell r="R745" t="str">
            <v>□</v>
          </cell>
          <cell r="T745" t="str">
            <v>ｸﾆﾐﾈｺｳｷﾞｮｳ</v>
          </cell>
          <cell r="V745" t="str">
            <v>15</v>
          </cell>
        </row>
        <row r="746">
          <cell r="B746" t="str">
            <v>7611</v>
          </cell>
          <cell r="C746" t="str">
            <v>#</v>
          </cell>
          <cell r="D746" t="str">
            <v>(株)川炉耐火工業所</v>
          </cell>
          <cell r="F746" t="str">
            <v>代表取締役社長</v>
          </cell>
          <cell r="G746" t="str">
            <v>松尾　茂</v>
          </cell>
          <cell r="H746">
            <v>10</v>
          </cell>
          <cell r="I746">
            <v>8</v>
          </cell>
          <cell r="J746" t="str">
            <v>105</v>
          </cell>
          <cell r="K746" t="str">
            <v>港区新橋4-6-8</v>
          </cell>
          <cell r="L746" t="str">
            <v>村幸ビル</v>
          </cell>
          <cell r="M746" t="str">
            <v>03-3432-6848</v>
          </cell>
          <cell r="N746" t="str">
            <v>/3433-0344</v>
          </cell>
          <cell r="O746" t="str">
            <v>耐火レンガ</v>
          </cell>
          <cell r="Q746" t="str">
            <v xml:space="preserve"> </v>
          </cell>
          <cell r="R746" t="str">
            <v>□</v>
          </cell>
          <cell r="T746" t="str">
            <v>ｶﾜﾛﾀｲｶｺｳｷﾞｮｳｼｮ</v>
          </cell>
          <cell r="V746" t="str">
            <v>15</v>
          </cell>
        </row>
        <row r="747">
          <cell r="B747" t="str">
            <v>7613</v>
          </cell>
          <cell r="C747" t="str">
            <v>#</v>
          </cell>
          <cell r="D747" t="str">
            <v>(株)あづまや</v>
          </cell>
          <cell r="F747" t="str">
            <v>代表取締役</v>
          </cell>
          <cell r="G747" t="str">
            <v>岡本　良平</v>
          </cell>
          <cell r="H747">
            <v>10</v>
          </cell>
          <cell r="I747">
            <v>12</v>
          </cell>
          <cell r="J747" t="str">
            <v>111</v>
          </cell>
          <cell r="K747" t="str">
            <v>台東区雷門2-13-4</v>
          </cell>
          <cell r="L747" t="str">
            <v xml:space="preserve"> </v>
          </cell>
          <cell r="M747" t="str">
            <v>03-3844-2219</v>
          </cell>
          <cell r="N747" t="str">
            <v>/3841-8509</v>
          </cell>
          <cell r="O747" t="str">
            <v>ﾊﾞｲﾝﾀｰｵｲﾙ･澱粉塗型剤</v>
          </cell>
          <cell r="Q747" t="str">
            <v xml:space="preserve"> </v>
          </cell>
          <cell r="R747" t="str">
            <v>□</v>
          </cell>
          <cell r="T747" t="str">
            <v>ｱﾂﾞﾏﾔ</v>
          </cell>
          <cell r="V747" t="str">
            <v>15</v>
          </cell>
        </row>
        <row r="748">
          <cell r="B748" t="str">
            <v>7617</v>
          </cell>
          <cell r="C748" t="str">
            <v>#</v>
          </cell>
          <cell r="D748" t="str">
            <v>日本ユニット(株)</v>
          </cell>
          <cell r="F748" t="str">
            <v>代表取締役</v>
          </cell>
          <cell r="G748" t="str">
            <v>新崎　優一郎</v>
          </cell>
          <cell r="H748">
            <v>50</v>
          </cell>
          <cell r="I748">
            <v>144</v>
          </cell>
          <cell r="J748" t="str">
            <v>253</v>
          </cell>
          <cell r="K748" t="str">
            <v>茅ケ崎市南湖1-6-42</v>
          </cell>
          <cell r="L748" t="str">
            <v xml:space="preserve"> </v>
          </cell>
          <cell r="M748" t="str">
            <v>0467-82-6126</v>
          </cell>
          <cell r="N748" t="str">
            <v>/82-6120</v>
          </cell>
          <cell r="O748" t="str">
            <v>ブラシ・鋳物材</v>
          </cell>
          <cell r="P748" t="str">
            <v>▽</v>
          </cell>
          <cell r="Q748" t="str">
            <v>◎</v>
          </cell>
          <cell r="R748" t="str">
            <v>□</v>
          </cell>
          <cell r="S748" t="str">
            <v>☆</v>
          </cell>
          <cell r="T748" t="str">
            <v>ﾆﾎﾝﾕﾆｯﾄ</v>
          </cell>
          <cell r="V748" t="str">
            <v>15</v>
          </cell>
        </row>
        <row r="749">
          <cell r="B749" t="str">
            <v>7617</v>
          </cell>
          <cell r="C749" t="str">
            <v>A</v>
          </cell>
          <cell r="D749" t="str">
            <v>日本ユニット(株)</v>
          </cell>
          <cell r="E749" t="str">
            <v>神奈川営業所</v>
          </cell>
          <cell r="F749" t="str">
            <v>所長</v>
          </cell>
          <cell r="G749" t="str">
            <v>柳田　正行</v>
          </cell>
          <cell r="J749" t="str">
            <v>253</v>
          </cell>
          <cell r="K749" t="str">
            <v>茅ケ崎市南湖1-6-42</v>
          </cell>
          <cell r="L749" t="str">
            <v xml:space="preserve"> </v>
          </cell>
          <cell r="M749" t="str">
            <v>0467-82-6126</v>
          </cell>
          <cell r="N749" t="str">
            <v>/82-6120</v>
          </cell>
          <cell r="O749" t="str">
            <v>ブラシ・鋳物材</v>
          </cell>
          <cell r="P749" t="str">
            <v>▽</v>
          </cell>
          <cell r="Q749" t="str">
            <v xml:space="preserve"> </v>
          </cell>
          <cell r="T749" t="str">
            <v>ﾆﾎﾝﾕﾆｯﾄ</v>
          </cell>
          <cell r="V749" t="str">
            <v>15</v>
          </cell>
        </row>
        <row r="750">
          <cell r="B750" t="str">
            <v>7620</v>
          </cell>
          <cell r="C750" t="str">
            <v>#</v>
          </cell>
          <cell r="D750" t="str">
            <v>大阪ジルコン工業(株)</v>
          </cell>
          <cell r="F750" t="str">
            <v>代表取締役</v>
          </cell>
          <cell r="G750" t="str">
            <v>馬場　亭</v>
          </cell>
          <cell r="H750">
            <v>20</v>
          </cell>
          <cell r="I750">
            <v>33</v>
          </cell>
          <cell r="J750" t="str">
            <v>574</v>
          </cell>
          <cell r="K750" t="str">
            <v>大阪府大東市新田境町8-6</v>
          </cell>
          <cell r="L750" t="str">
            <v xml:space="preserve"> </v>
          </cell>
          <cell r="M750" t="str">
            <v>0720-71-4321</v>
          </cell>
          <cell r="N750" t="str">
            <v>/71-4325</v>
          </cell>
          <cell r="O750" t="str">
            <v>ニドミックス・塗型剤</v>
          </cell>
          <cell r="Q750" t="str">
            <v xml:space="preserve"> </v>
          </cell>
          <cell r="R750" t="str">
            <v>□</v>
          </cell>
          <cell r="T750" t="str">
            <v>ｵｵｻｶｼﾞﾙｺﾝｺｳｷﾞｮｳ</v>
          </cell>
          <cell r="V750" t="str">
            <v>15</v>
          </cell>
        </row>
        <row r="751">
          <cell r="B751" t="str">
            <v>7620</v>
          </cell>
          <cell r="C751" t="str">
            <v>A</v>
          </cell>
          <cell r="D751" t="str">
            <v>大阪ジルコン工業(株)</v>
          </cell>
          <cell r="E751" t="str">
            <v>関東営業所</v>
          </cell>
          <cell r="F751" t="str">
            <v>所長</v>
          </cell>
          <cell r="G751" t="str">
            <v>岩渕　一雄</v>
          </cell>
          <cell r="J751" t="str">
            <v>336</v>
          </cell>
          <cell r="K751" t="str">
            <v>浦和市浦和2-32-11</v>
          </cell>
          <cell r="L751" t="str">
            <v xml:space="preserve"> </v>
          </cell>
          <cell r="M751" t="str">
            <v>048-887-1131</v>
          </cell>
          <cell r="N751" t="str">
            <v>/887-1130</v>
          </cell>
          <cell r="O751" t="str">
            <v>ニドミックス・塗型剤</v>
          </cell>
          <cell r="Q751" t="str">
            <v xml:space="preserve"> </v>
          </cell>
          <cell r="T751" t="str">
            <v>ｵｵｻｶｼﾞﾙｺﾝｺｳｷﾞｮｳ</v>
          </cell>
          <cell r="V751" t="str">
            <v>15</v>
          </cell>
        </row>
        <row r="752">
          <cell r="B752" t="str">
            <v>7622</v>
          </cell>
          <cell r="C752" t="str">
            <v>#</v>
          </cell>
          <cell r="D752" t="str">
            <v>日立化成工業(株)</v>
          </cell>
          <cell r="F752" t="str">
            <v>取締役社長</v>
          </cell>
          <cell r="G752" t="str">
            <v>丹野　毅</v>
          </cell>
          <cell r="H752">
            <v>15000</v>
          </cell>
          <cell r="I752">
            <v>5403</v>
          </cell>
          <cell r="J752" t="str">
            <v>160</v>
          </cell>
          <cell r="K752" t="str">
            <v>新宿区西新宿2-1-1</v>
          </cell>
          <cell r="L752" t="str">
            <v>新宿三井ビル 私書箱233</v>
          </cell>
          <cell r="M752" t="str">
            <v>03-5381-2648</v>
          </cell>
          <cell r="N752" t="str">
            <v>/3349-8560</v>
          </cell>
          <cell r="O752" t="str">
            <v>ｲﾝﾊﾟﾈ</v>
          </cell>
          <cell r="Q752" t="str">
            <v>◎</v>
          </cell>
          <cell r="R752" t="str">
            <v>□</v>
          </cell>
          <cell r="S752" t="str">
            <v>☆</v>
          </cell>
          <cell r="T752" t="str">
            <v>ﾋﾀﾁｶｾｲｺｳｷﾞｮｳ</v>
          </cell>
          <cell r="V752" t="str">
            <v>62</v>
          </cell>
        </row>
        <row r="753">
          <cell r="B753" t="str">
            <v>7622</v>
          </cell>
          <cell r="C753" t="str">
            <v>A</v>
          </cell>
          <cell r="D753" t="str">
            <v>日立化成工業(株)</v>
          </cell>
          <cell r="E753" t="str">
            <v>五所宮工場(下館)</v>
          </cell>
          <cell r="F753" t="str">
            <v>取締役 工場長</v>
          </cell>
          <cell r="G753" t="str">
            <v>中川  透</v>
          </cell>
          <cell r="J753" t="str">
            <v>308</v>
          </cell>
          <cell r="K753" t="str">
            <v>下館市大字小川1500</v>
          </cell>
          <cell r="L753" t="str">
            <v xml:space="preserve"> </v>
          </cell>
          <cell r="M753" t="str">
            <v>0296-28-1111</v>
          </cell>
          <cell r="N753" t="str">
            <v>/</v>
          </cell>
          <cell r="Q753" t="str">
            <v xml:space="preserve"> </v>
          </cell>
          <cell r="T753" t="str">
            <v>ﾋﾀﾁｶｾｲｺｳｷﾞｮｳ</v>
          </cell>
          <cell r="V753" t="str">
            <v>62</v>
          </cell>
        </row>
        <row r="754">
          <cell r="B754" t="str">
            <v>7622</v>
          </cell>
          <cell r="C754" t="str">
            <v>B</v>
          </cell>
          <cell r="D754" t="str">
            <v>日立化成工業(株)</v>
          </cell>
          <cell r="E754" t="str">
            <v>自動車部品事業部</v>
          </cell>
          <cell r="F754" t="str">
            <v>取締役事業本部長</v>
          </cell>
          <cell r="G754" t="str">
            <v>中川  透</v>
          </cell>
          <cell r="J754" t="str">
            <v>108</v>
          </cell>
          <cell r="K754" t="str">
            <v>港区芝浦4-9-25</v>
          </cell>
          <cell r="L754" t="str">
            <v>芝浦スクエアビル</v>
          </cell>
          <cell r="M754" t="str">
            <v>03-5446-9360</v>
          </cell>
          <cell r="N754" t="str">
            <v>/5446-9462</v>
          </cell>
          <cell r="T754" t="str">
            <v>ﾋﾀﾁｶｾｲｺｳｷﾞｮｳ</v>
          </cell>
          <cell r="V754" t="str">
            <v>62</v>
          </cell>
        </row>
        <row r="755">
          <cell r="B755" t="str">
            <v>7624</v>
          </cell>
          <cell r="C755" t="str">
            <v>#</v>
          </cell>
          <cell r="D755" t="str">
            <v>(株)クロス</v>
          </cell>
          <cell r="F755" t="str">
            <v>代表取締役</v>
          </cell>
          <cell r="G755" t="str">
            <v>黒須　繁一</v>
          </cell>
          <cell r="H755">
            <v>200</v>
          </cell>
          <cell r="I755">
            <v>55</v>
          </cell>
          <cell r="J755" t="str">
            <v>136</v>
          </cell>
          <cell r="K755" t="str">
            <v>江東区大島9-7-38</v>
          </cell>
          <cell r="L755" t="str">
            <v xml:space="preserve"> </v>
          </cell>
          <cell r="M755" t="str">
            <v>03-3684-4111</v>
          </cell>
          <cell r="N755" t="str">
            <v>/3636-6643</v>
          </cell>
          <cell r="O755" t="str">
            <v>鋳物用副資材(カートリッジ)</v>
          </cell>
          <cell r="Q755" t="str">
            <v xml:space="preserve"> </v>
          </cell>
          <cell r="R755" t="str">
            <v>□</v>
          </cell>
          <cell r="T755" t="str">
            <v>ｸﾛｽ</v>
          </cell>
          <cell r="V755" t="str">
            <v>15</v>
          </cell>
        </row>
        <row r="756">
          <cell r="B756" t="str">
            <v>7625</v>
          </cell>
          <cell r="C756" t="str">
            <v>#</v>
          </cell>
          <cell r="D756" t="str">
            <v>ステイト工業(株)</v>
          </cell>
          <cell r="F756" t="str">
            <v>代表取締役</v>
          </cell>
          <cell r="G756" t="str">
            <v>中根　郁郎</v>
          </cell>
          <cell r="H756">
            <v>20</v>
          </cell>
          <cell r="I756">
            <v>61</v>
          </cell>
          <cell r="J756" t="str">
            <v>230</v>
          </cell>
          <cell r="K756" t="str">
            <v>横浜市鶴見区東寺尾1-4-6</v>
          </cell>
          <cell r="L756" t="str">
            <v xml:space="preserve"> </v>
          </cell>
          <cell r="M756" t="str">
            <v>045-573-7131</v>
          </cell>
          <cell r="N756" t="str">
            <v>/574-1665</v>
          </cell>
          <cell r="O756" t="str">
            <v>ｹﾚﾝ､ﾌﾞﾗｼ</v>
          </cell>
          <cell r="P756" t="str">
            <v>▽</v>
          </cell>
          <cell r="Q756" t="str">
            <v xml:space="preserve"> </v>
          </cell>
          <cell r="R756" t="str">
            <v>□</v>
          </cell>
          <cell r="T756" t="str">
            <v>ｽﾃｲﾄｺｳｷﾞｮｳ</v>
          </cell>
          <cell r="V756" t="str">
            <v>15</v>
          </cell>
        </row>
        <row r="757">
          <cell r="B757" t="str">
            <v>7626</v>
          </cell>
          <cell r="C757" t="str">
            <v>#</v>
          </cell>
          <cell r="D757" t="str">
            <v>日本坩堝(株)</v>
          </cell>
          <cell r="F757" t="str">
            <v>代表取締役社長</v>
          </cell>
          <cell r="G757" t="str">
            <v>岡田  民雄</v>
          </cell>
          <cell r="H757" t="str">
            <v xml:space="preserve"> 653.5</v>
          </cell>
          <cell r="I757">
            <v>213</v>
          </cell>
          <cell r="J757" t="str">
            <v>150</v>
          </cell>
          <cell r="K757" t="str">
            <v>渋谷区恵比寿1-21-3</v>
          </cell>
          <cell r="L757" t="str">
            <v xml:space="preserve"> </v>
          </cell>
          <cell r="M757" t="str">
            <v>03-3446-3411</v>
          </cell>
          <cell r="N757" t="str">
            <v>/3443-5697</v>
          </cell>
          <cell r="O757" t="str">
            <v>鋳物炉修材(ノリキュリン)</v>
          </cell>
          <cell r="Q757" t="str">
            <v xml:space="preserve"> </v>
          </cell>
          <cell r="R757" t="str">
            <v>□</v>
          </cell>
          <cell r="T757" t="str">
            <v>ﾆﾎﾝﾙﾂﾎﾞ</v>
          </cell>
          <cell r="V757" t="str">
            <v>15</v>
          </cell>
        </row>
        <row r="758">
          <cell r="B758" t="str">
            <v>7627</v>
          </cell>
          <cell r="C758" t="str">
            <v>#</v>
          </cell>
          <cell r="D758" t="str">
            <v>互交産業(株)</v>
          </cell>
          <cell r="F758" t="str">
            <v>取締役社長</v>
          </cell>
          <cell r="G758" t="str">
            <v>藤田　一三</v>
          </cell>
          <cell r="H758">
            <v>30</v>
          </cell>
          <cell r="I758">
            <v>85</v>
          </cell>
          <cell r="J758" t="str">
            <v>116</v>
          </cell>
          <cell r="K758" t="str">
            <v>荒川区西日暮里5-34-3</v>
          </cell>
          <cell r="L758" t="str">
            <v xml:space="preserve"> </v>
          </cell>
          <cell r="M758" t="str">
            <v>03-3802-1151</v>
          </cell>
          <cell r="N758" t="str">
            <v>/</v>
          </cell>
          <cell r="O758" t="str">
            <v>石炭粉･鋳型</v>
          </cell>
          <cell r="Q758" t="str">
            <v xml:space="preserve"> </v>
          </cell>
          <cell r="R758" t="str">
            <v>□</v>
          </cell>
          <cell r="T758" t="str">
            <v>ｺﾞｺｳｻﾝｷﾞｮｳ</v>
          </cell>
          <cell r="V758" t="str">
            <v>15</v>
          </cell>
        </row>
        <row r="759">
          <cell r="B759" t="str">
            <v>7627</v>
          </cell>
          <cell r="C759" t="str">
            <v>A</v>
          </cell>
          <cell r="D759" t="str">
            <v>互交産業(株)</v>
          </cell>
          <cell r="E759" t="str">
            <v>川口営業所</v>
          </cell>
          <cell r="F759" t="str">
            <v>専務取締役</v>
          </cell>
          <cell r="G759" t="str">
            <v>日置　孝司</v>
          </cell>
          <cell r="J759" t="str">
            <v>332</v>
          </cell>
          <cell r="K759" t="str">
            <v>川口市東領家1-2-2</v>
          </cell>
          <cell r="L759" t="str">
            <v xml:space="preserve"> </v>
          </cell>
          <cell r="M759" t="str">
            <v>0482-23-1493</v>
          </cell>
          <cell r="N759" t="str">
            <v>/25-0293</v>
          </cell>
          <cell r="O759" t="str">
            <v>石炭粉</v>
          </cell>
          <cell r="Q759" t="str">
            <v xml:space="preserve"> </v>
          </cell>
          <cell r="T759" t="str">
            <v>ｺﾞｺｳｻﾝｷﾞｮｳ</v>
          </cell>
          <cell r="V759" t="str">
            <v>15</v>
          </cell>
        </row>
        <row r="760">
          <cell r="B760" t="str">
            <v>7628</v>
          </cell>
          <cell r="C760" t="str">
            <v>#</v>
          </cell>
          <cell r="D760" t="str">
            <v>群栄化学工業(株)</v>
          </cell>
          <cell r="F760" t="str">
            <v>取締役社長</v>
          </cell>
          <cell r="G760" t="str">
            <v>有田　喜一</v>
          </cell>
          <cell r="H760">
            <v>20305</v>
          </cell>
          <cell r="I760">
            <v>337</v>
          </cell>
          <cell r="J760" t="str">
            <v>370</v>
          </cell>
          <cell r="K760" t="str">
            <v>高崎市宿大類町700</v>
          </cell>
          <cell r="L760" t="str">
            <v xml:space="preserve"> </v>
          </cell>
          <cell r="M760" t="str">
            <v>0273-53-1800</v>
          </cell>
          <cell r="N760" t="str">
            <v>/53-1822</v>
          </cell>
          <cell r="O760" t="str">
            <v>ｼｪﾙﾓｰｰﾙﾄﾞ用ﾌｪﾉｰﾙ樹脂・接着剤</v>
          </cell>
          <cell r="Q760" t="str">
            <v>◎</v>
          </cell>
          <cell r="R760" t="str">
            <v>□</v>
          </cell>
          <cell r="T760" t="str">
            <v>ｸﾞﾝｴｲｶｶﾞｸｺｳｷﾞｮｳ</v>
          </cell>
          <cell r="V760" t="str">
            <v>15</v>
          </cell>
        </row>
        <row r="761">
          <cell r="B761" t="str">
            <v>7629</v>
          </cell>
          <cell r="C761" t="str">
            <v>#</v>
          </cell>
          <cell r="D761" t="str">
            <v>保土谷ｱｼｭﾗﾝﾄﾞ(株)</v>
          </cell>
          <cell r="F761" t="str">
            <v>取締役社長</v>
          </cell>
          <cell r="G761" t="str">
            <v>小林  歌津</v>
          </cell>
          <cell r="H761">
            <v>100</v>
          </cell>
          <cell r="I761">
            <v>27</v>
          </cell>
          <cell r="J761" t="str">
            <v>210</v>
          </cell>
          <cell r="K761" t="str">
            <v>川崎市幸区堀川町66-2</v>
          </cell>
          <cell r="L761" t="str">
            <v>興和川崎西口ビル</v>
          </cell>
          <cell r="M761" t="str">
            <v>044-549-6681</v>
          </cell>
          <cell r="N761" t="str">
            <v>/549-6685</v>
          </cell>
          <cell r="O761" t="str">
            <v>ｲｿｷｭｱ･ﾍﾟｯﾌﾟｾｯﾄ･ｼﾞｯﾌﾟｽﾘｯﾌﾟ</v>
          </cell>
          <cell r="Q761" t="str">
            <v xml:space="preserve"> </v>
          </cell>
          <cell r="R761" t="str">
            <v>□</v>
          </cell>
          <cell r="T761" t="str">
            <v>ﾎﾄﾞｶﾞﾔｱｼｭﾗﾝﾄﾞ</v>
          </cell>
          <cell r="V761" t="str">
            <v>15</v>
          </cell>
        </row>
        <row r="762">
          <cell r="B762" t="str">
            <v>7630</v>
          </cell>
          <cell r="C762" t="str">
            <v>#</v>
          </cell>
          <cell r="D762" t="str">
            <v>エム・シー砿産(株)</v>
          </cell>
          <cell r="F762" t="str">
            <v>代表取締役社長</v>
          </cell>
          <cell r="G762" t="str">
            <v>前北  陽三</v>
          </cell>
          <cell r="H762">
            <v>90</v>
          </cell>
          <cell r="I762">
            <v>32</v>
          </cell>
          <cell r="J762" t="str">
            <v>101</v>
          </cell>
          <cell r="K762" t="str">
            <v>千代田区神田須田町1-23-2</v>
          </cell>
          <cell r="L762" t="str">
            <v>大木須田町ビル</v>
          </cell>
          <cell r="M762" t="str">
            <v>03-3255-6071</v>
          </cell>
          <cell r="N762" t="str">
            <v>/3255-6077</v>
          </cell>
          <cell r="O762" t="str">
            <v>鋳物用硅砂 フラタリーサンド</v>
          </cell>
          <cell r="Q762" t="str">
            <v xml:space="preserve"> </v>
          </cell>
          <cell r="R762" t="str">
            <v>□</v>
          </cell>
          <cell r="T762" t="str">
            <v>ｴﾑｼｰｺｳｻﾝ</v>
          </cell>
          <cell r="V762" t="str">
            <v>15</v>
          </cell>
        </row>
        <row r="763">
          <cell r="B763" t="str">
            <v>7700</v>
          </cell>
          <cell r="C763" t="str">
            <v>#</v>
          </cell>
          <cell r="D763" t="str">
            <v>(株)ミトヨ</v>
          </cell>
          <cell r="F763" t="str">
            <v>代表取締役社長</v>
          </cell>
          <cell r="G763" t="str">
            <v>田中　茂治</v>
          </cell>
          <cell r="H763">
            <v>360</v>
          </cell>
          <cell r="I763">
            <v>552</v>
          </cell>
          <cell r="J763" t="str">
            <v>104</v>
          </cell>
          <cell r="K763" t="str">
            <v>中央区新川1-16-10</v>
          </cell>
          <cell r="L763" t="str">
            <v xml:space="preserve"> </v>
          </cell>
          <cell r="M763" t="str">
            <v>03-3553-6771</v>
          </cell>
          <cell r="N763" t="str">
            <v>/</v>
          </cell>
          <cell r="O763" t="str">
            <v>ホース・ベルト他ゴム部品</v>
          </cell>
          <cell r="Q763" t="str">
            <v>◎</v>
          </cell>
          <cell r="R763" t="str">
            <v>□</v>
          </cell>
          <cell r="S763" t="str">
            <v>☆</v>
          </cell>
          <cell r="T763" t="str">
            <v>ﾐﾄﾖ</v>
          </cell>
          <cell r="V763" t="str">
            <v>15</v>
          </cell>
        </row>
        <row r="764">
          <cell r="B764" t="str">
            <v>7700</v>
          </cell>
          <cell r="C764" t="str">
            <v>A</v>
          </cell>
          <cell r="D764" t="str">
            <v>(株)ミトヨ</v>
          </cell>
          <cell r="E764" t="str">
            <v>横浜営業所</v>
          </cell>
          <cell r="F764" t="str">
            <v>所長</v>
          </cell>
          <cell r="G764" t="str">
            <v>田中　文一</v>
          </cell>
          <cell r="J764" t="str">
            <v>221</v>
          </cell>
          <cell r="K764" t="str">
            <v>横浜市神奈川区三ッ沢町8-28</v>
          </cell>
          <cell r="L764" t="str">
            <v xml:space="preserve"> </v>
          </cell>
          <cell r="M764" t="str">
            <v>045-311-5181</v>
          </cell>
          <cell r="N764" t="str">
            <v>/324-2718</v>
          </cell>
          <cell r="O764" t="str">
            <v>ホース・ベルト他ゴム部品</v>
          </cell>
          <cell r="Q764" t="str">
            <v xml:space="preserve"> </v>
          </cell>
          <cell r="T764" t="str">
            <v>ﾐﾄﾖ</v>
          </cell>
          <cell r="V764" t="str">
            <v>15</v>
          </cell>
        </row>
        <row r="765">
          <cell r="B765" t="str">
            <v>7701</v>
          </cell>
          <cell r="C765" t="str">
            <v>#</v>
          </cell>
          <cell r="D765" t="str">
            <v>帝都工業資材(株)</v>
          </cell>
          <cell r="F765" t="str">
            <v>代表取締役</v>
          </cell>
          <cell r="G765" t="str">
            <v>安谷　実</v>
          </cell>
          <cell r="H765">
            <v>20</v>
          </cell>
          <cell r="I765">
            <v>30</v>
          </cell>
          <cell r="J765" t="str">
            <v>144</v>
          </cell>
          <cell r="K765" t="str">
            <v>大田区蒲田4-44-13</v>
          </cell>
          <cell r="L765" t="str">
            <v xml:space="preserve"> </v>
          </cell>
          <cell r="M765" t="str">
            <v>03-3736-3221</v>
          </cell>
          <cell r="N765" t="str">
            <v>/3731-9380</v>
          </cell>
          <cell r="O765" t="str">
            <v>パッキング 金属加工部品･ﾎﾞﾙﾄ･ﾅｯﾄ</v>
          </cell>
          <cell r="Q765" t="str">
            <v>◎</v>
          </cell>
          <cell r="R765" t="str">
            <v>□</v>
          </cell>
          <cell r="S765" t="str">
            <v>☆</v>
          </cell>
          <cell r="T765" t="str">
            <v>ﾃｲﾄｺｳｷﾞｮｳｼｻﾞｲ</v>
          </cell>
          <cell r="V765" t="str">
            <v>15</v>
          </cell>
        </row>
        <row r="766">
          <cell r="B766" t="str">
            <v>7704</v>
          </cell>
          <cell r="C766" t="str">
            <v>#</v>
          </cell>
          <cell r="D766" t="str">
            <v>(株)関根商店</v>
          </cell>
          <cell r="F766" t="str">
            <v>取締役社長</v>
          </cell>
          <cell r="G766" t="str">
            <v>関根　新一</v>
          </cell>
          <cell r="H766">
            <v>20</v>
          </cell>
          <cell r="I766">
            <v>60</v>
          </cell>
          <cell r="J766" t="str">
            <v>221</v>
          </cell>
          <cell r="K766" t="str">
            <v>横浜市神奈川区子安通3-296</v>
          </cell>
          <cell r="L766" t="str">
            <v xml:space="preserve"> </v>
          </cell>
          <cell r="M766" t="str">
            <v>045-441-4516</v>
          </cell>
          <cell r="N766" t="str">
            <v>/453-3925</v>
          </cell>
          <cell r="O766" t="str">
            <v>ﾃｰﾌﾟ､ﾛｰﾌﾟ､ﾎﾟﾘ袋､梱包材</v>
          </cell>
          <cell r="Q766" t="str">
            <v xml:space="preserve"> </v>
          </cell>
          <cell r="R766" t="str">
            <v>□</v>
          </cell>
          <cell r="T766" t="str">
            <v>ｾｷﾈｼｮｳﾃﾝ</v>
          </cell>
          <cell r="V766" t="str">
            <v>15</v>
          </cell>
        </row>
        <row r="767">
          <cell r="B767" t="str">
            <v>7705</v>
          </cell>
          <cell r="C767" t="str">
            <v>#</v>
          </cell>
          <cell r="D767" t="str">
            <v>日研工業(株)</v>
          </cell>
          <cell r="F767" t="str">
            <v>取締役社長</v>
          </cell>
          <cell r="G767" t="str">
            <v>大関　義直</v>
          </cell>
          <cell r="H767">
            <v>20</v>
          </cell>
          <cell r="I767">
            <v>31</v>
          </cell>
          <cell r="J767" t="str">
            <v>101</v>
          </cell>
          <cell r="K767" t="str">
            <v>千代田区神田鍛治町1-7-15</v>
          </cell>
          <cell r="L767" t="str">
            <v xml:space="preserve"> </v>
          </cell>
          <cell r="M767" t="str">
            <v>03-3256-8711</v>
          </cell>
          <cell r="N767" t="str">
            <v>/</v>
          </cell>
          <cell r="O767" t="str">
            <v>空気工具・研磨布</v>
          </cell>
          <cell r="Q767" t="str">
            <v xml:space="preserve"> </v>
          </cell>
          <cell r="R767" t="str">
            <v>□</v>
          </cell>
          <cell r="T767" t="str">
            <v>ﾆｯｹﾝｺｳｷﾞｮｳ</v>
          </cell>
          <cell r="V767" t="str">
            <v>15</v>
          </cell>
        </row>
        <row r="768">
          <cell r="B768" t="str">
            <v>7705</v>
          </cell>
          <cell r="C768" t="str">
            <v>A</v>
          </cell>
          <cell r="D768" t="str">
            <v>日研工業(株)</v>
          </cell>
          <cell r="E768" t="str">
            <v>藤沢営業所</v>
          </cell>
          <cell r="F768" t="str">
            <v>所長</v>
          </cell>
          <cell r="G768" t="str">
            <v>名取　浩</v>
          </cell>
          <cell r="J768" t="str">
            <v>251</v>
          </cell>
          <cell r="K768" t="str">
            <v>藤沢市本町2-8-22</v>
          </cell>
          <cell r="L768" t="str">
            <v xml:space="preserve"> </v>
          </cell>
          <cell r="M768" t="str">
            <v>0466-25-0111</v>
          </cell>
          <cell r="N768" t="str">
            <v>/25-1616</v>
          </cell>
          <cell r="O768" t="str">
            <v>空気工具・研磨布</v>
          </cell>
          <cell r="Q768" t="str">
            <v xml:space="preserve"> </v>
          </cell>
          <cell r="T768" t="str">
            <v>ﾆｯｹﾝｺｳｷﾞｮｳ</v>
          </cell>
          <cell r="V768" t="str">
            <v>15</v>
          </cell>
        </row>
        <row r="769">
          <cell r="B769" t="str">
            <v>7707</v>
          </cell>
          <cell r="C769" t="str">
            <v>#</v>
          </cell>
          <cell r="D769" t="str">
            <v>(株)浅山商会</v>
          </cell>
          <cell r="F769" t="str">
            <v>代表取締役</v>
          </cell>
          <cell r="G769" t="str">
            <v>浅川　喜平</v>
          </cell>
          <cell r="H769">
            <v>20</v>
          </cell>
          <cell r="I769">
            <v>40</v>
          </cell>
          <cell r="J769" t="str">
            <v>141</v>
          </cell>
          <cell r="K769" t="str">
            <v>品川区東五反田2-9-19</v>
          </cell>
          <cell r="L769" t="str">
            <v xml:space="preserve"> </v>
          </cell>
          <cell r="M769" t="str">
            <v>03-3443-6191</v>
          </cell>
          <cell r="N769" t="str">
            <v>/3443-6129</v>
          </cell>
          <cell r="O769" t="str">
            <v>消火装置･設備</v>
          </cell>
          <cell r="Q769" t="str">
            <v xml:space="preserve"> </v>
          </cell>
          <cell r="R769" t="str">
            <v>□</v>
          </cell>
          <cell r="T769" t="str">
            <v>ｱｻﾔﾏｼｮｳｶｲ</v>
          </cell>
          <cell r="V769" t="str">
            <v>30</v>
          </cell>
        </row>
        <row r="770">
          <cell r="B770" t="str">
            <v>7713</v>
          </cell>
          <cell r="C770" t="str">
            <v>#</v>
          </cell>
          <cell r="D770" t="str">
            <v>第一商事(株)</v>
          </cell>
          <cell r="F770" t="str">
            <v>代表取締役</v>
          </cell>
          <cell r="G770" t="str">
            <v>香取　吉徳</v>
          </cell>
          <cell r="H770">
            <v>10</v>
          </cell>
          <cell r="I770">
            <v>10</v>
          </cell>
          <cell r="J770" t="str">
            <v>144</v>
          </cell>
          <cell r="K770" t="str">
            <v>大田区南蒲田2-10-15</v>
          </cell>
          <cell r="L770" t="str">
            <v xml:space="preserve"> </v>
          </cell>
          <cell r="M770" t="str">
            <v>03-3732-6531</v>
          </cell>
          <cell r="N770" t="str">
            <v>/3735-2037</v>
          </cell>
          <cell r="O770" t="str">
            <v>電気機械器具 空圧機器</v>
          </cell>
          <cell r="Q770" t="str">
            <v>◎</v>
          </cell>
          <cell r="R770" t="str">
            <v>□</v>
          </cell>
          <cell r="S770" t="str">
            <v>☆</v>
          </cell>
          <cell r="T770" t="str">
            <v>ﾀﾞｲｲﾁｼｮｳｼﾞ</v>
          </cell>
          <cell r="V770" t="str">
            <v>30</v>
          </cell>
        </row>
        <row r="771">
          <cell r="B771" t="str">
            <v>7714</v>
          </cell>
          <cell r="C771" t="str">
            <v>#</v>
          </cell>
          <cell r="D771" t="str">
            <v>共和電機(株)</v>
          </cell>
          <cell r="F771" t="str">
            <v>代表取締役社長</v>
          </cell>
          <cell r="G771" t="str">
            <v>丹羽　崇</v>
          </cell>
          <cell r="H771">
            <v>17</v>
          </cell>
          <cell r="I771">
            <v>76</v>
          </cell>
          <cell r="J771" t="str">
            <v>210</v>
          </cell>
          <cell r="K771" t="str">
            <v>川崎市川崎区堀ノ内5-8</v>
          </cell>
          <cell r="L771" t="str">
            <v xml:space="preserve"> </v>
          </cell>
          <cell r="M771" t="str">
            <v>044-233-7111</v>
          </cell>
          <cell r="N771" t="str">
            <v>/244-8620</v>
          </cell>
          <cell r="O771" t="str">
            <v>ﾎｲｽﾄ･ﾓｰﾀｰ･ﾎﾟﾝﾌﾟ･変電設備</v>
          </cell>
          <cell r="Q771" t="str">
            <v>◎</v>
          </cell>
          <cell r="R771" t="str">
            <v>□</v>
          </cell>
          <cell r="S771" t="str">
            <v>☆</v>
          </cell>
          <cell r="T771" t="str">
            <v>ｷｮｳﾜﾃﾞﾝｷ</v>
          </cell>
          <cell r="V771" t="str">
            <v>30</v>
          </cell>
        </row>
        <row r="772">
          <cell r="B772" t="str">
            <v>7715</v>
          </cell>
          <cell r="C772" t="str">
            <v>#</v>
          </cell>
          <cell r="D772" t="str">
            <v>古河産業(株)</v>
          </cell>
          <cell r="F772" t="str">
            <v>取締役社長</v>
          </cell>
          <cell r="G772" t="str">
            <v>津田　高吉</v>
          </cell>
          <cell r="H772">
            <v>460</v>
          </cell>
          <cell r="I772">
            <v>380</v>
          </cell>
          <cell r="J772" t="str">
            <v>103</v>
          </cell>
          <cell r="K772" t="str">
            <v>中央区日本橋室町2-8</v>
          </cell>
          <cell r="L772" t="str">
            <v>古河ビル</v>
          </cell>
          <cell r="M772" t="str">
            <v>03-3279-5611</v>
          </cell>
          <cell r="N772" t="str">
            <v>/</v>
          </cell>
          <cell r="O772" t="str">
            <v>電線・電纜</v>
          </cell>
          <cell r="Q772" t="str">
            <v xml:space="preserve"> </v>
          </cell>
          <cell r="T772" t="str">
            <v>ﾌﾙｶﾜｻﾝｷﾞｮｳ</v>
          </cell>
          <cell r="V772" t="str">
            <v>30</v>
          </cell>
        </row>
        <row r="773">
          <cell r="B773" t="str">
            <v>7717</v>
          </cell>
          <cell r="C773" t="str">
            <v>#</v>
          </cell>
          <cell r="D773" t="str">
            <v>ｱｲ･ｴｽｺｰﾎﾟﾚｰｼｮﾝ（有）</v>
          </cell>
          <cell r="F773" t="str">
            <v>代表取締役</v>
          </cell>
          <cell r="G773" t="str">
            <v>椚    博之</v>
          </cell>
          <cell r="H773">
            <v>3</v>
          </cell>
          <cell r="I773">
            <v>10</v>
          </cell>
          <cell r="J773" t="str">
            <v>115</v>
          </cell>
          <cell r="K773" t="str">
            <v>北区西ケ丘1-11-8</v>
          </cell>
          <cell r="L773" t="str">
            <v xml:space="preserve"> </v>
          </cell>
          <cell r="M773" t="str">
            <v>03-5993-0955</v>
          </cell>
          <cell r="N773" t="str">
            <v>/5993-0849</v>
          </cell>
          <cell r="O773" t="str">
            <v>印刷物</v>
          </cell>
          <cell r="Q773" t="str">
            <v xml:space="preserve"> </v>
          </cell>
          <cell r="R773" t="str">
            <v>□</v>
          </cell>
          <cell r="S773" t="str">
            <v>☆</v>
          </cell>
          <cell r="T773" t="str">
            <v>ｱｲｴｽｺｰﾎﾟﾚｰｼｮﾝ</v>
          </cell>
          <cell r="V773" t="str">
            <v>15</v>
          </cell>
        </row>
        <row r="774">
          <cell r="B774" t="str">
            <v>7729</v>
          </cell>
          <cell r="C774" t="str">
            <v>#</v>
          </cell>
          <cell r="D774" t="str">
            <v>大成合金(株)</v>
          </cell>
          <cell r="F774" t="str">
            <v>取締役社長</v>
          </cell>
          <cell r="G774" t="str">
            <v>工藤　信</v>
          </cell>
          <cell r="H774">
            <v>14</v>
          </cell>
          <cell r="I774">
            <v>16</v>
          </cell>
          <cell r="J774" t="str">
            <v>141</v>
          </cell>
          <cell r="K774" t="str">
            <v>品川区大崎3-6-17</v>
          </cell>
          <cell r="L774" t="str">
            <v>大崎ビル</v>
          </cell>
          <cell r="M774" t="str">
            <v>03-3491-2611</v>
          </cell>
          <cell r="N774" t="str">
            <v>/</v>
          </cell>
          <cell r="O774" t="str">
            <v>粉末ソルダイン</v>
          </cell>
          <cell r="Q774" t="str">
            <v xml:space="preserve"> </v>
          </cell>
          <cell r="T774" t="str">
            <v>ﾀｲｾｲｺﾞｳｷﾝ</v>
          </cell>
          <cell r="V774" t="str">
            <v>15</v>
          </cell>
        </row>
        <row r="775">
          <cell r="B775" t="str">
            <v>7730</v>
          </cell>
          <cell r="C775" t="str">
            <v>#</v>
          </cell>
          <cell r="D775" t="str">
            <v>共信電気(株)</v>
          </cell>
          <cell r="F775" t="str">
            <v>代表取締役</v>
          </cell>
          <cell r="G775" t="str">
            <v>長岡　芳男</v>
          </cell>
          <cell r="H775">
            <v>12</v>
          </cell>
          <cell r="I775">
            <v>37</v>
          </cell>
          <cell r="J775" t="str">
            <v>150</v>
          </cell>
          <cell r="K775" t="str">
            <v>渋谷区渋谷1-9-8</v>
          </cell>
          <cell r="L775" t="str">
            <v>渋谷朝日野村ビル5F</v>
          </cell>
          <cell r="M775" t="str">
            <v>045-661-0688</v>
          </cell>
          <cell r="N775" t="str">
            <v>/661-0687</v>
          </cell>
          <cell r="O775" t="str">
            <v>電機器具･測定器</v>
          </cell>
          <cell r="Q775" t="str">
            <v xml:space="preserve"> </v>
          </cell>
          <cell r="T775" t="str">
            <v>ｷｮｳｼﾝﾃﾞﾝｷ</v>
          </cell>
          <cell r="V775" t="str">
            <v>30</v>
          </cell>
        </row>
        <row r="776">
          <cell r="B776" t="str">
            <v>7733</v>
          </cell>
          <cell r="C776" t="str">
            <v>#</v>
          </cell>
          <cell r="D776" t="str">
            <v>(株)進和</v>
          </cell>
          <cell r="F776" t="str">
            <v>取締役社長</v>
          </cell>
          <cell r="G776" t="str">
            <v>加籐  晃</v>
          </cell>
          <cell r="H776">
            <v>443</v>
          </cell>
          <cell r="I776">
            <v>258</v>
          </cell>
          <cell r="J776" t="str">
            <v>463</v>
          </cell>
          <cell r="K776" t="str">
            <v>名古屋市守山区苗代2-9-3</v>
          </cell>
          <cell r="L776" t="str">
            <v>アルファビル</v>
          </cell>
          <cell r="M776" t="str">
            <v>052-796-2531</v>
          </cell>
          <cell r="N776" t="str">
            <v>/</v>
          </cell>
          <cell r="O776" t="str">
            <v>肉盛半田・TS棒</v>
          </cell>
          <cell r="Q776" t="str">
            <v xml:space="preserve"> </v>
          </cell>
          <cell r="R776" t="str">
            <v>□</v>
          </cell>
          <cell r="T776" t="str">
            <v>ｼﾝﾜ</v>
          </cell>
          <cell r="V776" t="str">
            <v>30</v>
          </cell>
        </row>
        <row r="777">
          <cell r="B777" t="str">
            <v>7733</v>
          </cell>
          <cell r="C777" t="str">
            <v>A</v>
          </cell>
          <cell r="D777" t="str">
            <v>(株)進和</v>
          </cell>
          <cell r="E777" t="str">
            <v>東京営業部</v>
          </cell>
          <cell r="F777" t="str">
            <v>取締役営業本部長</v>
          </cell>
          <cell r="G777" t="str">
            <v>下川  浩平</v>
          </cell>
          <cell r="J777" t="str">
            <v>230</v>
          </cell>
          <cell r="K777" t="str">
            <v>横浜市鶴見区元宮1-17-12</v>
          </cell>
          <cell r="L777" t="str">
            <v xml:space="preserve"> </v>
          </cell>
          <cell r="M777" t="str">
            <v>045-574-3301</v>
          </cell>
          <cell r="N777" t="str">
            <v>/574-3269</v>
          </cell>
          <cell r="O777" t="str">
            <v>ｼﾝﾜﾁｪｯｸ</v>
          </cell>
          <cell r="Q777" t="str">
            <v xml:space="preserve"> </v>
          </cell>
          <cell r="T777" t="str">
            <v>ｼﾝﾜ</v>
          </cell>
          <cell r="V777" t="str">
            <v>30</v>
          </cell>
        </row>
        <row r="778">
          <cell r="B778" t="str">
            <v>7734</v>
          </cell>
          <cell r="C778" t="str">
            <v>#</v>
          </cell>
          <cell r="D778" t="str">
            <v>日本ウェックス(株)</v>
          </cell>
          <cell r="F778" t="str">
            <v>取締役社長</v>
          </cell>
          <cell r="G778" t="str">
            <v>広瀬　太郎</v>
          </cell>
          <cell r="H778">
            <v>90</v>
          </cell>
          <cell r="I778">
            <v>150</v>
          </cell>
          <cell r="J778" t="str">
            <v>335</v>
          </cell>
          <cell r="K778" t="str">
            <v>戸田市美女木向田1093</v>
          </cell>
          <cell r="L778" t="str">
            <v xml:space="preserve"> </v>
          </cell>
          <cell r="M778" t="str">
            <v>0484-21-3651</v>
          </cell>
          <cell r="N778" t="str">
            <v>/22-1321</v>
          </cell>
          <cell r="O778" t="str">
            <v>WEX用工業用ﾀｵﾙ 皮手・軍手・前掛等</v>
          </cell>
          <cell r="Q778" t="str">
            <v xml:space="preserve"> </v>
          </cell>
          <cell r="T778" t="str">
            <v>ﾆﾎﾝｳｪｯｸｽ</v>
          </cell>
          <cell r="V778" t="str">
            <v>15</v>
          </cell>
        </row>
        <row r="779">
          <cell r="B779" t="str">
            <v>7735</v>
          </cell>
          <cell r="C779" t="str">
            <v>#</v>
          </cell>
          <cell r="D779" t="str">
            <v>ナカノ(株)</v>
          </cell>
          <cell r="F779" t="str">
            <v>代表取締役社長</v>
          </cell>
          <cell r="G779" t="str">
            <v>中野  聰恭</v>
          </cell>
          <cell r="H779">
            <v>25</v>
          </cell>
          <cell r="I779">
            <v>97</v>
          </cell>
          <cell r="J779" t="str">
            <v>232</v>
          </cell>
          <cell r="K779" t="str">
            <v>横浜市南区新川町5-27</v>
          </cell>
          <cell r="L779" t="str">
            <v xml:space="preserve"> </v>
          </cell>
          <cell r="M779" t="str">
            <v>045-261-5527</v>
          </cell>
          <cell r="N779" t="str">
            <v>/251-0237</v>
          </cell>
          <cell r="O779" t="str">
            <v>ｳｪｽ､皮手､軍手､ｽﾞｯｸ加工</v>
          </cell>
          <cell r="Q779" t="str">
            <v xml:space="preserve"> </v>
          </cell>
          <cell r="R779" t="str">
            <v>□</v>
          </cell>
          <cell r="T779" t="str">
            <v>ﾅｶﾉ</v>
          </cell>
          <cell r="V779" t="str">
            <v>15</v>
          </cell>
        </row>
        <row r="780">
          <cell r="B780" t="str">
            <v>7737</v>
          </cell>
          <cell r="C780" t="str">
            <v>#</v>
          </cell>
          <cell r="D780" t="str">
            <v>ダイキン工業(株)</v>
          </cell>
          <cell r="F780" t="str">
            <v>代表取締役</v>
          </cell>
          <cell r="G780" t="str">
            <v>山田　稔</v>
          </cell>
          <cell r="H780">
            <v>9396</v>
          </cell>
          <cell r="I780">
            <v>5683</v>
          </cell>
          <cell r="J780" t="str">
            <v>530</v>
          </cell>
          <cell r="K780" t="str">
            <v>大阪市北区中崎西2-4-12</v>
          </cell>
          <cell r="L780" t="str">
            <v>梅田センタービル</v>
          </cell>
          <cell r="M780" t="str">
            <v xml:space="preserve">06-373-1201 </v>
          </cell>
          <cell r="N780" t="str">
            <v>/</v>
          </cell>
          <cell r="O780" t="str">
            <v>ルームエアコン</v>
          </cell>
          <cell r="Q780" t="str">
            <v xml:space="preserve"> </v>
          </cell>
          <cell r="T780" t="str">
            <v>ﾀﾞｲｷﾝｺｳｷﾞｮｳ</v>
          </cell>
          <cell r="V780" t="str">
            <v>64</v>
          </cell>
        </row>
        <row r="781">
          <cell r="B781" t="str">
            <v>7737</v>
          </cell>
          <cell r="C781" t="str">
            <v>A</v>
          </cell>
          <cell r="D781" t="str">
            <v>ダイキン工業(株)</v>
          </cell>
          <cell r="E781" t="str">
            <v>東京支店</v>
          </cell>
          <cell r="F781" t="str">
            <v>東京営業部長</v>
          </cell>
          <cell r="G781" t="str">
            <v>平山　康二</v>
          </cell>
          <cell r="J781" t="str">
            <v>160-91</v>
          </cell>
          <cell r="K781" t="str">
            <v>新宿区西新宿2-6-1</v>
          </cell>
          <cell r="L781" t="str">
            <v>新宿住友ビル</v>
          </cell>
          <cell r="M781" t="str">
            <v>03-3344-8245</v>
          </cell>
          <cell r="N781" t="str">
            <v>/3344-8078</v>
          </cell>
          <cell r="O781" t="str">
            <v>電子カーペット</v>
          </cell>
          <cell r="Q781" t="str">
            <v xml:space="preserve"> </v>
          </cell>
          <cell r="T781" t="str">
            <v>ﾀﾞｲｷﾝｺｳｷﾞｮｳ</v>
          </cell>
          <cell r="V781" t="str">
            <v>64</v>
          </cell>
        </row>
        <row r="782">
          <cell r="B782" t="str">
            <v>7745</v>
          </cell>
          <cell r="C782" t="str">
            <v>#</v>
          </cell>
          <cell r="D782" t="str">
            <v>東和産業(株)</v>
          </cell>
          <cell r="F782" t="str">
            <v>代表取締役</v>
          </cell>
          <cell r="G782" t="str">
            <v>池田  忠士</v>
          </cell>
          <cell r="H782">
            <v>57</v>
          </cell>
          <cell r="I782">
            <v>215</v>
          </cell>
          <cell r="J782" t="str">
            <v>253</v>
          </cell>
          <cell r="K782" t="str">
            <v>茅ヶ崎市東海岸北4-5-26</v>
          </cell>
          <cell r="L782" t="str">
            <v/>
          </cell>
          <cell r="M782" t="str">
            <v>0467-74-3410</v>
          </cell>
          <cell r="N782" t="str">
            <v>/</v>
          </cell>
          <cell r="O782" t="str">
            <v>ﾀﾞﾝﾎﾞｰﾙｹｰｽ･ｴｱｰｷｬｯﾌﾟ</v>
          </cell>
          <cell r="Q782" t="str">
            <v xml:space="preserve"> </v>
          </cell>
          <cell r="T782" t="str">
            <v>ﾄｳﾜｻﾝｷﾞｮｳ</v>
          </cell>
          <cell r="V782" t="str">
            <v>30</v>
          </cell>
        </row>
        <row r="783">
          <cell r="B783" t="str">
            <v>7746</v>
          </cell>
          <cell r="C783" t="str">
            <v>#</v>
          </cell>
          <cell r="D783" t="str">
            <v>(株)ヤマナカ</v>
          </cell>
          <cell r="F783" t="str">
            <v>代表取締役社長</v>
          </cell>
          <cell r="G783" t="str">
            <v>山中  昌一</v>
          </cell>
          <cell r="H783">
            <v>100</v>
          </cell>
          <cell r="I783">
            <v>137</v>
          </cell>
          <cell r="J783" t="str">
            <v>210</v>
          </cell>
          <cell r="K783" t="str">
            <v>川崎市幸区中幸町3-3-1</v>
          </cell>
          <cell r="L783" t="str">
            <v/>
          </cell>
          <cell r="M783" t="str">
            <v>0462-61-6255</v>
          </cell>
          <cell r="N783" t="str">
            <v>/63-8805</v>
          </cell>
          <cell r="O783" t="str">
            <v>ｽｸﾗｯﾌﾟ</v>
          </cell>
          <cell r="Q783" t="str">
            <v xml:space="preserve"> </v>
          </cell>
          <cell r="T783" t="str">
            <v>ﾔﾏﾅｶ</v>
          </cell>
          <cell r="V783" t="str">
            <v>15</v>
          </cell>
        </row>
        <row r="784">
          <cell r="B784" t="str">
            <v>7803</v>
          </cell>
          <cell r="C784" t="str">
            <v>#</v>
          </cell>
          <cell r="D784" t="str">
            <v>日本ｱｲ･ﾋﾞｰ･ｴﾑ(株)</v>
          </cell>
          <cell r="F784" t="str">
            <v>代表取締役社長</v>
          </cell>
          <cell r="G784" t="str">
            <v>北城 恪太郎</v>
          </cell>
          <cell r="H784">
            <v>135000</v>
          </cell>
          <cell r="I784">
            <v>25000</v>
          </cell>
          <cell r="J784" t="str">
            <v>106</v>
          </cell>
          <cell r="K784" t="str">
            <v>港区六本木3-2-12</v>
          </cell>
          <cell r="L784" t="str">
            <v xml:space="preserve"> </v>
          </cell>
          <cell r="M784" t="str">
            <v>03-3586-1111</v>
          </cell>
          <cell r="N784" t="str">
            <v>/</v>
          </cell>
          <cell r="O784" t="str">
            <v>電子計算機・カード</v>
          </cell>
          <cell r="Q784" t="str">
            <v xml:space="preserve"> </v>
          </cell>
          <cell r="T784" t="str">
            <v>ﾆﾎﾝｱｲﾋﾞｰｴﾑ</v>
          </cell>
          <cell r="V784" t="str">
            <v>30</v>
          </cell>
        </row>
        <row r="785">
          <cell r="B785" t="str">
            <v>7803</v>
          </cell>
          <cell r="C785" t="str">
            <v>A</v>
          </cell>
          <cell r="D785" t="str">
            <v>日本ｱｲ･ﾋﾞｰ･ｴﾑ(株)</v>
          </cell>
          <cell r="E785" t="str">
            <v>製造第一営業統括本部第６営業部営業一課</v>
          </cell>
          <cell r="J785" t="str">
            <v>103</v>
          </cell>
          <cell r="K785" t="str">
            <v>中央区日本橋箱崎町19-21</v>
          </cell>
          <cell r="L785" t="str">
            <v/>
          </cell>
          <cell r="M785" t="str">
            <v>03-3808-8575</v>
          </cell>
          <cell r="N785" t="str">
            <v>/3664-4885</v>
          </cell>
          <cell r="O785" t="str">
            <v>電子計算機・カード</v>
          </cell>
          <cell r="T785" t="str">
            <v>ﾆﾎﾝｱｲﾋﾞｰｴﾑ</v>
          </cell>
          <cell r="V785" t="str">
            <v>30</v>
          </cell>
        </row>
        <row r="786">
          <cell r="B786" t="str">
            <v>7811</v>
          </cell>
          <cell r="C786" t="str">
            <v>#</v>
          </cell>
          <cell r="D786" t="str">
            <v>アマノ(株)</v>
          </cell>
          <cell r="F786" t="str">
            <v>代表取締役社長</v>
          </cell>
          <cell r="G786" t="str">
            <v>岩崎　實</v>
          </cell>
          <cell r="H786">
            <v>17788</v>
          </cell>
          <cell r="I786">
            <v>1700</v>
          </cell>
          <cell r="J786" t="str">
            <v>222</v>
          </cell>
          <cell r="K786" t="str">
            <v>横浜市港北区大豆戸町275</v>
          </cell>
          <cell r="L786" t="str">
            <v xml:space="preserve"> </v>
          </cell>
          <cell r="M786" t="str">
            <v>045-433-1443</v>
          </cell>
          <cell r="N786" t="str">
            <v>/434-3877</v>
          </cell>
          <cell r="O786" t="str">
            <v>ﾀｲﾑﾚｺｰﾀﾞ､集塵装置</v>
          </cell>
          <cell r="Q786" t="str">
            <v xml:space="preserve"> </v>
          </cell>
          <cell r="R786" t="str">
            <v>□</v>
          </cell>
          <cell r="T786" t="str">
            <v>ｱﾏﾉ</v>
          </cell>
          <cell r="V786" t="str">
            <v>30</v>
          </cell>
        </row>
        <row r="787">
          <cell r="B787" t="str">
            <v>7812</v>
          </cell>
          <cell r="C787" t="str">
            <v>#</v>
          </cell>
          <cell r="D787" t="str">
            <v>ﾄﾞｯﾄﾞｳｪﾙﾏｰｹﾃｨﾝｸﾞ(株)</v>
          </cell>
          <cell r="F787" t="str">
            <v>代表取締役社長</v>
          </cell>
          <cell r="G787" t="str">
            <v>浅川  雅彦</v>
          </cell>
          <cell r="H787">
            <v>400</v>
          </cell>
          <cell r="I787">
            <v>70</v>
          </cell>
          <cell r="J787" t="str">
            <v>107</v>
          </cell>
          <cell r="K787" t="str">
            <v>港区赤坂1-14-14</v>
          </cell>
          <cell r="L787" t="str">
            <v>第35興和ビル</v>
          </cell>
          <cell r="M787" t="str">
            <v>03-3584-0923</v>
          </cell>
          <cell r="N787" t="str">
            <v>/3582-4176</v>
          </cell>
          <cell r="O787" t="str">
            <v>ﾀｲﾐﾝｸﾞﾁｪｰﾝ</v>
          </cell>
          <cell r="Q787" t="str">
            <v xml:space="preserve"> </v>
          </cell>
          <cell r="T787" t="str">
            <v>ﾄﾞｯﾄﾞｳｪﾙﾏｰｹﾃｨﾝｸﾞ</v>
          </cell>
          <cell r="V787" t="str">
            <v>51</v>
          </cell>
        </row>
        <row r="788">
          <cell r="B788" t="str">
            <v>7823</v>
          </cell>
          <cell r="C788" t="str">
            <v>#</v>
          </cell>
          <cell r="D788" t="str">
            <v>(株)セイブンドー</v>
          </cell>
          <cell r="F788" t="str">
            <v>代表取締役</v>
          </cell>
          <cell r="G788" t="str">
            <v>矢川  邦夫</v>
          </cell>
          <cell r="H788">
            <v>30</v>
          </cell>
          <cell r="I788">
            <v>92</v>
          </cell>
          <cell r="J788" t="str">
            <v>211</v>
          </cell>
          <cell r="K788" t="str">
            <v>川崎市中原区苅宿531-2</v>
          </cell>
          <cell r="L788" t="str">
            <v/>
          </cell>
          <cell r="M788" t="str">
            <v>044-411-2151</v>
          </cell>
          <cell r="N788" t="str">
            <v>/411-8179</v>
          </cell>
          <cell r="O788" t="str">
            <v>一般印刷</v>
          </cell>
          <cell r="T788" t="str">
            <v>ｾｲﾌﾞﾝﾄﾞｰ</v>
          </cell>
          <cell r="V788" t="str">
            <v>15</v>
          </cell>
        </row>
        <row r="789">
          <cell r="B789" t="str">
            <v>7824</v>
          </cell>
          <cell r="C789" t="str">
            <v>#</v>
          </cell>
          <cell r="D789" t="str">
            <v>武藤工業(株)</v>
          </cell>
          <cell r="F789" t="str">
            <v>取締役社長</v>
          </cell>
          <cell r="G789" t="str">
            <v>武藤　洋</v>
          </cell>
          <cell r="H789">
            <v>350</v>
          </cell>
          <cell r="I789">
            <v>500</v>
          </cell>
          <cell r="J789" t="str">
            <v>154</v>
          </cell>
          <cell r="K789" t="str">
            <v>世田谷区池尻3-1-3</v>
          </cell>
          <cell r="L789" t="str">
            <v xml:space="preserve"> </v>
          </cell>
          <cell r="M789" t="str">
            <v>03-3413-8111</v>
          </cell>
          <cell r="N789" t="str">
            <v>/</v>
          </cell>
          <cell r="O789" t="str">
            <v>自動製図機</v>
          </cell>
          <cell r="Q789" t="str">
            <v xml:space="preserve"> </v>
          </cell>
          <cell r="T789" t="str">
            <v>ﾑﾄｳｺｳｷﾞｮｳ</v>
          </cell>
          <cell r="V789" t="str">
            <v>30</v>
          </cell>
        </row>
        <row r="790">
          <cell r="B790" t="str">
            <v>7824</v>
          </cell>
          <cell r="C790" t="str">
            <v>A</v>
          </cell>
          <cell r="D790" t="str">
            <v>武藤工業(株)</v>
          </cell>
          <cell r="E790" t="str">
            <v>横浜営業所</v>
          </cell>
          <cell r="F790" t="str">
            <v>所長</v>
          </cell>
          <cell r="G790" t="str">
            <v>芹沢　愃</v>
          </cell>
          <cell r="J790" t="str">
            <v>221</v>
          </cell>
          <cell r="K790" t="str">
            <v>横浜市神奈川区鶴屋町3-30-1</v>
          </cell>
          <cell r="L790" t="str">
            <v>農機会館</v>
          </cell>
          <cell r="M790" t="str">
            <v>045-311-2327</v>
          </cell>
          <cell r="N790" t="str">
            <v>/</v>
          </cell>
          <cell r="O790" t="str">
            <v>製図機器</v>
          </cell>
          <cell r="Q790" t="str">
            <v xml:space="preserve"> </v>
          </cell>
          <cell r="T790" t="str">
            <v>ﾑﾄｳｺｳｷﾞｮｳ</v>
          </cell>
          <cell r="V790" t="str">
            <v>30</v>
          </cell>
        </row>
        <row r="791">
          <cell r="B791" t="str">
            <v>7833</v>
          </cell>
          <cell r="C791" t="str">
            <v>#</v>
          </cell>
          <cell r="D791" t="str">
            <v>日本ファイリング(株)</v>
          </cell>
          <cell r="F791" t="str">
            <v>取締役社長</v>
          </cell>
          <cell r="G791" t="str">
            <v>田島　遠平</v>
          </cell>
          <cell r="H791">
            <v>35</v>
          </cell>
          <cell r="I791">
            <v>570</v>
          </cell>
          <cell r="J791" t="str">
            <v>101</v>
          </cell>
          <cell r="K791" t="str">
            <v>千代田区神田駿河台1-6</v>
          </cell>
          <cell r="L791" t="str">
            <v xml:space="preserve"> </v>
          </cell>
          <cell r="M791" t="str">
            <v>045-473-4511</v>
          </cell>
          <cell r="N791" t="str">
            <v>/470-1408</v>
          </cell>
          <cell r="O791" t="str">
            <v>ｽﾁｰﾙ製物品整理棚･立体自動倉庫</v>
          </cell>
          <cell r="Q791" t="str">
            <v xml:space="preserve"> </v>
          </cell>
          <cell r="T791" t="str">
            <v>ﾆﾎﾝﾌｧｲﾘﾝｸﾞ</v>
          </cell>
          <cell r="V791" t="str">
            <v>30</v>
          </cell>
        </row>
        <row r="792">
          <cell r="B792" t="str">
            <v>7835</v>
          </cell>
          <cell r="C792" t="str">
            <v>#</v>
          </cell>
          <cell r="D792" t="str">
            <v>日本電気(株)</v>
          </cell>
          <cell r="F792" t="str">
            <v>取締役社長</v>
          </cell>
          <cell r="G792" t="str">
            <v>関本　忠弘</v>
          </cell>
          <cell r="H792">
            <v>100330</v>
          </cell>
          <cell r="I792">
            <v>34847</v>
          </cell>
          <cell r="J792" t="str">
            <v>108</v>
          </cell>
          <cell r="K792" t="str">
            <v>港区芝5-33-1</v>
          </cell>
          <cell r="L792" t="str">
            <v>森永プラザビル</v>
          </cell>
          <cell r="M792" t="str">
            <v>03-3798-6012</v>
          </cell>
          <cell r="N792" t="str">
            <v>/3798-9699</v>
          </cell>
          <cell r="O792" t="str">
            <v>電子計算機</v>
          </cell>
          <cell r="Q792" t="str">
            <v xml:space="preserve"> </v>
          </cell>
          <cell r="T792" t="str">
            <v>ﾆﾎﾝﾃﾞﾝｷ</v>
          </cell>
          <cell r="V792" t="str">
            <v>30</v>
          </cell>
        </row>
        <row r="793">
          <cell r="B793" t="str">
            <v>7838</v>
          </cell>
          <cell r="C793" t="str">
            <v>#</v>
          </cell>
          <cell r="D793" t="str">
            <v>日本ｵﾘﾍﾞｯﾃｨ(株)</v>
          </cell>
          <cell r="F793" t="str">
            <v>代表取締役社長</v>
          </cell>
          <cell r="G793" t="str">
            <v>栗田  宏一郎</v>
          </cell>
          <cell r="H793">
            <v>2600</v>
          </cell>
          <cell r="I793">
            <v>2034</v>
          </cell>
          <cell r="J793" t="str">
            <v>152</v>
          </cell>
          <cell r="K793" t="str">
            <v>目黒区碑文谷2-1-24</v>
          </cell>
          <cell r="L793" t="str">
            <v xml:space="preserve"> </v>
          </cell>
          <cell r="M793" t="str">
            <v>03-3714-1211</v>
          </cell>
          <cell r="N793" t="str">
            <v>/</v>
          </cell>
          <cell r="O793" t="str">
            <v>事務用機器</v>
          </cell>
          <cell r="Q793" t="str">
            <v xml:space="preserve"> </v>
          </cell>
          <cell r="T793" t="str">
            <v>ﾆﾎﾝｵﾘﾍﾞｯﾃｨｰ</v>
          </cell>
          <cell r="V793" t="str">
            <v>30</v>
          </cell>
        </row>
        <row r="794">
          <cell r="B794" t="str">
            <v>7839</v>
          </cell>
          <cell r="C794" t="str">
            <v>#</v>
          </cell>
          <cell r="D794" t="str">
            <v>(株)マルタン</v>
          </cell>
          <cell r="F794" t="str">
            <v>取締役社長</v>
          </cell>
          <cell r="G794" t="str">
            <v>熊谷　正子</v>
          </cell>
          <cell r="H794">
            <v>50</v>
          </cell>
          <cell r="I794">
            <v>200</v>
          </cell>
          <cell r="J794" t="str">
            <v>231</v>
          </cell>
          <cell r="K794" t="str">
            <v>横浜市中区尾上町4-54</v>
          </cell>
          <cell r="L794" t="str">
            <v xml:space="preserve"> </v>
          </cell>
          <cell r="M794" t="str">
            <v>045-651-0121</v>
          </cell>
          <cell r="N794" t="str">
            <v>/</v>
          </cell>
          <cell r="O794" t="str">
            <v>事務用品</v>
          </cell>
          <cell r="Q794" t="str">
            <v xml:space="preserve"> </v>
          </cell>
          <cell r="R794" t="str">
            <v>□</v>
          </cell>
          <cell r="S794" t="str">
            <v>☆</v>
          </cell>
          <cell r="T794" t="str">
            <v>ﾏﾙﾀﾝ</v>
          </cell>
          <cell r="V794" t="str">
            <v>15</v>
          </cell>
        </row>
        <row r="795">
          <cell r="B795" t="str">
            <v>7839</v>
          </cell>
          <cell r="C795" t="str">
            <v>A</v>
          </cell>
          <cell r="D795" t="str">
            <v>(株)マルタン</v>
          </cell>
          <cell r="E795" t="str">
            <v>川崎店</v>
          </cell>
          <cell r="F795" t="str">
            <v>店長</v>
          </cell>
          <cell r="G795" t="str">
            <v>小林  邦紀</v>
          </cell>
          <cell r="J795" t="str">
            <v>210</v>
          </cell>
          <cell r="K795" t="str">
            <v>川崎市川崎区本町1-8-2</v>
          </cell>
          <cell r="L795" t="str">
            <v xml:space="preserve"> </v>
          </cell>
          <cell r="M795" t="str">
            <v>044-222-0123</v>
          </cell>
          <cell r="N795" t="str">
            <v>/222-0117</v>
          </cell>
          <cell r="O795" t="str">
            <v>事務用品</v>
          </cell>
          <cell r="Q795" t="str">
            <v xml:space="preserve"> </v>
          </cell>
          <cell r="T795" t="str">
            <v>ﾏﾙﾀﾝ</v>
          </cell>
          <cell r="V795" t="str">
            <v>15</v>
          </cell>
        </row>
        <row r="796">
          <cell r="B796" t="str">
            <v>7848</v>
          </cell>
          <cell r="C796" t="str">
            <v>#</v>
          </cell>
          <cell r="D796" t="str">
            <v>ｴﾇｴｽ･ｶﾙｺﾝﾌﾟ(株)</v>
          </cell>
          <cell r="F796" t="str">
            <v>代表取締役社長</v>
          </cell>
          <cell r="G796" t="str">
            <v>向坂  勝之</v>
          </cell>
          <cell r="H796">
            <v>360</v>
          </cell>
          <cell r="I796">
            <v>129</v>
          </cell>
          <cell r="J796" t="str">
            <v>105</v>
          </cell>
          <cell r="K796" t="str">
            <v>港区西新橋3-25-1</v>
          </cell>
          <cell r="L796" t="str">
            <v xml:space="preserve"> </v>
          </cell>
          <cell r="M796" t="str">
            <v>03-5402-6111</v>
          </cell>
          <cell r="N796" t="str">
            <v>/</v>
          </cell>
          <cell r="O796" t="str">
            <v>自動製図機</v>
          </cell>
          <cell r="Q796" t="str">
            <v xml:space="preserve"> </v>
          </cell>
          <cell r="T796" t="str">
            <v>ｴﾇｴｽｶﾙｺﾝﾌﾟ</v>
          </cell>
          <cell r="V796" t="str">
            <v>30</v>
          </cell>
        </row>
        <row r="797">
          <cell r="B797" t="str">
            <v>7849</v>
          </cell>
          <cell r="C797" t="str">
            <v>#</v>
          </cell>
          <cell r="D797" t="str">
            <v>アルプ(株)</v>
          </cell>
          <cell r="F797" t="str">
            <v>代表取締役</v>
          </cell>
          <cell r="G797" t="str">
            <v>福田　耿之介</v>
          </cell>
          <cell r="H797">
            <v>90</v>
          </cell>
          <cell r="I797">
            <v>54</v>
          </cell>
          <cell r="J797" t="str">
            <v>102</v>
          </cell>
          <cell r="K797" t="str">
            <v>千代田区平河町1-2-10</v>
          </cell>
          <cell r="L797" t="str">
            <v>平河町第一生命ビル</v>
          </cell>
          <cell r="M797" t="str">
            <v>03-3234-3571</v>
          </cell>
          <cell r="N797" t="str">
            <v>/3234-3650</v>
          </cell>
          <cell r="O797" t="str">
            <v>ｺﾝﾋﾟｭｰﾀ(ﾊｰﾄﾞ･ｿﾌﾄ)</v>
          </cell>
          <cell r="Q797" t="str">
            <v xml:space="preserve"> </v>
          </cell>
          <cell r="T797" t="str">
            <v>ｱﾙﾌﾟ</v>
          </cell>
          <cell r="V797" t="str">
            <v>30</v>
          </cell>
        </row>
        <row r="798">
          <cell r="B798" t="str">
            <v>7850</v>
          </cell>
          <cell r="C798" t="str">
            <v>#</v>
          </cell>
          <cell r="D798" t="str">
            <v>いすゞｼｽﾃﾑｻｰﾋﾞｽ(株)</v>
          </cell>
          <cell r="F798" t="str">
            <v>代表取締役社長</v>
          </cell>
          <cell r="G798" t="str">
            <v>常磐  直之</v>
          </cell>
          <cell r="H798">
            <v>125</v>
          </cell>
          <cell r="I798">
            <v>41</v>
          </cell>
          <cell r="J798">
            <v>140</v>
          </cell>
          <cell r="K798" t="str">
            <v>品川区南大井6-26-3</v>
          </cell>
          <cell r="L798" t="str">
            <v xml:space="preserve"> </v>
          </cell>
          <cell r="M798" t="str">
            <v>03-3298-4174</v>
          </cell>
          <cell r="N798" t="str">
            <v>/3298-4192</v>
          </cell>
          <cell r="O798" t="str">
            <v>ハードウェア・ソフトウェア</v>
          </cell>
          <cell r="Q798" t="str">
            <v xml:space="preserve"> </v>
          </cell>
          <cell r="T798" t="str">
            <v>ｲｽｽﾞｼｽﾃﾑｻｰﾋﾞｽ</v>
          </cell>
          <cell r="V798" t="str">
            <v>30</v>
          </cell>
        </row>
        <row r="799">
          <cell r="B799" t="str">
            <v>7851</v>
          </cell>
          <cell r="C799" t="str">
            <v>#</v>
          </cell>
          <cell r="D799" t="str">
            <v>(協)公清企業</v>
          </cell>
          <cell r="F799" t="str">
            <v>理事長</v>
          </cell>
          <cell r="G799" t="str">
            <v>原田　久</v>
          </cell>
          <cell r="H799">
            <v>66</v>
          </cell>
          <cell r="I799">
            <v>296</v>
          </cell>
          <cell r="J799" t="str">
            <v>060</v>
          </cell>
          <cell r="K799" t="str">
            <v>札幌市中央区北1条東15-140</v>
          </cell>
          <cell r="L799" t="str">
            <v xml:space="preserve"> </v>
          </cell>
          <cell r="M799" t="str">
            <v>011-221-8881</v>
          </cell>
          <cell r="N799" t="str">
            <v>/</v>
          </cell>
          <cell r="O799" t="str">
            <v>産業廃棄物処理</v>
          </cell>
          <cell r="Q799" t="str">
            <v xml:space="preserve"> </v>
          </cell>
          <cell r="T799" t="str">
            <v>ｺｳｾｲｷｷﾞｮｳ</v>
          </cell>
          <cell r="V799" t="str">
            <v>10</v>
          </cell>
        </row>
        <row r="800">
          <cell r="B800" t="str">
            <v>7852</v>
          </cell>
          <cell r="C800" t="str">
            <v>#</v>
          </cell>
          <cell r="D800" t="str">
            <v>システム機器(株)</v>
          </cell>
          <cell r="F800" t="str">
            <v>取締役社長</v>
          </cell>
          <cell r="G800" t="str">
            <v>大庭  一晃</v>
          </cell>
          <cell r="H800">
            <v>80</v>
          </cell>
          <cell r="I800">
            <v>77</v>
          </cell>
          <cell r="J800" t="str">
            <v>105</v>
          </cell>
          <cell r="K800" t="str">
            <v>港区虎ノ門4-2-12</v>
          </cell>
          <cell r="L800" t="str">
            <v>森ビル2号館</v>
          </cell>
          <cell r="M800" t="str">
            <v>03-5472-6931</v>
          </cell>
          <cell r="N800" t="str">
            <v>/</v>
          </cell>
          <cell r="O800" t="str">
            <v>生産管理システム</v>
          </cell>
          <cell r="Q800" t="str">
            <v xml:space="preserve"> </v>
          </cell>
          <cell r="T800" t="str">
            <v>ｼｽﾃﾑｷｷ</v>
          </cell>
          <cell r="V800" t="str">
            <v>30</v>
          </cell>
        </row>
        <row r="801">
          <cell r="B801" t="str">
            <v>7853</v>
          </cell>
          <cell r="C801" t="str">
            <v>#</v>
          </cell>
          <cell r="D801" t="str">
            <v>丸紅ハイテック(株)</v>
          </cell>
          <cell r="F801" t="str">
            <v>取締役社長</v>
          </cell>
          <cell r="G801" t="str">
            <v>佐野  元昭</v>
          </cell>
          <cell r="H801">
            <v>300</v>
          </cell>
          <cell r="I801">
            <v>357</v>
          </cell>
          <cell r="J801" t="str">
            <v>162</v>
          </cell>
          <cell r="K801" t="str">
            <v>新宿区揚場町1-18</v>
          </cell>
          <cell r="L801" t="str">
            <v xml:space="preserve"> </v>
          </cell>
          <cell r="M801" t="str">
            <v>03-5228-7012</v>
          </cell>
          <cell r="N801" t="str">
            <v>/5228-7025</v>
          </cell>
          <cell r="O801" t="str">
            <v>CAEｼｽﾃﾑ</v>
          </cell>
          <cell r="Q801" t="str">
            <v xml:space="preserve"> </v>
          </cell>
          <cell r="T801" t="str">
            <v>ﾏﾙﾍﾞﾆﾊｲﾃｯｸ</v>
          </cell>
          <cell r="V801" t="str">
            <v>30</v>
          </cell>
        </row>
        <row r="802">
          <cell r="B802" t="str">
            <v>7854</v>
          </cell>
          <cell r="C802" t="str">
            <v>#</v>
          </cell>
          <cell r="D802" t="str">
            <v>(株)いすゞｱｲ･ｹｲ･ｼ-</v>
          </cell>
          <cell r="F802" t="str">
            <v>代表取締役社長</v>
          </cell>
          <cell r="G802" t="str">
            <v>佐々木  公文　</v>
          </cell>
          <cell r="H802">
            <v>40</v>
          </cell>
          <cell r="I802">
            <v>80</v>
          </cell>
          <cell r="J802" t="str">
            <v>144</v>
          </cell>
          <cell r="K802" t="str">
            <v>大田区蒲田5-20-10</v>
          </cell>
          <cell r="L802" t="str">
            <v>第二美須ビル</v>
          </cell>
          <cell r="M802" t="str">
            <v>03-3734-7201</v>
          </cell>
          <cell r="N802" t="str">
            <v>/3734-7206</v>
          </cell>
          <cell r="O802" t="str">
            <v>ｺﾝﾋﾟｭ-ﾀｿﾌﾄｳｪｱ</v>
          </cell>
          <cell r="Q802" t="str">
            <v xml:space="preserve"> </v>
          </cell>
          <cell r="T802" t="str">
            <v>ｲｽｽﾞｱｲｹｲｼ-</v>
          </cell>
          <cell r="V802" t="str">
            <v>30</v>
          </cell>
        </row>
        <row r="803">
          <cell r="B803" t="str">
            <v>8003</v>
          </cell>
          <cell r="C803" t="str">
            <v>#</v>
          </cell>
          <cell r="D803" t="str">
            <v>(株)シーケービー</v>
          </cell>
          <cell r="F803" t="str">
            <v>代表取締役社長</v>
          </cell>
          <cell r="G803" t="str">
            <v>吉田  安夫</v>
          </cell>
          <cell r="H803">
            <v>100</v>
          </cell>
          <cell r="I803">
            <v>62</v>
          </cell>
          <cell r="J803" t="str">
            <v>150</v>
          </cell>
          <cell r="K803" t="str">
            <v>渋谷区渋谷2-10-6</v>
          </cell>
          <cell r="L803" t="str">
            <v>山田青山ビル4F</v>
          </cell>
          <cell r="M803" t="str">
            <v>03-3498-2231</v>
          </cell>
          <cell r="N803" t="str">
            <v>/3498-2366</v>
          </cell>
          <cell r="O803" t="str">
            <v>輸入機械</v>
          </cell>
          <cell r="Q803" t="str">
            <v xml:space="preserve"> </v>
          </cell>
          <cell r="R803" t="str">
            <v>□</v>
          </cell>
          <cell r="T803" t="str">
            <v>ｼｰｹｰﾋﾞｰ</v>
          </cell>
          <cell r="V803" t="str">
            <v>30</v>
          </cell>
        </row>
        <row r="804">
          <cell r="B804" t="str">
            <v>8004</v>
          </cell>
          <cell r="C804" t="str">
            <v>#</v>
          </cell>
          <cell r="D804" t="str">
            <v>コサリ－ベルマン(株)</v>
          </cell>
          <cell r="F804" t="str">
            <v>代表取締役社長</v>
          </cell>
          <cell r="G804" t="str">
            <v>泉田  弘</v>
          </cell>
          <cell r="H804">
            <v>1300</v>
          </cell>
          <cell r="I804">
            <v>553</v>
          </cell>
          <cell r="J804" t="str">
            <v>163-04</v>
          </cell>
          <cell r="K804" t="str">
            <v>新宿区西新宿2-1-1</v>
          </cell>
          <cell r="L804" t="str">
            <v>(新宿三井ビル)</v>
          </cell>
          <cell r="M804" t="str">
            <v>03-3342-1867</v>
          </cell>
          <cell r="N804" t="str">
            <v>/</v>
          </cell>
          <cell r="O804" t="str">
            <v>工作機械及び部品　</v>
          </cell>
          <cell r="Q804" t="str">
            <v xml:space="preserve"> </v>
          </cell>
          <cell r="T804" t="str">
            <v xml:space="preserve">ｺｻﾘ-ﾍﾞﾙﾏﾝ </v>
          </cell>
          <cell r="V804" t="str">
            <v>30</v>
          </cell>
        </row>
        <row r="805">
          <cell r="B805" t="str">
            <v>8005</v>
          </cell>
          <cell r="C805" t="str">
            <v>#</v>
          </cell>
          <cell r="D805" t="str">
            <v>日本ｸﾘﾝｹﾞﾙﾝﾍﾞﾙｸﾞ(株)</v>
          </cell>
          <cell r="F805" t="str">
            <v>代表取締役副社長</v>
          </cell>
          <cell r="G805" t="str">
            <v>ﾕﾙｹﾞﾝｴｯｺﾌ</v>
          </cell>
          <cell r="H805">
            <v>64</v>
          </cell>
          <cell r="I805">
            <v>27</v>
          </cell>
          <cell r="J805" t="str">
            <v>106</v>
          </cell>
          <cell r="K805" t="str">
            <v>港区南麻布2-8-21</v>
          </cell>
          <cell r="L805" t="str">
            <v>南麻布MICビル</v>
          </cell>
          <cell r="M805" t="str">
            <v>03-5443-0250</v>
          </cell>
          <cell r="N805" t="str">
            <v>/</v>
          </cell>
          <cell r="O805" t="str">
            <v>輸入機械</v>
          </cell>
          <cell r="Q805" t="str">
            <v xml:space="preserve"> </v>
          </cell>
          <cell r="T805" t="str">
            <v>ﾆﾎﾝｸﾘﾝｹﾞﾙﾝﾍﾞﾙｸﾞ</v>
          </cell>
          <cell r="V805" t="str">
            <v>30</v>
          </cell>
        </row>
        <row r="806">
          <cell r="B806" t="str">
            <v>8006</v>
          </cell>
          <cell r="C806" t="str">
            <v>#</v>
          </cell>
          <cell r="D806" t="str">
            <v>リッカーマン(株)</v>
          </cell>
          <cell r="F806" t="str">
            <v>取締役社長</v>
          </cell>
          <cell r="G806" t="str">
            <v>ﾍﾙﾑｰﾄ･ｼﾞｰｸﾌﾘｰﾄ</v>
          </cell>
          <cell r="H806">
            <v>100</v>
          </cell>
          <cell r="I806">
            <v>78</v>
          </cell>
          <cell r="J806" t="str">
            <v>100</v>
          </cell>
          <cell r="K806" t="str">
            <v>千代田区有楽町1-8-1</v>
          </cell>
          <cell r="L806" t="str">
            <v>日比谷パークビル</v>
          </cell>
          <cell r="M806" t="str">
            <v>03-3271-0161</v>
          </cell>
          <cell r="N806" t="str">
            <v>/</v>
          </cell>
          <cell r="O806" t="str">
            <v>輸入機械</v>
          </cell>
          <cell r="Q806" t="str">
            <v xml:space="preserve"> </v>
          </cell>
          <cell r="T806" t="str">
            <v>ﾘｯｶｰﾏﾝ</v>
          </cell>
          <cell r="V806" t="str">
            <v>30</v>
          </cell>
        </row>
        <row r="807">
          <cell r="B807" t="str">
            <v>8006</v>
          </cell>
          <cell r="C807" t="str">
            <v>A</v>
          </cell>
          <cell r="D807" t="str">
            <v>リッカーマン(株)</v>
          </cell>
          <cell r="G807" t="str">
            <v xml:space="preserve">       ｼｭﾙﾂｴ</v>
          </cell>
          <cell r="K807" t="str">
            <v xml:space="preserve"> </v>
          </cell>
          <cell r="L807" t="str">
            <v xml:space="preserve"> </v>
          </cell>
          <cell r="N807" t="str">
            <v>/</v>
          </cell>
          <cell r="Q807" t="str">
            <v xml:space="preserve"> </v>
          </cell>
          <cell r="T807" t="str">
            <v>ﾘｯｶｰﾏﾝ</v>
          </cell>
          <cell r="V807" t="str">
            <v>30</v>
          </cell>
        </row>
        <row r="808">
          <cell r="B808" t="str">
            <v>8007</v>
          </cell>
          <cell r="C808" t="str">
            <v>#</v>
          </cell>
          <cell r="D808" t="str">
            <v>(株)トーメン</v>
          </cell>
          <cell r="F808" t="str">
            <v>代表取締役社長</v>
          </cell>
          <cell r="G808" t="str">
            <v>北村　恒夫</v>
          </cell>
          <cell r="H808">
            <v>18248</v>
          </cell>
          <cell r="I808">
            <v>2915</v>
          </cell>
          <cell r="J808" t="str">
            <v>541</v>
          </cell>
          <cell r="K808" t="str">
            <v>大阪市中央区瓦町1-6-7</v>
          </cell>
          <cell r="L808" t="str">
            <v xml:space="preserve"> </v>
          </cell>
          <cell r="M808" t="str">
            <v xml:space="preserve">06-208-2211 </v>
          </cell>
          <cell r="N808" t="str">
            <v>/</v>
          </cell>
          <cell r="O808" t="str">
            <v>輸入機械・プラント</v>
          </cell>
          <cell r="Q808" t="str">
            <v xml:space="preserve"> </v>
          </cell>
          <cell r="T808" t="str">
            <v>ﾄｰﾒﾝ</v>
          </cell>
          <cell r="V808" t="str">
            <v>30</v>
          </cell>
        </row>
        <row r="809">
          <cell r="B809" t="str">
            <v>8007</v>
          </cell>
          <cell r="C809" t="str">
            <v>A</v>
          </cell>
          <cell r="D809" t="str">
            <v>(株)トーメン</v>
          </cell>
          <cell r="E809" t="str">
            <v>東京本社</v>
          </cell>
          <cell r="J809" t="str">
            <v>107</v>
          </cell>
          <cell r="K809" t="str">
            <v>港区赤坂2-14-27</v>
          </cell>
          <cell r="L809" t="str">
            <v>国際新赤坂ビル</v>
          </cell>
          <cell r="M809" t="str">
            <v>03-5562-6215</v>
          </cell>
          <cell r="N809" t="str">
            <v>/5562-6225</v>
          </cell>
          <cell r="O809" t="str">
            <v>輸入機械・プラント</v>
          </cell>
          <cell r="Q809" t="str">
            <v xml:space="preserve"> </v>
          </cell>
          <cell r="T809" t="str">
            <v>ﾄｰﾒﾝ</v>
          </cell>
          <cell r="V809" t="str">
            <v>30</v>
          </cell>
        </row>
        <row r="810">
          <cell r="B810" t="str">
            <v>8010</v>
          </cell>
          <cell r="C810" t="str">
            <v>#</v>
          </cell>
          <cell r="D810" t="str">
            <v>丸文(株)</v>
          </cell>
          <cell r="F810" t="str">
            <v>取締役社長</v>
          </cell>
          <cell r="G810" t="str">
            <v>堀越　善雄</v>
          </cell>
          <cell r="H810">
            <v>200</v>
          </cell>
          <cell r="I810">
            <v>300</v>
          </cell>
          <cell r="J810" t="str">
            <v>103</v>
          </cell>
          <cell r="K810" t="str">
            <v>中央区日本橋大伝馬町8-1</v>
          </cell>
          <cell r="L810" t="str">
            <v>丸文ダイヤビル</v>
          </cell>
          <cell r="M810" t="str">
            <v>03-3662-8151</v>
          </cell>
          <cell r="N810" t="str">
            <v>/</v>
          </cell>
          <cell r="O810" t="str">
            <v>輸入試験機</v>
          </cell>
          <cell r="Q810" t="str">
            <v xml:space="preserve"> </v>
          </cell>
          <cell r="T810" t="str">
            <v>ﾏﾙﾌﾞﾝ</v>
          </cell>
          <cell r="V810" t="str">
            <v>30</v>
          </cell>
        </row>
        <row r="811">
          <cell r="B811" t="str">
            <v>8013</v>
          </cell>
          <cell r="C811" t="str">
            <v>#</v>
          </cell>
          <cell r="D811" t="str">
            <v>(株)ｼｰ･ｺｰﾚﾝｽ商会</v>
          </cell>
          <cell r="F811" t="str">
            <v>代表取締役</v>
          </cell>
          <cell r="G811" t="str">
            <v>ｸﾗｳｽ･ｺｰﾚﾝｽ</v>
          </cell>
          <cell r="H811">
            <v>39</v>
          </cell>
          <cell r="I811">
            <v>109</v>
          </cell>
          <cell r="J811" t="str">
            <v>100</v>
          </cell>
          <cell r="K811" t="str">
            <v>千代田区内幸町2-1-1</v>
          </cell>
          <cell r="L811" t="str">
            <v>飯野ビル</v>
          </cell>
          <cell r="M811" t="str">
            <v>03-3501-2361</v>
          </cell>
          <cell r="N811" t="str">
            <v>/</v>
          </cell>
          <cell r="O811" t="str">
            <v>ｽｸﾗｯﾌﾟ処理機ﾊﾞｰｼｪｱｰ</v>
          </cell>
          <cell r="Q811" t="str">
            <v xml:space="preserve"> </v>
          </cell>
          <cell r="T811" t="str">
            <v>ｼｰｺｰﾚﾝｽｼｮｳｶｲ</v>
          </cell>
          <cell r="V811" t="str">
            <v>30</v>
          </cell>
        </row>
        <row r="812">
          <cell r="B812" t="str">
            <v>8016</v>
          </cell>
          <cell r="C812" t="str">
            <v>#</v>
          </cell>
          <cell r="D812" t="str">
            <v>レイボルド(株)</v>
          </cell>
          <cell r="F812" t="str">
            <v>代表取締役</v>
          </cell>
          <cell r="G812" t="str">
            <v>古田  登美雄</v>
          </cell>
          <cell r="H812">
            <v>85</v>
          </cell>
          <cell r="I812">
            <v>86</v>
          </cell>
          <cell r="J812" t="str">
            <v>103</v>
          </cell>
          <cell r="K812" t="str">
            <v>中央区八重洲1-9-9</v>
          </cell>
          <cell r="L812" t="str">
            <v>東京建物ビル新館5F</v>
          </cell>
          <cell r="M812" t="str">
            <v>03-3272-1861</v>
          </cell>
          <cell r="N812" t="str">
            <v>/</v>
          </cell>
          <cell r="O812" t="str">
            <v>輸入工作機械</v>
          </cell>
          <cell r="Q812" t="str">
            <v xml:space="preserve"> </v>
          </cell>
          <cell r="T812" t="str">
            <v>ﾚｲﾎﾞﾙﾄﾞ</v>
          </cell>
          <cell r="V812" t="str">
            <v>30</v>
          </cell>
        </row>
        <row r="813">
          <cell r="B813" t="str">
            <v>8017</v>
          </cell>
          <cell r="C813" t="str">
            <v>#</v>
          </cell>
          <cell r="D813" t="str">
            <v>山本機械通商(株)</v>
          </cell>
          <cell r="F813" t="str">
            <v>取締役社長</v>
          </cell>
          <cell r="G813" t="str">
            <v>山本　学</v>
          </cell>
          <cell r="H813">
            <v>20</v>
          </cell>
          <cell r="I813">
            <v>46</v>
          </cell>
          <cell r="J813" t="str">
            <v>151</v>
          </cell>
          <cell r="K813" t="str">
            <v>渋谷区代々木5-7-5</v>
          </cell>
          <cell r="L813" t="str">
            <v>山本ビル</v>
          </cell>
          <cell r="M813" t="str">
            <v>03-3467-1251</v>
          </cell>
          <cell r="N813" t="str">
            <v>/</v>
          </cell>
          <cell r="O813" t="str">
            <v>工作機械 精密測定機器</v>
          </cell>
          <cell r="Q813" t="str">
            <v xml:space="preserve"> </v>
          </cell>
          <cell r="T813" t="str">
            <v>ﾔﾏﾓﾄｷｶｲﾂｳｼｮｳ</v>
          </cell>
          <cell r="V813" t="str">
            <v>30</v>
          </cell>
        </row>
        <row r="814">
          <cell r="B814" t="str">
            <v>8018</v>
          </cell>
          <cell r="C814" t="str">
            <v>#</v>
          </cell>
          <cell r="D814" t="str">
            <v>ニチメン(株)</v>
          </cell>
          <cell r="F814" t="str">
            <v>代表取締役社長</v>
          </cell>
          <cell r="G814" t="str">
            <v>田中　義巳</v>
          </cell>
          <cell r="H814">
            <v>52179</v>
          </cell>
          <cell r="I814">
            <v>2897</v>
          </cell>
          <cell r="J814" t="str">
            <v>104</v>
          </cell>
          <cell r="K814" t="str">
            <v>中央区京橋1-13-1</v>
          </cell>
          <cell r="L814" t="str">
            <v xml:space="preserve"> </v>
          </cell>
          <cell r="M814" t="str">
            <v>03-3277-5111</v>
          </cell>
          <cell r="N814" t="str">
            <v>/</v>
          </cell>
          <cell r="O814" t="str">
            <v>工作機械</v>
          </cell>
          <cell r="Q814" t="str">
            <v xml:space="preserve"> </v>
          </cell>
          <cell r="T814" t="str">
            <v>ﾆﾁﾒﾝ</v>
          </cell>
          <cell r="V814" t="str">
            <v>75</v>
          </cell>
        </row>
        <row r="815">
          <cell r="B815" t="str">
            <v>8021</v>
          </cell>
          <cell r="C815" t="str">
            <v>#</v>
          </cell>
          <cell r="D815" t="str">
            <v>(株)富士ｲﾝﾀﾞｽﾄﾘｰｽﾞ</v>
          </cell>
          <cell r="F815" t="str">
            <v>取締役社長</v>
          </cell>
          <cell r="G815" t="str">
            <v>吉川  正孝</v>
          </cell>
          <cell r="H815">
            <v>99</v>
          </cell>
          <cell r="I815">
            <v>86</v>
          </cell>
          <cell r="J815" t="str">
            <v>650</v>
          </cell>
          <cell r="K815" t="str">
            <v>神戸市中央区海岸通2-2-3</v>
          </cell>
          <cell r="L815" t="str">
            <v>東和ビル</v>
          </cell>
          <cell r="M815" t="str">
            <v>078-331-2521</v>
          </cell>
          <cell r="N815" t="str">
            <v>/</v>
          </cell>
          <cell r="O815" t="str">
            <v>鋳造設備</v>
          </cell>
          <cell r="Q815" t="str">
            <v xml:space="preserve"> </v>
          </cell>
          <cell r="T815" t="str">
            <v>ﾌｼﾞｲﾝﾀﾞｽﾄﾘｰｽﾞ</v>
          </cell>
          <cell r="V815" t="str">
            <v>30</v>
          </cell>
        </row>
        <row r="816">
          <cell r="B816" t="str">
            <v>8021</v>
          </cell>
          <cell r="C816" t="str">
            <v>A</v>
          </cell>
          <cell r="D816" t="str">
            <v>(株)富士インダストリーズ</v>
          </cell>
          <cell r="E816" t="str">
            <v>東京支社</v>
          </cell>
          <cell r="J816" t="str">
            <v>105</v>
          </cell>
          <cell r="K816" t="str">
            <v>港区新橋2-20-15</v>
          </cell>
          <cell r="L816" t="str">
            <v>新橋駅前ビル1号館3F</v>
          </cell>
          <cell r="M816" t="str">
            <v>03-5568-5413</v>
          </cell>
          <cell r="N816" t="str">
            <v>/</v>
          </cell>
          <cell r="O816" t="str">
            <v>鋳造設備</v>
          </cell>
          <cell r="Q816" t="str">
            <v xml:space="preserve"> </v>
          </cell>
          <cell r="T816" t="str">
            <v>ﾌｼﾞｲﾝﾀﾞｽﾄﾘｰｽﾞ</v>
          </cell>
          <cell r="V816" t="str">
            <v>30</v>
          </cell>
        </row>
        <row r="817">
          <cell r="B817" t="str">
            <v>8022</v>
          </cell>
          <cell r="C817" t="str">
            <v>#</v>
          </cell>
          <cell r="D817" t="str">
            <v>神奈川リコー(株)</v>
          </cell>
          <cell r="F817" t="str">
            <v>取締役社長</v>
          </cell>
          <cell r="G817" t="str">
            <v>浜田　広</v>
          </cell>
          <cell r="H817">
            <v>19094</v>
          </cell>
          <cell r="I817">
            <v>9680</v>
          </cell>
          <cell r="J817" t="str">
            <v>220</v>
          </cell>
          <cell r="K817" t="str">
            <v>横浜市西区北幸2-9-3</v>
          </cell>
          <cell r="L817" t="str">
            <v>リコービル</v>
          </cell>
          <cell r="M817" t="str">
            <v>045-314-1511</v>
          </cell>
          <cell r="N817" t="str">
            <v>/</v>
          </cell>
          <cell r="O817" t="str">
            <v>リコピー・オフセット</v>
          </cell>
          <cell r="Q817" t="str">
            <v xml:space="preserve"> </v>
          </cell>
          <cell r="T817" t="str">
            <v>ｶﾅｶﾞﾜﾘｺｰ</v>
          </cell>
          <cell r="V817" t="str">
            <v>30</v>
          </cell>
        </row>
        <row r="818">
          <cell r="B818" t="str">
            <v>8022</v>
          </cell>
          <cell r="C818" t="str">
            <v>A</v>
          </cell>
          <cell r="D818" t="str">
            <v>神奈川リコー(株)</v>
          </cell>
          <cell r="E818" t="str">
            <v>MA営業部NMA一課</v>
          </cell>
          <cell r="J818" t="str">
            <v>210</v>
          </cell>
          <cell r="K818" t="str">
            <v>川崎市幸区南幸町3-12-4</v>
          </cell>
          <cell r="L818" t="str">
            <v/>
          </cell>
          <cell r="M818" t="str">
            <v>044-511-5522</v>
          </cell>
          <cell r="N818" t="str">
            <v>/522-5119</v>
          </cell>
          <cell r="O818" t="str">
            <v>感光紙</v>
          </cell>
          <cell r="Q818" t="str">
            <v xml:space="preserve"> </v>
          </cell>
          <cell r="T818" t="str">
            <v>ｶﾅｶﾞﾜﾘｺｰ</v>
          </cell>
          <cell r="V818" t="str">
            <v>30</v>
          </cell>
        </row>
        <row r="819">
          <cell r="B819" t="str">
            <v>8027</v>
          </cell>
          <cell r="C819" t="str">
            <v>#</v>
          </cell>
          <cell r="D819" t="str">
            <v>ﾆﾄﾏｯｸ･ｲｰｱｰﾙ(株)</v>
          </cell>
          <cell r="F819" t="str">
            <v>代表取締役</v>
          </cell>
          <cell r="G819" t="str">
            <v>高橋　修三</v>
          </cell>
          <cell r="H819">
            <v>10</v>
          </cell>
          <cell r="I819">
            <v>7</v>
          </cell>
          <cell r="J819" t="str">
            <v>187</v>
          </cell>
          <cell r="K819" t="str">
            <v>小平市回田町242-5</v>
          </cell>
          <cell r="L819" t="str">
            <v/>
          </cell>
          <cell r="M819" t="str">
            <v>0423-25-6306</v>
          </cell>
          <cell r="N819" t="str">
            <v>/25-6835</v>
          </cell>
          <cell r="O819" t="str">
            <v>フェィスドライバー・チャック 作業切削工具</v>
          </cell>
          <cell r="Q819" t="str">
            <v xml:space="preserve"> </v>
          </cell>
          <cell r="T819" t="str">
            <v>ﾆﾄﾏｯｸ･ｲｰｱｰﾙ</v>
          </cell>
          <cell r="V819" t="str">
            <v>30</v>
          </cell>
        </row>
        <row r="820">
          <cell r="B820" t="str">
            <v>8043</v>
          </cell>
          <cell r="C820" t="str">
            <v>#</v>
          </cell>
          <cell r="D820" t="str">
            <v>松下ｲﾝﾀｰﾃｸﾉ(株)</v>
          </cell>
          <cell r="F820" t="str">
            <v>代表取締役社長</v>
          </cell>
          <cell r="G820" t="str">
            <v>岡    哲也</v>
          </cell>
          <cell r="H820">
            <v>100</v>
          </cell>
          <cell r="I820">
            <v>172</v>
          </cell>
          <cell r="J820" t="str">
            <v>141</v>
          </cell>
          <cell r="K820" t="str">
            <v>品川区西五反田8-9-5</v>
          </cell>
          <cell r="L820" t="str">
            <v xml:space="preserve"> </v>
          </cell>
          <cell r="M820" t="str">
            <v>03-3779-8672</v>
          </cell>
          <cell r="N820" t="str">
            <v>/3779-8690</v>
          </cell>
          <cell r="O820" t="str">
            <v>騒音計･振動計</v>
          </cell>
          <cell r="Q820" t="str">
            <v xml:space="preserve"> </v>
          </cell>
          <cell r="R820" t="str">
            <v>□</v>
          </cell>
          <cell r="T820" t="str">
            <v>ﾏﾂｼﾀｲﾝﾀｰﾃｸﾉ</v>
          </cell>
          <cell r="V820" t="str">
            <v>30</v>
          </cell>
        </row>
        <row r="821">
          <cell r="B821" t="str">
            <v>8044</v>
          </cell>
          <cell r="C821" t="str">
            <v>#</v>
          </cell>
          <cell r="D821" t="str">
            <v>エンシュウ(株)</v>
          </cell>
          <cell r="F821" t="str">
            <v>取締役社長</v>
          </cell>
          <cell r="G821" t="str">
            <v>稲垣　元</v>
          </cell>
          <cell r="H821">
            <v>2390</v>
          </cell>
          <cell r="I821">
            <v>1376</v>
          </cell>
          <cell r="J821" t="str">
            <v>432</v>
          </cell>
          <cell r="K821" t="str">
            <v>浜松市高塚町4888</v>
          </cell>
          <cell r="L821" t="str">
            <v xml:space="preserve"> </v>
          </cell>
          <cell r="M821" t="str">
            <v>053-447-2111</v>
          </cell>
          <cell r="N821" t="str">
            <v>/</v>
          </cell>
          <cell r="O821" t="str">
            <v>トランスファーマシン</v>
          </cell>
          <cell r="Q821" t="str">
            <v xml:space="preserve"> </v>
          </cell>
          <cell r="T821" t="str">
            <v>ｴﾝｼｭｳ</v>
          </cell>
          <cell r="V821" t="str">
            <v>30</v>
          </cell>
        </row>
        <row r="822">
          <cell r="B822" t="str">
            <v>8044</v>
          </cell>
          <cell r="C822" t="str">
            <v>A</v>
          </cell>
          <cell r="D822" t="str">
            <v>エンシュウ(株)</v>
          </cell>
          <cell r="E822" t="str">
            <v>ｸﾛｽ事業所営業部</v>
          </cell>
          <cell r="F822" t="str">
            <v>常務取締役</v>
          </cell>
          <cell r="G822" t="str">
            <v>坂東　雄史郎</v>
          </cell>
          <cell r="J822" t="str">
            <v>434</v>
          </cell>
          <cell r="K822" t="str">
            <v>浜北市根堅788</v>
          </cell>
          <cell r="L822" t="str">
            <v xml:space="preserve"> </v>
          </cell>
          <cell r="M822" t="str">
            <v>053-588-0213</v>
          </cell>
          <cell r="N822" t="str">
            <v>/588-2851</v>
          </cell>
          <cell r="O822" t="str">
            <v>ﾀﾞｲｱﾙﾏｼﾝ</v>
          </cell>
          <cell r="Q822" t="str">
            <v xml:space="preserve"> </v>
          </cell>
          <cell r="T822" t="str">
            <v>ｴﾝｼｭｳ</v>
          </cell>
          <cell r="V822" t="str">
            <v>30</v>
          </cell>
        </row>
        <row r="823">
          <cell r="B823" t="str">
            <v>8045</v>
          </cell>
          <cell r="C823" t="str">
            <v>#</v>
          </cell>
          <cell r="D823" t="str">
            <v>千代田化工建設(株)</v>
          </cell>
          <cell r="F823" t="str">
            <v>代表取締役社長</v>
          </cell>
          <cell r="G823" t="str">
            <v>相原  正明</v>
          </cell>
          <cell r="H823">
            <v>100</v>
          </cell>
          <cell r="I823">
            <v>2931</v>
          </cell>
          <cell r="J823" t="str">
            <v>230</v>
          </cell>
          <cell r="K823" t="str">
            <v>横浜市鶴見区鶴見中央2-12-1</v>
          </cell>
          <cell r="L823" t="str">
            <v xml:space="preserve"> </v>
          </cell>
          <cell r="M823" t="str">
            <v>045-441-9060</v>
          </cell>
          <cell r="N823" t="str">
            <v>/441-9065</v>
          </cell>
          <cell r="O823" t="str">
            <v>設備の据付,設計</v>
          </cell>
          <cell r="Q823" t="str">
            <v xml:space="preserve"> </v>
          </cell>
          <cell r="R823" t="str">
            <v>□</v>
          </cell>
          <cell r="T823" t="str">
            <v>ﾁﾖﾀﾞｶｺｳｹﾝｾﾂ</v>
          </cell>
          <cell r="V823" t="str">
            <v>30</v>
          </cell>
        </row>
        <row r="824">
          <cell r="B824" t="str">
            <v>8046</v>
          </cell>
          <cell r="C824" t="str">
            <v>#</v>
          </cell>
          <cell r="D824" t="str">
            <v>月島プラステック(株)</v>
          </cell>
          <cell r="F824" t="str">
            <v>取締役社長</v>
          </cell>
          <cell r="G824" t="str">
            <v>石村  進</v>
          </cell>
          <cell r="H824" t="str">
            <v>30</v>
          </cell>
          <cell r="I824" t="str">
            <v>24</v>
          </cell>
          <cell r="J824" t="str">
            <v>104</v>
          </cell>
          <cell r="K824" t="str">
            <v>中央区月島1-8-3</v>
          </cell>
          <cell r="L824" t="str">
            <v xml:space="preserve"> </v>
          </cell>
          <cell r="M824" t="str">
            <v>03-5560-3511</v>
          </cell>
          <cell r="N824" t="str">
            <v>/5560-3516</v>
          </cell>
          <cell r="O824" t="str">
            <v>樹脂成形加工装置</v>
          </cell>
          <cell r="T824" t="str">
            <v>ﾂｷｼﾏﾌﾟﾗｽﾃｯｸ</v>
          </cell>
          <cell r="V824" t="str">
            <v>30</v>
          </cell>
        </row>
        <row r="825">
          <cell r="B825" t="str">
            <v>8100</v>
          </cell>
          <cell r="C825" t="str">
            <v>#</v>
          </cell>
          <cell r="D825" t="str">
            <v>旭ダイヤモンド工業(株)</v>
          </cell>
          <cell r="F825" t="str">
            <v>取締役社長</v>
          </cell>
          <cell r="G825" t="str">
            <v>高瀬  満雄</v>
          </cell>
          <cell r="H825">
            <v>3881</v>
          </cell>
          <cell r="I825">
            <v>1030</v>
          </cell>
          <cell r="J825" t="str">
            <v>102</v>
          </cell>
          <cell r="K825" t="str">
            <v>千代田区紀尾井町4-1</v>
          </cell>
          <cell r="L825" t="str">
            <v>ﾆｭｰｵｰﾀﾆｶﾞｰﾃﾞﾝｺｰﾄ11F</v>
          </cell>
          <cell r="M825" t="str">
            <v>03-3222-6311</v>
          </cell>
          <cell r="N825" t="str">
            <v>/3222-6305</v>
          </cell>
          <cell r="O825" t="str">
            <v>ﾀﾞｲﾔﾓﾝﾄﾞ工具</v>
          </cell>
          <cell r="Q825" t="str">
            <v>◎</v>
          </cell>
          <cell r="R825" t="str">
            <v>□</v>
          </cell>
          <cell r="S825" t="str">
            <v>☆</v>
          </cell>
          <cell r="T825" t="str">
            <v>ｱｻﾋﾀﾞｲﾔﾓﾝﾄﾞｺｳｷﾞｮｳ</v>
          </cell>
          <cell r="V825" t="str">
            <v>30</v>
          </cell>
        </row>
        <row r="826">
          <cell r="B826" t="str">
            <v>8100</v>
          </cell>
          <cell r="C826" t="str">
            <v>A</v>
          </cell>
          <cell r="D826" t="str">
            <v>旭ダイヤモンド工業(株)</v>
          </cell>
          <cell r="E826" t="str">
            <v>東京第一営業部</v>
          </cell>
          <cell r="J826" t="str">
            <v>213</v>
          </cell>
          <cell r="K826" t="str">
            <v>川崎市高津区溝口60</v>
          </cell>
          <cell r="L826" t="str">
            <v>第一鈴勝ビル4F</v>
          </cell>
          <cell r="M826" t="str">
            <v>044-844-4388</v>
          </cell>
          <cell r="N826" t="str">
            <v>/844-4333</v>
          </cell>
          <cell r="T826" t="str">
            <v>ｱｻﾋﾀﾞｲﾔﾓﾝﾄﾞｺｳｷﾞｮｳ</v>
          </cell>
          <cell r="V826" t="str">
            <v>30</v>
          </cell>
        </row>
        <row r="827">
          <cell r="B827" t="str">
            <v>8101</v>
          </cell>
          <cell r="C827" t="str">
            <v>#</v>
          </cell>
          <cell r="D827" t="str">
            <v>(株)ｲｼｲｺｰﾎﾟﾚｰｼｮﾝ</v>
          </cell>
          <cell r="F827" t="str">
            <v>代表取締役</v>
          </cell>
          <cell r="G827" t="str">
            <v>伊倉  潔</v>
          </cell>
          <cell r="H827">
            <v>1398</v>
          </cell>
          <cell r="I827">
            <v>109</v>
          </cell>
          <cell r="J827" t="str">
            <v>104</v>
          </cell>
          <cell r="K827" t="str">
            <v>中央区銀座8-10-5</v>
          </cell>
          <cell r="L827" t="str">
            <v xml:space="preserve"> </v>
          </cell>
          <cell r="M827" t="str">
            <v>03-3573-4861</v>
          </cell>
          <cell r="N827" t="str">
            <v>/3573-4731</v>
          </cell>
          <cell r="O827" t="str">
            <v>ﾘｰﾏ・ﾄﾞﾘﾙ ｻｲﾄﾞｶｯﾀｰ</v>
          </cell>
          <cell r="P827" t="str">
            <v xml:space="preserve"> </v>
          </cell>
          <cell r="Q827" t="str">
            <v xml:space="preserve"> </v>
          </cell>
          <cell r="R827" t="str">
            <v xml:space="preserve"> </v>
          </cell>
          <cell r="T827" t="str">
            <v>KK ｲｼｲｺｰﾎﾟﾚｰｼｮﾝ</v>
          </cell>
          <cell r="U827" t="str">
            <v>h</v>
          </cell>
          <cell r="V827" t="str">
            <v>30</v>
          </cell>
        </row>
        <row r="828">
          <cell r="B828" t="str">
            <v>8102</v>
          </cell>
          <cell r="C828" t="str">
            <v>#</v>
          </cell>
          <cell r="D828" t="str">
            <v>(株)コガネイ</v>
          </cell>
          <cell r="F828" t="str">
            <v>取締役社長</v>
          </cell>
          <cell r="G828" t="str">
            <v>川俣  博昭</v>
          </cell>
          <cell r="H828" t="str">
            <v>570</v>
          </cell>
          <cell r="I828" t="str">
            <v>1100</v>
          </cell>
          <cell r="J828" t="str">
            <v>100</v>
          </cell>
          <cell r="K828" t="str">
            <v>千代田区丸の内3-2-3</v>
          </cell>
          <cell r="L828" t="str">
            <v>富士ビル</v>
          </cell>
          <cell r="M828" t="str">
            <v>03-3213-6561</v>
          </cell>
          <cell r="N828" t="str">
            <v>/</v>
          </cell>
          <cell r="O828" t="str">
            <v>切削工具</v>
          </cell>
          <cell r="Q828" t="str">
            <v xml:space="preserve"> </v>
          </cell>
          <cell r="T828" t="str">
            <v>ｺｶﾞﾈｲ</v>
          </cell>
          <cell r="V828" t="str">
            <v>30</v>
          </cell>
        </row>
        <row r="829">
          <cell r="B829" t="str">
            <v>8102</v>
          </cell>
          <cell r="C829" t="str">
            <v>A</v>
          </cell>
          <cell r="D829" t="str">
            <v>(株)コガネイ</v>
          </cell>
          <cell r="E829" t="str">
            <v>神奈川営業所</v>
          </cell>
          <cell r="J829" t="str">
            <v>242</v>
          </cell>
          <cell r="K829" t="str">
            <v>大和市下鶴間656-1</v>
          </cell>
          <cell r="L829" t="str">
            <v>つきみ野ｳｴｽﾄｳｨﾝﾄﾞ3F</v>
          </cell>
          <cell r="M829" t="str">
            <v>0462-72-7131</v>
          </cell>
          <cell r="N829" t="str">
            <v>/78-1297</v>
          </cell>
          <cell r="T829" t="str">
            <v>ｺｶﾞﾈｲ</v>
          </cell>
          <cell r="V829" t="str">
            <v>30</v>
          </cell>
        </row>
        <row r="830">
          <cell r="B830" t="str">
            <v>8103</v>
          </cell>
          <cell r="C830" t="str">
            <v>#</v>
          </cell>
          <cell r="D830" t="str">
            <v>三井金属鉱業(株)</v>
          </cell>
          <cell r="F830" t="str">
            <v>取締役社長</v>
          </cell>
          <cell r="G830" t="str">
            <v>宮村  眞平</v>
          </cell>
          <cell r="H830">
            <v>24300</v>
          </cell>
          <cell r="I830">
            <v>3305</v>
          </cell>
          <cell r="J830" t="str">
            <v>103</v>
          </cell>
          <cell r="K830" t="str">
            <v>中央区日本橋室町2-1-1</v>
          </cell>
          <cell r="L830" t="str">
            <v xml:space="preserve"> </v>
          </cell>
          <cell r="M830" t="str">
            <v>03-3246-8000</v>
          </cell>
          <cell r="N830" t="str">
            <v>/</v>
          </cell>
          <cell r="O830" t="str">
            <v>ドアロック</v>
          </cell>
          <cell r="Q830" t="str">
            <v>◎</v>
          </cell>
          <cell r="R830" t="str">
            <v>□</v>
          </cell>
          <cell r="S830" t="str">
            <v>☆</v>
          </cell>
          <cell r="T830" t="str">
            <v>ﾐﾂｲｷﾝｿﾞｸｺｳｷﾞｮｳ</v>
          </cell>
          <cell r="V830" t="str">
            <v>62</v>
          </cell>
        </row>
        <row r="831">
          <cell r="B831" t="str">
            <v>8103</v>
          </cell>
          <cell r="C831" t="str">
            <v>B</v>
          </cell>
          <cell r="D831" t="str">
            <v>三井金属鉱業(株)</v>
          </cell>
          <cell r="E831" t="str">
            <v>部品加工事業本部</v>
          </cell>
          <cell r="F831" t="str">
            <v>自動車機器事業部長</v>
          </cell>
          <cell r="G831" t="str">
            <v>國光  史朗</v>
          </cell>
          <cell r="J831" t="str">
            <v>192</v>
          </cell>
          <cell r="K831" t="str">
            <v>八王子市明神町4-7-14</v>
          </cell>
          <cell r="L831" t="str">
            <v>八王子ONﾋﾞﾙ6F</v>
          </cell>
          <cell r="M831" t="str">
            <v>0426-48-8400</v>
          </cell>
          <cell r="N831" t="str">
            <v>/48-8406</v>
          </cell>
          <cell r="O831" t="str">
            <v>ドアロック</v>
          </cell>
          <cell r="Q831" t="str">
            <v xml:space="preserve"> </v>
          </cell>
          <cell r="T831" t="str">
            <v>ﾐﾂｲｷﾝｿﾞｸｺｳｷﾞｮｳ</v>
          </cell>
          <cell r="V831" t="str">
            <v>62</v>
          </cell>
        </row>
        <row r="832">
          <cell r="B832" t="str">
            <v>8104</v>
          </cell>
          <cell r="C832" t="str">
            <v>#</v>
          </cell>
          <cell r="D832" t="str">
            <v>(株)ﾉﾘﾀｹｶﾝﾊﾟﾆｰﾘﾐﾃﾄﾞ</v>
          </cell>
          <cell r="F832" t="str">
            <v>代表取締役社長</v>
          </cell>
          <cell r="G832" t="str">
            <v>日野  哲也</v>
          </cell>
          <cell r="H832">
            <v>10302</v>
          </cell>
          <cell r="I832">
            <v>2166</v>
          </cell>
          <cell r="J832" t="str">
            <v>451</v>
          </cell>
          <cell r="K832" t="str">
            <v>名古屋市西区則武新町3-1-36</v>
          </cell>
          <cell r="L832" t="str">
            <v xml:space="preserve"> </v>
          </cell>
          <cell r="M832" t="str">
            <v>052-561-7111</v>
          </cell>
          <cell r="N832" t="str">
            <v>/</v>
          </cell>
          <cell r="O832" t="str">
            <v>研削砥石・機械</v>
          </cell>
          <cell r="Q832" t="str">
            <v>◎</v>
          </cell>
          <cell r="R832" t="str">
            <v>□</v>
          </cell>
          <cell r="S832" t="str">
            <v>☆</v>
          </cell>
          <cell r="T832" t="str">
            <v>ﾉﾘﾀｹｶﾝﾊﾟﾆｰﾘﾐﾃﾄﾞ</v>
          </cell>
          <cell r="V832" t="str">
            <v>30</v>
          </cell>
        </row>
        <row r="833">
          <cell r="B833" t="str">
            <v>8104</v>
          </cell>
          <cell r="C833" t="str">
            <v>A</v>
          </cell>
          <cell r="D833" t="str">
            <v>(株)ﾉﾘﾀｹｶﾝﾊﾟﾆｰﾘﾐﾃﾄﾞ</v>
          </cell>
          <cell r="E833" t="str">
            <v>川崎出張所</v>
          </cell>
          <cell r="F833" t="str">
            <v>所長</v>
          </cell>
          <cell r="G833" t="str">
            <v>村田  真澄</v>
          </cell>
          <cell r="J833" t="str">
            <v>210</v>
          </cell>
          <cell r="K833" t="str">
            <v>川崎市川崎区境町15-19</v>
          </cell>
          <cell r="L833" t="str">
            <v xml:space="preserve"> </v>
          </cell>
          <cell r="M833" t="str">
            <v>044-233-0148</v>
          </cell>
          <cell r="N833" t="str">
            <v>/222-6919</v>
          </cell>
          <cell r="O833" t="str">
            <v>研削布紙</v>
          </cell>
          <cell r="Q833" t="str">
            <v xml:space="preserve"> </v>
          </cell>
          <cell r="T833" t="str">
            <v>ﾉﾘﾀｹｶﾝﾊﾟﾆｰﾘﾐﾃﾄﾞ</v>
          </cell>
          <cell r="V833" t="str">
            <v>30</v>
          </cell>
        </row>
        <row r="834">
          <cell r="B834" t="str">
            <v>8107</v>
          </cell>
          <cell r="C834" t="str">
            <v>#</v>
          </cell>
          <cell r="D834" t="str">
            <v>東京精工(株)</v>
          </cell>
          <cell r="F834" t="str">
            <v>代表取締役</v>
          </cell>
          <cell r="G834" t="str">
            <v>五十嵐　喜裕</v>
          </cell>
          <cell r="H834">
            <v>20</v>
          </cell>
          <cell r="I834">
            <v>28</v>
          </cell>
          <cell r="J834" t="str">
            <v>222</v>
          </cell>
          <cell r="K834" t="str">
            <v>横浜市港北区小机町2442</v>
          </cell>
          <cell r="L834" t="str">
            <v xml:space="preserve"> </v>
          </cell>
          <cell r="M834" t="str">
            <v>045-471-6361</v>
          </cell>
          <cell r="N834" t="str">
            <v>/471-7671</v>
          </cell>
          <cell r="O834" t="str">
            <v>超硬切削工具</v>
          </cell>
          <cell r="Q834" t="str">
            <v>◎</v>
          </cell>
          <cell r="R834" t="str">
            <v>□</v>
          </cell>
          <cell r="S834" t="str">
            <v>☆</v>
          </cell>
          <cell r="T834" t="str">
            <v>ﾄｳｷｮｳｾｲｺｳ</v>
          </cell>
          <cell r="V834" t="str">
            <v>30</v>
          </cell>
        </row>
        <row r="835">
          <cell r="B835" t="str">
            <v>8108</v>
          </cell>
          <cell r="C835" t="str">
            <v>#</v>
          </cell>
          <cell r="D835" t="str">
            <v>東芝タンガロイ(株)</v>
          </cell>
          <cell r="F835" t="str">
            <v>取締役社長</v>
          </cell>
          <cell r="G835" t="str">
            <v>星野  晋次</v>
          </cell>
          <cell r="H835">
            <v>10455</v>
          </cell>
          <cell r="I835">
            <v>1302</v>
          </cell>
          <cell r="J835" t="str">
            <v>210</v>
          </cell>
          <cell r="K835" t="str">
            <v>川崎市幸区堀川町580</v>
          </cell>
          <cell r="L835" t="str">
            <v>ソリッドスクエア</v>
          </cell>
          <cell r="M835" t="str">
            <v>044-548-9500</v>
          </cell>
          <cell r="N835" t="str">
            <v>/</v>
          </cell>
          <cell r="O835" t="str">
            <v>超硬工具</v>
          </cell>
          <cell r="Q835" t="str">
            <v>◎</v>
          </cell>
          <cell r="R835" t="str">
            <v>□</v>
          </cell>
          <cell r="S835" t="str">
            <v>☆</v>
          </cell>
          <cell r="T835" t="str">
            <v>ﾄｳｼﾊﾞﾀﾝｶﾞﾛｲ</v>
          </cell>
          <cell r="V835" t="str">
            <v>30</v>
          </cell>
        </row>
        <row r="836">
          <cell r="B836" t="str">
            <v>8108</v>
          </cell>
          <cell r="C836" t="str">
            <v>A</v>
          </cell>
          <cell r="D836" t="str">
            <v>東芝タンガロイ(株)</v>
          </cell>
          <cell r="E836" t="str">
            <v>京浜第二営業所</v>
          </cell>
          <cell r="J836" t="str">
            <v>211</v>
          </cell>
          <cell r="K836" t="str">
            <v>川崎市幸区北加瀬2-1-50</v>
          </cell>
          <cell r="L836" t="str">
            <v>国際新川崎ビル</v>
          </cell>
          <cell r="M836" t="str">
            <v>044-587-2553</v>
          </cell>
          <cell r="N836" t="str">
            <v>/587-2582</v>
          </cell>
          <cell r="T836" t="str">
            <v>ﾄｳｼﾊﾞﾀﾝｶﾞﾛｲ</v>
          </cell>
          <cell r="V836" t="str">
            <v>30</v>
          </cell>
        </row>
        <row r="837">
          <cell r="B837" t="str">
            <v>8112</v>
          </cell>
          <cell r="C837" t="str">
            <v>#</v>
          </cell>
          <cell r="D837" t="str">
            <v>日精(株)</v>
          </cell>
          <cell r="F837" t="str">
            <v>取締役社長</v>
          </cell>
          <cell r="G837" t="str">
            <v>天野　勝伸</v>
          </cell>
          <cell r="H837">
            <v>60</v>
          </cell>
          <cell r="I837">
            <v>396</v>
          </cell>
          <cell r="J837" t="str">
            <v>105</v>
          </cell>
          <cell r="K837" t="str">
            <v>港区芝西新橋1-18-17</v>
          </cell>
          <cell r="L837" t="str">
            <v>明産ビル</v>
          </cell>
          <cell r="M837" t="str">
            <v>03-3502-9575</v>
          </cell>
          <cell r="N837" t="str">
            <v>/3502-5512</v>
          </cell>
          <cell r="O837" t="str">
            <v>トランスリフト</v>
          </cell>
          <cell r="Q837" t="str">
            <v xml:space="preserve"> </v>
          </cell>
          <cell r="R837" t="str">
            <v>□</v>
          </cell>
          <cell r="T837" t="str">
            <v>ﾆｯｾｲ</v>
          </cell>
          <cell r="V837" t="str">
            <v>30</v>
          </cell>
        </row>
        <row r="838">
          <cell r="B838" t="str">
            <v>8114</v>
          </cell>
          <cell r="C838" t="str">
            <v>#</v>
          </cell>
          <cell r="D838" t="str">
            <v>(株)ﾕｰﾃﾑﾌﾟﾚｼｼﾞｮﾝ</v>
          </cell>
          <cell r="F838" t="str">
            <v>取締役社長</v>
          </cell>
          <cell r="G838" t="str">
            <v>斉藤　文司</v>
          </cell>
          <cell r="H838">
            <v>88</v>
          </cell>
          <cell r="I838">
            <v>200</v>
          </cell>
          <cell r="J838" t="str">
            <v>228</v>
          </cell>
          <cell r="K838" t="str">
            <v>座間市ひばりが丘4-6291-1</v>
          </cell>
          <cell r="L838" t="str">
            <v/>
          </cell>
          <cell r="M838" t="str">
            <v>0462-51-8211</v>
          </cell>
          <cell r="N838" t="str">
            <v>/56-9131</v>
          </cell>
          <cell r="O838" t="str">
            <v>切削工具</v>
          </cell>
          <cell r="Q838" t="str">
            <v>◎</v>
          </cell>
          <cell r="R838" t="str">
            <v>□</v>
          </cell>
          <cell r="S838" t="str">
            <v>☆</v>
          </cell>
          <cell r="T838" t="str">
            <v>ﾕｰﾃﾑﾌﾟﾚｼｼﾞｮﾝ</v>
          </cell>
          <cell r="V838" t="str">
            <v>30</v>
          </cell>
        </row>
        <row r="839">
          <cell r="B839" t="str">
            <v>8116</v>
          </cell>
          <cell r="C839" t="str">
            <v>#</v>
          </cell>
          <cell r="D839" t="str">
            <v>(株)東陽テクニカ</v>
          </cell>
          <cell r="F839" t="str">
            <v>代表取締役社長</v>
          </cell>
          <cell r="G839" t="str">
            <v>湯本  倖三</v>
          </cell>
          <cell r="H839">
            <v>4158</v>
          </cell>
          <cell r="I839">
            <v>313</v>
          </cell>
          <cell r="J839" t="str">
            <v>103</v>
          </cell>
          <cell r="K839" t="str">
            <v>中央区日本橋本石町1-1-2</v>
          </cell>
          <cell r="L839" t="str">
            <v xml:space="preserve"> </v>
          </cell>
          <cell r="M839" t="str">
            <v>03-3279-0771</v>
          </cell>
          <cell r="N839" t="str">
            <v>/3246-0645</v>
          </cell>
          <cell r="O839" t="str">
            <v>ｴﾚｸﾄﾛﾆｸｽ関連機器</v>
          </cell>
          <cell r="Q839" t="str">
            <v xml:space="preserve"> </v>
          </cell>
          <cell r="T839" t="str">
            <v>ﾄｳﾖｳﾃｸﾆｶ</v>
          </cell>
          <cell r="V839" t="str">
            <v>30</v>
          </cell>
        </row>
        <row r="840">
          <cell r="B840" t="str">
            <v>8116</v>
          </cell>
          <cell r="C840" t="str">
            <v>A</v>
          </cell>
          <cell r="D840" t="str">
            <v>(株)東陽テクニカ</v>
          </cell>
          <cell r="E840" t="str">
            <v>横浜営業所</v>
          </cell>
          <cell r="J840" t="str">
            <v>220</v>
          </cell>
          <cell r="K840" t="str">
            <v>横浜市西区北幸町2-9-40</v>
          </cell>
          <cell r="L840" t="str">
            <v xml:space="preserve"> </v>
          </cell>
          <cell r="M840" t="str">
            <v>045-314-0781</v>
          </cell>
          <cell r="N840" t="str">
            <v>/314-0782</v>
          </cell>
          <cell r="T840" t="str">
            <v>ﾄｳﾖｳﾃｸﾆｶ</v>
          </cell>
          <cell r="V840" t="str">
            <v>30</v>
          </cell>
        </row>
        <row r="841">
          <cell r="B841" t="str">
            <v>8117</v>
          </cell>
          <cell r="C841" t="str">
            <v>#</v>
          </cell>
          <cell r="D841" t="str">
            <v>クレノートン(株)</v>
          </cell>
          <cell r="F841" t="str">
            <v>取締役社長</v>
          </cell>
          <cell r="G841" t="str">
            <v>高橋　督</v>
          </cell>
          <cell r="H841">
            <v>1627</v>
          </cell>
          <cell r="I841">
            <v>744</v>
          </cell>
          <cell r="J841" t="str">
            <v>737</v>
          </cell>
          <cell r="K841" t="str">
            <v>呉市吉浦新町5-9</v>
          </cell>
          <cell r="L841" t="str">
            <v xml:space="preserve"> </v>
          </cell>
          <cell r="M841" t="str">
            <v>0823-31-7171</v>
          </cell>
          <cell r="N841" t="str">
            <v>/</v>
          </cell>
          <cell r="O841" t="str">
            <v>人造研削砥石</v>
          </cell>
          <cell r="Q841" t="str">
            <v>◎</v>
          </cell>
          <cell r="R841" t="str">
            <v>□</v>
          </cell>
          <cell r="S841" t="str">
            <v>☆</v>
          </cell>
          <cell r="T841" t="str">
            <v>ｸﾚﾉｰﾄﾝ</v>
          </cell>
          <cell r="V841" t="str">
            <v>30</v>
          </cell>
        </row>
        <row r="842">
          <cell r="B842" t="str">
            <v>8117</v>
          </cell>
          <cell r="C842" t="str">
            <v>A</v>
          </cell>
          <cell r="D842" t="str">
            <v>クレノートン(株)</v>
          </cell>
          <cell r="E842" t="str">
            <v>東日本営業部</v>
          </cell>
          <cell r="F842" t="str">
            <v>所長</v>
          </cell>
          <cell r="G842" t="str">
            <v>竹内　常茂</v>
          </cell>
          <cell r="J842" t="str">
            <v>105</v>
          </cell>
          <cell r="K842" t="str">
            <v>港区芝浜松町2-1-5</v>
          </cell>
          <cell r="L842" t="str">
            <v xml:space="preserve"> </v>
          </cell>
          <cell r="M842" t="str">
            <v>03-3432-4111</v>
          </cell>
          <cell r="N842" t="str">
            <v>/5405-7417</v>
          </cell>
          <cell r="O842" t="str">
            <v>人造研削砥石</v>
          </cell>
          <cell r="Q842" t="str">
            <v xml:space="preserve"> </v>
          </cell>
          <cell r="T842" t="str">
            <v>ｸﾚﾉｰﾄﾝ</v>
          </cell>
          <cell r="V842" t="str">
            <v>30</v>
          </cell>
        </row>
        <row r="843">
          <cell r="B843" t="str">
            <v>8118</v>
          </cell>
          <cell r="C843" t="str">
            <v>#</v>
          </cell>
          <cell r="D843" t="str">
            <v>(株)琴工社</v>
          </cell>
          <cell r="F843" t="str">
            <v>代表取締役社長</v>
          </cell>
          <cell r="G843" t="str">
            <v>深沢　進</v>
          </cell>
          <cell r="H843">
            <v>10</v>
          </cell>
          <cell r="I843">
            <v>12</v>
          </cell>
          <cell r="J843" t="str">
            <v>105</v>
          </cell>
          <cell r="K843" t="str">
            <v>港区芝2-29-13</v>
          </cell>
          <cell r="L843" t="str">
            <v xml:space="preserve"> </v>
          </cell>
          <cell r="M843" t="str">
            <v>03-3455-1121</v>
          </cell>
          <cell r="N843" t="str">
            <v>/</v>
          </cell>
          <cell r="O843" t="str">
            <v>ファイバージスクバンドソー</v>
          </cell>
          <cell r="Q843" t="str">
            <v xml:space="preserve"> </v>
          </cell>
          <cell r="T843" t="str">
            <v>ｷﾝｺｳｼｬ</v>
          </cell>
          <cell r="V843" t="str">
            <v>30</v>
          </cell>
        </row>
        <row r="844">
          <cell r="B844" t="str">
            <v>8123</v>
          </cell>
          <cell r="C844" t="str">
            <v>#</v>
          </cell>
          <cell r="D844" t="str">
            <v>光和精工(株)</v>
          </cell>
          <cell r="F844" t="str">
            <v>代表取締役</v>
          </cell>
          <cell r="G844" t="str">
            <v>青木  彬</v>
          </cell>
          <cell r="H844">
            <v>50</v>
          </cell>
          <cell r="I844">
            <v>10</v>
          </cell>
          <cell r="J844" t="str">
            <v>166</v>
          </cell>
          <cell r="K844" t="str">
            <v>杉並区阿佐谷北4-20-7</v>
          </cell>
          <cell r="L844" t="str">
            <v xml:space="preserve"> </v>
          </cell>
          <cell r="M844" t="str">
            <v>03-3310-5511</v>
          </cell>
          <cell r="N844" t="str">
            <v>/3310-5515</v>
          </cell>
          <cell r="O844" t="str">
            <v>切削工具･作業工具</v>
          </cell>
          <cell r="Q844" t="str">
            <v xml:space="preserve"> </v>
          </cell>
          <cell r="R844" t="str">
            <v>□</v>
          </cell>
          <cell r="T844" t="str">
            <v>ｺｳﾜｾｲｺｳ</v>
          </cell>
          <cell r="V844" t="str">
            <v>30</v>
          </cell>
        </row>
        <row r="845">
          <cell r="B845" t="str">
            <v>8124</v>
          </cell>
          <cell r="C845" t="str">
            <v>#</v>
          </cell>
          <cell r="D845" t="str">
            <v>常盤産業(株)</v>
          </cell>
          <cell r="F845" t="str">
            <v>代表取締役</v>
          </cell>
          <cell r="G845" t="str">
            <v>高野　亮三</v>
          </cell>
          <cell r="H845">
            <v>45</v>
          </cell>
          <cell r="I845">
            <v>112</v>
          </cell>
          <cell r="J845" t="str">
            <v>105</v>
          </cell>
          <cell r="K845" t="str">
            <v>港区虎ノ門4-2-3</v>
          </cell>
          <cell r="L845" t="str">
            <v xml:space="preserve"> </v>
          </cell>
          <cell r="M845" t="str">
            <v>03-3437-1631</v>
          </cell>
          <cell r="N845" t="str">
            <v>/3437-1630</v>
          </cell>
          <cell r="O845" t="str">
            <v>治具,機械装置</v>
          </cell>
          <cell r="Q845" t="str">
            <v xml:space="preserve"> </v>
          </cell>
          <cell r="T845" t="str">
            <v>ﾄｷﾜｻﾝｷﾞｮｳ</v>
          </cell>
          <cell r="V845" t="str">
            <v>30</v>
          </cell>
        </row>
        <row r="846">
          <cell r="B846" t="str">
            <v>8125</v>
          </cell>
          <cell r="C846" t="str">
            <v>#</v>
          </cell>
          <cell r="D846" t="str">
            <v>東洋刃物(株)</v>
          </cell>
          <cell r="F846" t="str">
            <v>代表取締役</v>
          </cell>
          <cell r="G846" t="str">
            <v>小田　衛</v>
          </cell>
          <cell r="H846">
            <v>500</v>
          </cell>
          <cell r="I846">
            <v>506</v>
          </cell>
          <cell r="J846" t="str">
            <v>983</v>
          </cell>
          <cell r="K846" t="str">
            <v>仙台市宮城野区港4-15-1</v>
          </cell>
          <cell r="L846" t="str">
            <v xml:space="preserve"> </v>
          </cell>
          <cell r="M846" t="str">
            <v>0222-58-2233</v>
          </cell>
          <cell r="N846" t="str">
            <v>/</v>
          </cell>
          <cell r="O846" t="str">
            <v>機械刃物</v>
          </cell>
          <cell r="Q846" t="str">
            <v xml:space="preserve"> </v>
          </cell>
          <cell r="R846" t="str">
            <v>□</v>
          </cell>
          <cell r="T846" t="str">
            <v>ﾄｳﾖｳﾊﾓﾉ</v>
          </cell>
          <cell r="V846" t="str">
            <v>30</v>
          </cell>
        </row>
        <row r="847">
          <cell r="B847" t="str">
            <v>8125</v>
          </cell>
          <cell r="C847" t="str">
            <v>A</v>
          </cell>
          <cell r="D847" t="str">
            <v>東洋刃物(株)</v>
          </cell>
          <cell r="E847" t="str">
            <v>東京第二営業所</v>
          </cell>
          <cell r="F847" t="str">
            <v>所長</v>
          </cell>
          <cell r="G847" t="str">
            <v xml:space="preserve">矢田  義信 </v>
          </cell>
          <cell r="J847" t="str">
            <v>243</v>
          </cell>
          <cell r="K847" t="str">
            <v>厚木市中町3-11-5</v>
          </cell>
          <cell r="L847" t="str">
            <v xml:space="preserve"> </v>
          </cell>
          <cell r="M847" t="str">
            <v>0462-25-7778</v>
          </cell>
          <cell r="N847" t="str">
            <v>/25-3956</v>
          </cell>
          <cell r="O847" t="str">
            <v>機械刃物</v>
          </cell>
          <cell r="Q847" t="str">
            <v xml:space="preserve"> </v>
          </cell>
          <cell r="T847" t="str">
            <v>ﾄｳﾖｳﾊﾓﾉ</v>
          </cell>
          <cell r="V847" t="str">
            <v>30</v>
          </cell>
        </row>
        <row r="848">
          <cell r="B848" t="str">
            <v>8126</v>
          </cell>
          <cell r="C848" t="str">
            <v>#</v>
          </cell>
          <cell r="D848" t="str">
            <v>エラステック(株)</v>
          </cell>
          <cell r="F848" t="str">
            <v>代表取締役社長</v>
          </cell>
          <cell r="G848" t="str">
            <v>永見　隆幸</v>
          </cell>
          <cell r="H848">
            <v>130</v>
          </cell>
          <cell r="I848">
            <v>250</v>
          </cell>
          <cell r="J848" t="str">
            <v>444</v>
          </cell>
          <cell r="K848" t="str">
            <v>岡崎市岡町下野川1</v>
          </cell>
          <cell r="L848" t="str">
            <v xml:space="preserve"> </v>
          </cell>
          <cell r="M848" t="str">
            <v>0564-51-3571</v>
          </cell>
          <cell r="N848" t="str">
            <v>/</v>
          </cell>
          <cell r="O848" t="str">
            <v>研削砥石</v>
          </cell>
          <cell r="Q848" t="str">
            <v xml:space="preserve"> </v>
          </cell>
          <cell r="R848" t="str">
            <v>□</v>
          </cell>
          <cell r="T848" t="str">
            <v>ｴﾗｽﾃｨｯｸ</v>
          </cell>
          <cell r="V848" t="str">
            <v>30</v>
          </cell>
        </row>
        <row r="849">
          <cell r="B849" t="str">
            <v>8126</v>
          </cell>
          <cell r="C849" t="str">
            <v>A</v>
          </cell>
          <cell r="D849" t="str">
            <v>エラステック(株)</v>
          </cell>
          <cell r="E849" t="str">
            <v>横浜営業所</v>
          </cell>
          <cell r="F849" t="str">
            <v>所長</v>
          </cell>
          <cell r="G849" t="str">
            <v>斉藤　太紀雄</v>
          </cell>
          <cell r="J849" t="str">
            <v>220</v>
          </cell>
          <cell r="K849" t="str">
            <v>横浜市西区浅間町5-380-13</v>
          </cell>
          <cell r="L849" t="str">
            <v xml:space="preserve"> </v>
          </cell>
          <cell r="M849" t="str">
            <v>045-312-2781</v>
          </cell>
          <cell r="N849" t="str">
            <v>/312-2794</v>
          </cell>
          <cell r="O849" t="str">
            <v>研削砥石</v>
          </cell>
          <cell r="Q849" t="str">
            <v xml:space="preserve"> </v>
          </cell>
          <cell r="T849" t="str">
            <v>ｴﾗｽﾃｨｯｸ</v>
          </cell>
          <cell r="V849" t="str">
            <v>30</v>
          </cell>
        </row>
        <row r="850">
          <cell r="B850" t="str">
            <v>8132</v>
          </cell>
          <cell r="C850" t="str">
            <v>#</v>
          </cell>
          <cell r="D850" t="str">
            <v>富士精工(株)</v>
          </cell>
          <cell r="F850" t="str">
            <v>代表取締役</v>
          </cell>
          <cell r="G850" t="str">
            <v>森　　清</v>
          </cell>
          <cell r="H850">
            <v>125</v>
          </cell>
          <cell r="I850">
            <v>227</v>
          </cell>
          <cell r="J850" t="str">
            <v>473</v>
          </cell>
          <cell r="K850" t="str">
            <v>豊田市吉原町平子26</v>
          </cell>
          <cell r="L850" t="str">
            <v xml:space="preserve"> </v>
          </cell>
          <cell r="M850" t="str">
            <v>0565-53-6611</v>
          </cell>
          <cell r="N850" t="str">
            <v>/</v>
          </cell>
          <cell r="O850" t="str">
            <v>超硬切削工具</v>
          </cell>
          <cell r="Q850" t="str">
            <v xml:space="preserve"> </v>
          </cell>
          <cell r="R850" t="str">
            <v>□</v>
          </cell>
          <cell r="T850" t="str">
            <v>ﾌｼﾞｾｲｺｳ</v>
          </cell>
          <cell r="V850" t="str">
            <v>30</v>
          </cell>
        </row>
        <row r="851">
          <cell r="B851" t="str">
            <v>8132</v>
          </cell>
          <cell r="C851" t="str">
            <v>A</v>
          </cell>
          <cell r="D851" t="str">
            <v>富士精工(株)</v>
          </cell>
          <cell r="E851" t="str">
            <v>東京営業所</v>
          </cell>
          <cell r="F851" t="str">
            <v>所長</v>
          </cell>
          <cell r="G851" t="str">
            <v>藤田　圀仁</v>
          </cell>
          <cell r="J851" t="str">
            <v>243</v>
          </cell>
          <cell r="K851" t="str">
            <v>厚木市恩名尼寺原1649</v>
          </cell>
          <cell r="L851" t="str">
            <v xml:space="preserve"> </v>
          </cell>
          <cell r="M851" t="str">
            <v>0462-24-1441</v>
          </cell>
          <cell r="N851" t="str">
            <v>/24-2324</v>
          </cell>
          <cell r="O851" t="str">
            <v>超硬切削工具</v>
          </cell>
          <cell r="Q851" t="str">
            <v xml:space="preserve"> </v>
          </cell>
          <cell r="T851" t="str">
            <v>ﾌｼﾞｾｲｺｳ</v>
          </cell>
          <cell r="V851" t="str">
            <v>30</v>
          </cell>
        </row>
        <row r="852">
          <cell r="B852" t="str">
            <v>8134</v>
          </cell>
          <cell r="C852" t="str">
            <v>#</v>
          </cell>
          <cell r="D852" t="str">
            <v>岡部金属(株)</v>
          </cell>
          <cell r="F852" t="str">
            <v>代表取締役</v>
          </cell>
          <cell r="G852" t="str">
            <v>岡部　仲和</v>
          </cell>
          <cell r="H852">
            <v>10</v>
          </cell>
          <cell r="I852">
            <v>17</v>
          </cell>
          <cell r="J852" t="str">
            <v>140</v>
          </cell>
          <cell r="K852" t="str">
            <v>品川区南品川4-5-8</v>
          </cell>
          <cell r="L852" t="str">
            <v xml:space="preserve"> </v>
          </cell>
          <cell r="M852" t="str">
            <v>03-3474-5841</v>
          </cell>
          <cell r="N852" t="str">
            <v>/</v>
          </cell>
          <cell r="O852" t="str">
            <v>抵抗溶接用電極材</v>
          </cell>
          <cell r="Q852" t="str">
            <v xml:space="preserve"> </v>
          </cell>
          <cell r="R852" t="str">
            <v>□</v>
          </cell>
          <cell r="T852" t="str">
            <v>ｵｶﾍﾞｷﾝｿﾞｸ</v>
          </cell>
          <cell r="V852" t="str">
            <v>30</v>
          </cell>
        </row>
        <row r="853">
          <cell r="B853" t="str">
            <v>8135</v>
          </cell>
          <cell r="C853" t="str">
            <v>#</v>
          </cell>
          <cell r="D853" t="str">
            <v>ヨコタ工業(株)</v>
          </cell>
          <cell r="F853" t="str">
            <v>取締役社長</v>
          </cell>
          <cell r="G853" t="str">
            <v>横田　行徳</v>
          </cell>
          <cell r="H853">
            <v>10</v>
          </cell>
          <cell r="I853">
            <v>150</v>
          </cell>
          <cell r="J853" t="str">
            <v>578</v>
          </cell>
          <cell r="K853" t="str">
            <v>東大阪市西岩田3-5-55</v>
          </cell>
          <cell r="L853" t="str">
            <v xml:space="preserve"> </v>
          </cell>
          <cell r="M853" t="str">
            <v>06-788-1266</v>
          </cell>
          <cell r="N853" t="str">
            <v>/</v>
          </cell>
          <cell r="O853" t="str">
            <v>ｴｱｲﾝﾊﾟｸﾄﾚﾝﾁ</v>
          </cell>
          <cell r="Q853" t="str">
            <v xml:space="preserve"> </v>
          </cell>
          <cell r="R853" t="str">
            <v>□</v>
          </cell>
          <cell r="T853" t="str">
            <v>ﾖｺﾀｺｳｷﾞｮｳ</v>
          </cell>
          <cell r="V853" t="str">
            <v>30</v>
          </cell>
        </row>
        <row r="854">
          <cell r="B854" t="str">
            <v>8135</v>
          </cell>
          <cell r="C854" t="str">
            <v>A</v>
          </cell>
          <cell r="D854" t="str">
            <v>ヨコタ工業(株)</v>
          </cell>
          <cell r="E854" t="str">
            <v>東京営業所</v>
          </cell>
          <cell r="F854" t="str">
            <v>所長</v>
          </cell>
          <cell r="G854" t="str">
            <v>浦山　憲治</v>
          </cell>
          <cell r="J854" t="str">
            <v>143</v>
          </cell>
          <cell r="K854" t="str">
            <v>大田区大森北3-4-3</v>
          </cell>
          <cell r="L854" t="str">
            <v xml:space="preserve"> </v>
          </cell>
          <cell r="M854" t="str">
            <v>03-3762-6411</v>
          </cell>
          <cell r="N854" t="str">
            <v>/</v>
          </cell>
          <cell r="O854" t="str">
            <v>ｴｱｸﾞﾗｲﾝﾀﾞｰ､ｴｱﾄﾞﾗｲﾊﾞｰ</v>
          </cell>
          <cell r="Q854" t="str">
            <v xml:space="preserve"> </v>
          </cell>
          <cell r="T854" t="str">
            <v>ﾖｺﾀｺｳｷﾞｮｳ</v>
          </cell>
          <cell r="V854" t="str">
            <v>30</v>
          </cell>
        </row>
        <row r="855">
          <cell r="B855" t="str">
            <v>8136</v>
          </cell>
          <cell r="C855" t="str">
            <v>#</v>
          </cell>
          <cell r="D855" t="str">
            <v>中央精機(株)</v>
          </cell>
          <cell r="F855" t="str">
            <v>取締役社長</v>
          </cell>
          <cell r="G855" t="str">
            <v>森    敏夫</v>
          </cell>
          <cell r="H855">
            <v>36</v>
          </cell>
          <cell r="I855">
            <v>46</v>
          </cell>
          <cell r="J855" t="str">
            <v>577</v>
          </cell>
          <cell r="K855" t="str">
            <v>東大阪市長田西4-13</v>
          </cell>
          <cell r="L855" t="str">
            <v xml:space="preserve"> </v>
          </cell>
          <cell r="M855" t="str">
            <v xml:space="preserve">06-745-3631 </v>
          </cell>
          <cell r="N855" t="str">
            <v>/</v>
          </cell>
          <cell r="O855" t="str">
            <v>切削工具・マシンツール</v>
          </cell>
          <cell r="Q855" t="str">
            <v xml:space="preserve"> </v>
          </cell>
          <cell r="R855" t="str">
            <v>□</v>
          </cell>
          <cell r="T855" t="str">
            <v>ﾁｭｳｵｳｾｲｷ</v>
          </cell>
          <cell r="V855" t="str">
            <v>30</v>
          </cell>
        </row>
        <row r="856">
          <cell r="B856" t="str">
            <v>8136</v>
          </cell>
          <cell r="C856" t="str">
            <v>A</v>
          </cell>
          <cell r="D856" t="str">
            <v>中央精機(株)</v>
          </cell>
          <cell r="E856" t="str">
            <v>東京支店</v>
          </cell>
          <cell r="F856" t="str">
            <v>取締役支店長</v>
          </cell>
          <cell r="G856" t="str">
            <v>金沢　高雄</v>
          </cell>
          <cell r="J856" t="str">
            <v>143</v>
          </cell>
          <cell r="K856" t="str">
            <v>大田区大森北2-9-14</v>
          </cell>
          <cell r="L856" t="str">
            <v>二島ビル</v>
          </cell>
          <cell r="M856" t="str">
            <v>03-3765-1301</v>
          </cell>
          <cell r="N856" t="str">
            <v>/3768-2261</v>
          </cell>
          <cell r="O856" t="str">
            <v>切削工具・マシンツール</v>
          </cell>
          <cell r="Q856" t="str">
            <v xml:space="preserve"> </v>
          </cell>
          <cell r="T856" t="str">
            <v>ﾁｭｳｵｳｾｲｷ</v>
          </cell>
          <cell r="V856" t="str">
            <v>30</v>
          </cell>
        </row>
        <row r="857">
          <cell r="B857" t="str">
            <v>8137</v>
          </cell>
          <cell r="C857" t="str">
            <v>#</v>
          </cell>
          <cell r="D857" t="str">
            <v>鈴幸商事(株)</v>
          </cell>
          <cell r="F857" t="str">
            <v>代表取締役</v>
          </cell>
          <cell r="G857" t="str">
            <v>鈴木　常三郎</v>
          </cell>
          <cell r="H857">
            <v>42</v>
          </cell>
          <cell r="I857">
            <v>50</v>
          </cell>
          <cell r="J857" t="str">
            <v>231</v>
          </cell>
          <cell r="K857" t="str">
            <v>横浜市中区日出町1-52</v>
          </cell>
          <cell r="L857" t="str">
            <v xml:space="preserve"> </v>
          </cell>
          <cell r="M857" t="str">
            <v>045-755-0051</v>
          </cell>
          <cell r="N857" t="str">
            <v>/755-0065</v>
          </cell>
          <cell r="O857" t="str">
            <v>ｴｷｽﾊﾝﾏｰ､ﾜｲﾔｰﾛｰﾌﾟ</v>
          </cell>
          <cell r="Q857" t="str">
            <v xml:space="preserve"> </v>
          </cell>
          <cell r="T857" t="str">
            <v>ｽｽﾞｺｳｼｮｳｼﾞ?</v>
          </cell>
          <cell r="V857" t="str">
            <v>30</v>
          </cell>
        </row>
        <row r="858">
          <cell r="B858" t="str">
            <v>8138</v>
          </cell>
          <cell r="C858" t="str">
            <v>#</v>
          </cell>
          <cell r="D858" t="str">
            <v>ﾊﾞﾚﾅｲﾄ･ｳｨﾃﾞｨｱ ｼﾞｬﾊﾟﾝ(株)</v>
          </cell>
          <cell r="F858" t="str">
            <v>代表取締役</v>
          </cell>
          <cell r="G858" t="str">
            <v>木暮  敏明</v>
          </cell>
          <cell r="H858">
            <v>90</v>
          </cell>
          <cell r="I858">
            <v>100</v>
          </cell>
          <cell r="J858" t="str">
            <v>144</v>
          </cell>
          <cell r="K858" t="str">
            <v>大田区北糀谷1-21-10</v>
          </cell>
          <cell r="L858" t="str">
            <v xml:space="preserve"> </v>
          </cell>
          <cell r="M858" t="str">
            <v>03-3743-5711</v>
          </cell>
          <cell r="N858" t="str">
            <v>/3743-5710</v>
          </cell>
          <cell r="O858" t="str">
            <v>金属切削工具</v>
          </cell>
          <cell r="Q858" t="str">
            <v xml:space="preserve"> </v>
          </cell>
          <cell r="R858" t="str">
            <v>□</v>
          </cell>
          <cell r="T858" t="str">
            <v>ﾊﾞﾚﾅｲﾄ･ｳｨﾃﾞｨｱ ｼﾞｬﾊﾟﾝ(株)</v>
          </cell>
          <cell r="V858" t="str">
            <v>30</v>
          </cell>
        </row>
        <row r="859">
          <cell r="B859" t="str">
            <v>8138</v>
          </cell>
          <cell r="C859" t="str">
            <v>A</v>
          </cell>
          <cell r="D859" t="str">
            <v>ﾊﾞﾚﾅｲﾄ･ｳｨﾃﾞｨｱ ｼﾞｬﾊﾟﾝ(株)</v>
          </cell>
          <cell r="E859" t="str">
            <v>厚木営業所</v>
          </cell>
          <cell r="F859" t="str">
            <v>ｴﾘｱﾘｰﾀﾞｰ</v>
          </cell>
          <cell r="G859" t="str">
            <v>塚本  節夫</v>
          </cell>
          <cell r="J859" t="str">
            <v>243</v>
          </cell>
          <cell r="K859" t="str">
            <v>厚木市元町18-21</v>
          </cell>
          <cell r="L859" t="str">
            <v>ﾚｼﾞﾃﾞﾝｽ白鳥1F B</v>
          </cell>
          <cell r="M859" t="str">
            <v>0462-23-6781</v>
          </cell>
          <cell r="N859" t="str">
            <v>/23-6776</v>
          </cell>
          <cell r="T859" t="str">
            <v>ﾊﾞﾚﾅｲﾄ･ｳｨﾃﾞｨｱ ｼﾞｬﾊﾟﾝ(株)</v>
          </cell>
          <cell r="V859" t="str">
            <v>30</v>
          </cell>
        </row>
        <row r="860">
          <cell r="B860" t="str">
            <v>8139</v>
          </cell>
          <cell r="C860" t="str">
            <v>#</v>
          </cell>
          <cell r="D860" t="str">
            <v>高輪精機(株)</v>
          </cell>
          <cell r="F860" t="str">
            <v>代表取締役</v>
          </cell>
          <cell r="G860" t="str">
            <v>赤井　常治</v>
          </cell>
          <cell r="H860">
            <v>10</v>
          </cell>
          <cell r="I860">
            <v>16</v>
          </cell>
          <cell r="J860" t="str">
            <v>105</v>
          </cell>
          <cell r="K860" t="str">
            <v>港区芝大門2-10-2</v>
          </cell>
          <cell r="L860" t="str">
            <v xml:space="preserve"> </v>
          </cell>
          <cell r="M860" t="str">
            <v>03-3436-2037</v>
          </cell>
          <cell r="N860" t="str">
            <v>/</v>
          </cell>
          <cell r="O860" t="str">
            <v>歯切工具</v>
          </cell>
          <cell r="Q860" t="str">
            <v xml:space="preserve"> </v>
          </cell>
          <cell r="R860" t="str">
            <v>□</v>
          </cell>
          <cell r="T860" t="str">
            <v>ﾀｶﾅﾜｾｲｷ</v>
          </cell>
          <cell r="V860" t="str">
            <v>30</v>
          </cell>
        </row>
        <row r="861">
          <cell r="B861" t="str">
            <v>8140</v>
          </cell>
          <cell r="C861" t="str">
            <v>#</v>
          </cell>
          <cell r="D861" t="str">
            <v>富士ダイス(株)</v>
          </cell>
          <cell r="F861" t="str">
            <v>取締役社長</v>
          </cell>
          <cell r="G861" t="str">
            <v>新庄　鷹義</v>
          </cell>
          <cell r="H861">
            <v>96</v>
          </cell>
          <cell r="J861" t="str">
            <v>146</v>
          </cell>
          <cell r="K861" t="str">
            <v>大田区下丸子2-17-10</v>
          </cell>
          <cell r="L861" t="str">
            <v xml:space="preserve"> </v>
          </cell>
          <cell r="M861" t="str">
            <v>03-3759-7181</v>
          </cell>
          <cell r="N861" t="str">
            <v>/3756-1070</v>
          </cell>
          <cell r="O861" t="str">
            <v>切削工具</v>
          </cell>
          <cell r="Q861" t="str">
            <v xml:space="preserve"> </v>
          </cell>
          <cell r="T861" t="str">
            <v>ﾌｼﾞﾀﾞｲｽ</v>
          </cell>
          <cell r="V861" t="str">
            <v>30</v>
          </cell>
        </row>
        <row r="862">
          <cell r="B862" t="str">
            <v>8141</v>
          </cell>
          <cell r="C862" t="str">
            <v>#</v>
          </cell>
          <cell r="D862" t="str">
            <v>不二空機(株)</v>
          </cell>
          <cell r="F862" t="str">
            <v>代表取締役</v>
          </cell>
          <cell r="G862" t="str">
            <v>井上  棟義</v>
          </cell>
          <cell r="H862">
            <v>300</v>
          </cell>
          <cell r="I862">
            <v>181</v>
          </cell>
          <cell r="J862" t="str">
            <v>537</v>
          </cell>
          <cell r="K862" t="str">
            <v>東成区神路2-1-14</v>
          </cell>
          <cell r="L862" t="str">
            <v xml:space="preserve"> </v>
          </cell>
          <cell r="M862" t="str">
            <v>0462-62-0491</v>
          </cell>
          <cell r="N862" t="str">
            <v>/62-0420</v>
          </cell>
          <cell r="O862" t="str">
            <v>ｴｱｰﾂｰﾙ</v>
          </cell>
          <cell r="Q862" t="str">
            <v xml:space="preserve"> </v>
          </cell>
          <cell r="R862" t="str">
            <v>□</v>
          </cell>
          <cell r="T862" t="str">
            <v>ﾌｼﾞｸｳｷ</v>
          </cell>
          <cell r="V862" t="str">
            <v>30</v>
          </cell>
        </row>
        <row r="863">
          <cell r="B863" t="str">
            <v>8142</v>
          </cell>
          <cell r="C863" t="str">
            <v>#</v>
          </cell>
          <cell r="D863" t="str">
            <v>(株)テーエムシー</v>
          </cell>
          <cell r="F863" t="str">
            <v>代表取締役</v>
          </cell>
          <cell r="G863" t="str">
            <v>目黒  正三</v>
          </cell>
          <cell r="H863">
            <v>10</v>
          </cell>
          <cell r="I863">
            <v>7</v>
          </cell>
          <cell r="J863" t="str">
            <v>229</v>
          </cell>
          <cell r="K863" t="str">
            <v>相模原市上溝3812</v>
          </cell>
          <cell r="L863" t="str">
            <v xml:space="preserve"> </v>
          </cell>
          <cell r="M863" t="str">
            <v>0427-61-5321</v>
          </cell>
          <cell r="N863" t="str">
            <v>/61-5323</v>
          </cell>
          <cell r="O863" t="str">
            <v>一般工具･物流･省力機器</v>
          </cell>
          <cell r="Q863" t="str">
            <v xml:space="preserve"> </v>
          </cell>
          <cell r="R863" t="str">
            <v>□</v>
          </cell>
          <cell r="S863" t="str">
            <v>☆</v>
          </cell>
          <cell r="T863" t="str">
            <v>ﾃｰｴﾑｼｰ</v>
          </cell>
          <cell r="V863" t="str">
            <v>30</v>
          </cell>
        </row>
        <row r="864">
          <cell r="B864" t="str">
            <v>8200</v>
          </cell>
          <cell r="C864" t="str">
            <v>#</v>
          </cell>
          <cell r="D864" t="str">
            <v>安全自動車(株)</v>
          </cell>
          <cell r="F864" t="str">
            <v>代表取締役</v>
          </cell>
          <cell r="G864" t="str">
            <v>中谷　良平</v>
          </cell>
          <cell r="H864">
            <v>100</v>
          </cell>
          <cell r="I864">
            <v>312</v>
          </cell>
          <cell r="J864" t="str">
            <v>107</v>
          </cell>
          <cell r="K864" t="str">
            <v>港区元赤坂1-6-2</v>
          </cell>
          <cell r="L864" t="str">
            <v xml:space="preserve"> </v>
          </cell>
          <cell r="M864" t="str">
            <v>03-3404-6363</v>
          </cell>
          <cell r="N864" t="str">
            <v>/3404-6002</v>
          </cell>
          <cell r="O864" t="str">
            <v>機械整備工具類</v>
          </cell>
          <cell r="Q864" t="str">
            <v xml:space="preserve"> </v>
          </cell>
          <cell r="R864" t="str">
            <v>□</v>
          </cell>
          <cell r="T864" t="str">
            <v>ｱﾝｾﾞﾝｼﾞﾄﾞｳｼｬ</v>
          </cell>
          <cell r="V864" t="str">
            <v>30</v>
          </cell>
        </row>
        <row r="865">
          <cell r="B865" t="str">
            <v>8201</v>
          </cell>
          <cell r="C865" t="str">
            <v>#</v>
          </cell>
          <cell r="D865" t="str">
            <v>(株)朝比奈時計店</v>
          </cell>
          <cell r="F865" t="str">
            <v>取締役社長</v>
          </cell>
          <cell r="G865" t="str">
            <v>朝比奈　瑛</v>
          </cell>
          <cell r="H865">
            <v>20</v>
          </cell>
          <cell r="I865">
            <v>24</v>
          </cell>
          <cell r="J865" t="str">
            <v>143</v>
          </cell>
          <cell r="K865" t="str">
            <v>大田区山王3-30-6</v>
          </cell>
          <cell r="L865" t="str">
            <v xml:space="preserve"> </v>
          </cell>
          <cell r="M865" t="str">
            <v>03-3777-2111</v>
          </cell>
          <cell r="N865" t="str">
            <v>/3777-3993</v>
          </cell>
          <cell r="O865" t="str">
            <v>時計･記念品　他</v>
          </cell>
          <cell r="Q865" t="str">
            <v xml:space="preserve"> </v>
          </cell>
          <cell r="R865" t="str">
            <v>□</v>
          </cell>
          <cell r="T865" t="str">
            <v>ｱｻﾋﾅﾄｹｲﾃﾝ</v>
          </cell>
          <cell r="V865" t="str">
            <v>30</v>
          </cell>
        </row>
        <row r="866">
          <cell r="B866" t="str">
            <v>8204</v>
          </cell>
          <cell r="C866" t="str">
            <v>#</v>
          </cell>
          <cell r="D866" t="str">
            <v>(株)ｺｰｼﾝｲﾝﾃｯｸｽ</v>
          </cell>
          <cell r="F866" t="str">
            <v>代表取締役社長</v>
          </cell>
          <cell r="G866" t="str">
            <v>中静　信昭</v>
          </cell>
          <cell r="H866">
            <v>45</v>
          </cell>
          <cell r="I866">
            <v>70</v>
          </cell>
          <cell r="J866" t="str">
            <v>141</v>
          </cell>
          <cell r="K866" t="str">
            <v>品川区西五反田1-32-11</v>
          </cell>
          <cell r="L866" t="str">
            <v xml:space="preserve"> </v>
          </cell>
          <cell r="M866" t="str">
            <v>03-3493-1011</v>
          </cell>
          <cell r="N866" t="str">
            <v>/3493-1018</v>
          </cell>
          <cell r="O866" t="str">
            <v>度量衡器・計測器</v>
          </cell>
          <cell r="Q866" t="str">
            <v xml:space="preserve"> </v>
          </cell>
          <cell r="R866" t="str">
            <v>□</v>
          </cell>
          <cell r="T866" t="str">
            <v>ｺｳｼﾝｻﾝｷﾞｮｳ</v>
          </cell>
          <cell r="V866" t="str">
            <v>30</v>
          </cell>
        </row>
        <row r="867">
          <cell r="B867" t="str">
            <v>8205</v>
          </cell>
          <cell r="C867" t="str">
            <v>#</v>
          </cell>
          <cell r="D867" t="str">
            <v>(株)バンザイ</v>
          </cell>
          <cell r="F867" t="str">
            <v>代表取締役社長</v>
          </cell>
          <cell r="G867" t="str">
            <v>臼田  三郎</v>
          </cell>
          <cell r="H867">
            <v>559</v>
          </cell>
          <cell r="I867">
            <v>612</v>
          </cell>
          <cell r="J867" t="str">
            <v>105</v>
          </cell>
          <cell r="K867" t="str">
            <v>港区芝2-31-16</v>
          </cell>
          <cell r="L867" t="str">
            <v>バンザイ芝ビル</v>
          </cell>
          <cell r="M867" t="str">
            <v>03-3769-6844</v>
          </cell>
          <cell r="N867" t="str">
            <v>/3452-5129</v>
          </cell>
          <cell r="O867" t="str">
            <v>工具</v>
          </cell>
          <cell r="Q867" t="str">
            <v xml:space="preserve"> </v>
          </cell>
          <cell r="R867" t="str">
            <v>□</v>
          </cell>
          <cell r="T867" t="str">
            <v>ﾊﾞﾝｻﾞｲ</v>
          </cell>
          <cell r="V867" t="str">
            <v>30</v>
          </cell>
        </row>
        <row r="868">
          <cell r="B868" t="str">
            <v>8206</v>
          </cell>
          <cell r="C868" t="str">
            <v>#</v>
          </cell>
          <cell r="D868" t="str">
            <v>大古精機(株)</v>
          </cell>
          <cell r="F868" t="str">
            <v>代表取締役</v>
          </cell>
          <cell r="G868" t="str">
            <v>大古  博</v>
          </cell>
          <cell r="H868">
            <v>12</v>
          </cell>
          <cell r="I868">
            <v>60</v>
          </cell>
          <cell r="J868" t="str">
            <v>174</v>
          </cell>
          <cell r="K868" t="str">
            <v>板橋区小豆沢4-14-38</v>
          </cell>
          <cell r="L868" t="str">
            <v xml:space="preserve"> </v>
          </cell>
          <cell r="M868" t="str">
            <v>03-3966-7275</v>
          </cell>
          <cell r="N868" t="str">
            <v>/3966-7168</v>
          </cell>
          <cell r="O868" t="str">
            <v>測定具</v>
          </cell>
          <cell r="Q868" t="str">
            <v xml:space="preserve"> </v>
          </cell>
          <cell r="R868" t="str">
            <v>□</v>
          </cell>
          <cell r="T868" t="str">
            <v>ｵｵｺｾｲｷ</v>
          </cell>
          <cell r="V868" t="str">
            <v>30</v>
          </cell>
        </row>
        <row r="869">
          <cell r="B869" t="str">
            <v>8214</v>
          </cell>
          <cell r="C869" t="str">
            <v>#</v>
          </cell>
          <cell r="D869" t="str">
            <v>住友電工イゲタロイ(株)</v>
          </cell>
          <cell r="F869" t="str">
            <v>代表取締役社長</v>
          </cell>
          <cell r="G869" t="str">
            <v>福良  浩</v>
          </cell>
          <cell r="H869">
            <v>80</v>
          </cell>
          <cell r="I869">
            <v>87</v>
          </cell>
          <cell r="J869" t="str">
            <v>550</v>
          </cell>
          <cell r="K869" t="str">
            <v>大阪市西区新町1-10-9</v>
          </cell>
          <cell r="L869" t="str">
            <v/>
          </cell>
          <cell r="M869" t="str">
            <v>06-533-3181</v>
          </cell>
          <cell r="N869" t="str">
            <v>/</v>
          </cell>
          <cell r="O869" t="str">
            <v>切削工具</v>
          </cell>
          <cell r="Q869" t="str">
            <v>◎</v>
          </cell>
          <cell r="R869" t="str">
            <v>□</v>
          </cell>
          <cell r="S869" t="str">
            <v>☆</v>
          </cell>
          <cell r="T869" t="str">
            <v>ｽﾐﾄﾓﾃﾞﾝｺｳｲｹﾞﾀﾛｲ</v>
          </cell>
          <cell r="V869" t="str">
            <v>30</v>
          </cell>
        </row>
        <row r="870">
          <cell r="B870" t="str">
            <v>8214</v>
          </cell>
          <cell r="C870" t="str">
            <v>A</v>
          </cell>
          <cell r="D870" t="str">
            <v>住友電工イゲタロイ(株)</v>
          </cell>
          <cell r="E870" t="str">
            <v>東京本社･東部事業所</v>
          </cell>
          <cell r="J870" t="str">
            <v>140</v>
          </cell>
          <cell r="K870" t="str">
            <v>港区元赤坂1-3-12</v>
          </cell>
          <cell r="L870" t="str">
            <v/>
          </cell>
          <cell r="M870" t="str">
            <v>03-3423-5931</v>
          </cell>
          <cell r="N870" t="str">
            <v>/3423-5934</v>
          </cell>
          <cell r="O870" t="str">
            <v>切削工具</v>
          </cell>
          <cell r="Q870" t="str">
            <v xml:space="preserve"> </v>
          </cell>
          <cell r="T870" t="str">
            <v>ｽﾐﾄﾓﾃﾞﾝｺｳｲｹﾞﾀﾛｲ</v>
          </cell>
          <cell r="V870" t="str">
            <v>30</v>
          </cell>
        </row>
        <row r="871">
          <cell r="B871" t="str">
            <v>8225</v>
          </cell>
          <cell r="C871" t="str">
            <v>#</v>
          </cell>
          <cell r="D871" t="str">
            <v>(株)藤田勝商店</v>
          </cell>
          <cell r="F871" t="str">
            <v>取締役社長</v>
          </cell>
          <cell r="G871" t="str">
            <v>藤田　泰彦</v>
          </cell>
          <cell r="H871">
            <v>10</v>
          </cell>
          <cell r="I871">
            <v>13</v>
          </cell>
          <cell r="J871" t="str">
            <v>100</v>
          </cell>
          <cell r="K871" t="str">
            <v>千代田区丸の内2-4-1</v>
          </cell>
          <cell r="L871" t="str">
            <v>丸ビル534区</v>
          </cell>
          <cell r="M871" t="str">
            <v>03-3212-2561</v>
          </cell>
          <cell r="N871" t="str">
            <v>/3212-0550</v>
          </cell>
          <cell r="O871" t="str">
            <v>工作機械・定盤</v>
          </cell>
          <cell r="Q871" t="str">
            <v xml:space="preserve"> </v>
          </cell>
          <cell r="T871" t="str">
            <v>ﾌｼﾞﾀﾏｻﾙｼｮｳﾃﾝ?</v>
          </cell>
          <cell r="V871" t="str">
            <v>30</v>
          </cell>
        </row>
        <row r="872">
          <cell r="B872" t="str">
            <v>8227</v>
          </cell>
          <cell r="C872" t="str">
            <v>#</v>
          </cell>
          <cell r="D872" t="str">
            <v>大倉商事(株)</v>
          </cell>
          <cell r="F872" t="str">
            <v>代表取締役社長</v>
          </cell>
          <cell r="G872" t="str">
            <v>豊川　洋</v>
          </cell>
          <cell r="H872">
            <v>4000</v>
          </cell>
          <cell r="I872">
            <v>852</v>
          </cell>
          <cell r="J872" t="str">
            <v>104</v>
          </cell>
          <cell r="K872" t="str">
            <v>中央区銀座2-6-12</v>
          </cell>
          <cell r="L872" t="str">
            <v xml:space="preserve"> </v>
          </cell>
          <cell r="M872" t="str">
            <v>03-3566-6326</v>
          </cell>
          <cell r="N872" t="str">
            <v>/</v>
          </cell>
          <cell r="O872" t="str">
            <v>工作機械</v>
          </cell>
          <cell r="Q872" t="str">
            <v xml:space="preserve"> </v>
          </cell>
          <cell r="R872" t="str">
            <v>□</v>
          </cell>
          <cell r="T872" t="str">
            <v>ｵｵｸﾗｼｮｳｼﾞ</v>
          </cell>
          <cell r="V872" t="str">
            <v>30</v>
          </cell>
        </row>
        <row r="873">
          <cell r="B873" t="str">
            <v>8235</v>
          </cell>
          <cell r="C873" t="str">
            <v>#</v>
          </cell>
          <cell r="D873" t="str">
            <v>大同計器(株)</v>
          </cell>
          <cell r="F873" t="str">
            <v>代表取締役</v>
          </cell>
          <cell r="G873" t="str">
            <v>廣田　敏治</v>
          </cell>
          <cell r="H873">
            <v>10</v>
          </cell>
          <cell r="I873">
            <v>8</v>
          </cell>
          <cell r="J873" t="str">
            <v>142</v>
          </cell>
          <cell r="K873" t="str">
            <v>品川区小山6-16-6</v>
          </cell>
          <cell r="L873" t="str">
            <v xml:space="preserve"> </v>
          </cell>
          <cell r="M873" t="str">
            <v>03-3781-2462</v>
          </cell>
          <cell r="N873" t="str">
            <v>/3781-7526</v>
          </cell>
          <cell r="O873" t="str">
            <v>理科学計測器具</v>
          </cell>
          <cell r="Q873" t="str">
            <v>◎</v>
          </cell>
          <cell r="R873" t="str">
            <v>□</v>
          </cell>
          <cell r="S873" t="str">
            <v>☆</v>
          </cell>
          <cell r="T873" t="str">
            <v>ﾀﾞｲﾄﾞｳｹｲｷ</v>
          </cell>
          <cell r="V873" t="str">
            <v>30</v>
          </cell>
        </row>
        <row r="874">
          <cell r="B874" t="str">
            <v>8237</v>
          </cell>
          <cell r="C874" t="str">
            <v>#</v>
          </cell>
          <cell r="D874" t="str">
            <v>(株)トミタ</v>
          </cell>
          <cell r="F874" t="str">
            <v>取締役社長</v>
          </cell>
          <cell r="G874" t="str">
            <v>富田　正男</v>
          </cell>
          <cell r="H874">
            <v>162</v>
          </cell>
          <cell r="I874">
            <v>135</v>
          </cell>
          <cell r="J874" t="str">
            <v>143</v>
          </cell>
          <cell r="K874" t="str">
            <v>大田区大森中1-18-6</v>
          </cell>
          <cell r="L874" t="str">
            <v xml:space="preserve"> </v>
          </cell>
          <cell r="M874" t="str">
            <v>03-3765-1211</v>
          </cell>
          <cell r="N874" t="str">
            <v>/</v>
          </cell>
          <cell r="O874" t="str">
            <v>機械</v>
          </cell>
          <cell r="Q874" t="str">
            <v xml:space="preserve"> </v>
          </cell>
          <cell r="R874" t="str">
            <v>□</v>
          </cell>
          <cell r="T874" t="str">
            <v>ﾄﾐﾀ</v>
          </cell>
          <cell r="V874" t="str">
            <v>30</v>
          </cell>
        </row>
        <row r="875">
          <cell r="B875" t="str">
            <v>8243</v>
          </cell>
          <cell r="C875" t="str">
            <v>#</v>
          </cell>
          <cell r="D875" t="str">
            <v>(株)ヨネイ</v>
          </cell>
          <cell r="F875" t="str">
            <v>取締役社長</v>
          </cell>
          <cell r="G875" t="str">
            <v>林　　哲男</v>
          </cell>
          <cell r="H875">
            <v>200</v>
          </cell>
          <cell r="I875">
            <v>260</v>
          </cell>
          <cell r="J875" t="str">
            <v>104</v>
          </cell>
          <cell r="K875" t="str">
            <v>中央区銀座2-8-20</v>
          </cell>
          <cell r="L875" t="str">
            <v xml:space="preserve"> </v>
          </cell>
          <cell r="M875" t="str">
            <v>03-3561-1171</v>
          </cell>
          <cell r="N875" t="str">
            <v>/</v>
          </cell>
          <cell r="O875" t="str">
            <v>輸入試験機</v>
          </cell>
          <cell r="Q875" t="str">
            <v xml:space="preserve"> </v>
          </cell>
          <cell r="T875" t="str">
            <v>ﾖﾈｲ</v>
          </cell>
          <cell r="V875" t="str">
            <v>30</v>
          </cell>
        </row>
        <row r="876">
          <cell r="B876" t="str">
            <v>8245</v>
          </cell>
          <cell r="C876" t="str">
            <v>#</v>
          </cell>
          <cell r="D876" t="str">
            <v>(株)フジダイヤ</v>
          </cell>
          <cell r="F876" t="str">
            <v>取締役社長</v>
          </cell>
          <cell r="G876" t="str">
            <v>篠崎　好夫</v>
          </cell>
          <cell r="H876">
            <v>28</v>
          </cell>
          <cell r="I876">
            <v>65</v>
          </cell>
          <cell r="J876" t="str">
            <v>182</v>
          </cell>
          <cell r="K876" t="str">
            <v>調布市調布ヶ丘3-39-1</v>
          </cell>
          <cell r="L876" t="str">
            <v xml:space="preserve"> </v>
          </cell>
          <cell r="M876" t="str">
            <v>0424-86-1181</v>
          </cell>
          <cell r="N876" t="str">
            <v>/90-7137</v>
          </cell>
          <cell r="O876" t="str">
            <v>ﾀﾞｲﾔﾓﾝﾄﾞ工具</v>
          </cell>
          <cell r="Q876" t="str">
            <v>◎</v>
          </cell>
          <cell r="R876" t="str">
            <v>□</v>
          </cell>
          <cell r="S876" t="str">
            <v>☆</v>
          </cell>
          <cell r="T876" t="str">
            <v>ﾌｼﾞﾀﾞｲﾔ</v>
          </cell>
          <cell r="V876" t="str">
            <v>30</v>
          </cell>
        </row>
        <row r="877">
          <cell r="B877" t="str">
            <v>8250</v>
          </cell>
          <cell r="C877" t="str">
            <v>#</v>
          </cell>
          <cell r="D877" t="str">
            <v>第一実業(株)</v>
          </cell>
          <cell r="F877" t="str">
            <v>取締役社長</v>
          </cell>
          <cell r="G877" t="str">
            <v>渡邊  貞次</v>
          </cell>
          <cell r="H877">
            <v>5105</v>
          </cell>
          <cell r="I877">
            <v>454</v>
          </cell>
          <cell r="J877" t="str">
            <v>102</v>
          </cell>
          <cell r="K877" t="str">
            <v>千代田区二番町11-19</v>
          </cell>
          <cell r="L877" t="str">
            <v xml:space="preserve"> </v>
          </cell>
          <cell r="M877" t="str">
            <v>03-5214-8718</v>
          </cell>
          <cell r="N877" t="str">
            <v>/5214-8503</v>
          </cell>
          <cell r="O877" t="str">
            <v>溶接器・溶射機</v>
          </cell>
          <cell r="Q877" t="str">
            <v xml:space="preserve"> </v>
          </cell>
          <cell r="R877" t="str">
            <v>□</v>
          </cell>
          <cell r="T877" t="str">
            <v>ﾀﾞｲｲﾁｼﾞﾂｷﾞｮｳ</v>
          </cell>
          <cell r="V877" t="str">
            <v>30</v>
          </cell>
        </row>
        <row r="878">
          <cell r="B878" t="str">
            <v>8251</v>
          </cell>
          <cell r="C878" t="str">
            <v>#</v>
          </cell>
          <cell r="D878" t="str">
            <v>(有)鈴木商店</v>
          </cell>
          <cell r="F878" t="str">
            <v>代表取締役</v>
          </cell>
          <cell r="G878" t="str">
            <v>木本　幾雄</v>
          </cell>
          <cell r="H878">
            <v>7</v>
          </cell>
          <cell r="I878">
            <v>20</v>
          </cell>
          <cell r="J878" t="str">
            <v>105</v>
          </cell>
          <cell r="K878" t="str">
            <v>港区新橋5-16-10</v>
          </cell>
          <cell r="L878" t="str">
            <v xml:space="preserve"> </v>
          </cell>
          <cell r="M878" t="str">
            <v>03-3432-1531</v>
          </cell>
          <cell r="N878" t="str">
            <v>/3438-3708</v>
          </cell>
          <cell r="O878" t="str">
            <v>機械工具販売</v>
          </cell>
          <cell r="Q878" t="str">
            <v xml:space="preserve"> </v>
          </cell>
          <cell r="R878" t="str">
            <v>□</v>
          </cell>
          <cell r="T878" t="str">
            <v>ｽｽﾞｷｼｮｳﾃﾝ</v>
          </cell>
          <cell r="V878" t="str">
            <v>30</v>
          </cell>
        </row>
        <row r="879">
          <cell r="B879" t="str">
            <v>8254</v>
          </cell>
          <cell r="C879" t="str">
            <v>#</v>
          </cell>
          <cell r="D879" t="str">
            <v>近常精機(株)</v>
          </cell>
          <cell r="F879" t="str">
            <v>代表取締役</v>
          </cell>
          <cell r="G879" t="str">
            <v>石黒　義一</v>
          </cell>
          <cell r="H879">
            <v>20</v>
          </cell>
          <cell r="I879">
            <v>50</v>
          </cell>
          <cell r="J879" t="str">
            <v>104</v>
          </cell>
          <cell r="K879" t="str">
            <v>中央区築地1-5-2</v>
          </cell>
          <cell r="L879" t="str">
            <v xml:space="preserve"> </v>
          </cell>
          <cell r="M879" t="str">
            <v>03-3544-0111</v>
          </cell>
          <cell r="N879" t="str">
            <v>/3544-0120</v>
          </cell>
          <cell r="O879" t="str">
            <v>ナンバーリング</v>
          </cell>
          <cell r="Q879" t="str">
            <v xml:space="preserve"> </v>
          </cell>
          <cell r="R879" t="str">
            <v>□</v>
          </cell>
          <cell r="T879" t="str">
            <v>ｷﾝﾂﾈｾｲｷ</v>
          </cell>
          <cell r="V879" t="str">
            <v>30</v>
          </cell>
        </row>
        <row r="880">
          <cell r="B880" t="str">
            <v>8256</v>
          </cell>
          <cell r="C880" t="str">
            <v>#</v>
          </cell>
          <cell r="D880" t="str">
            <v>(株)菱光社</v>
          </cell>
          <cell r="F880" t="str">
            <v>代表取締役</v>
          </cell>
          <cell r="G880" t="str">
            <v>小倉　尚武</v>
          </cell>
          <cell r="H880">
            <v>30</v>
          </cell>
          <cell r="I880">
            <v>143</v>
          </cell>
          <cell r="J880" t="str">
            <v>104</v>
          </cell>
          <cell r="K880" t="str">
            <v>中央区八重洲2-2-1</v>
          </cell>
          <cell r="L880" t="str">
            <v>新八重洲口ビル</v>
          </cell>
          <cell r="M880" t="str">
            <v>03-3273-0711</v>
          </cell>
          <cell r="N880" t="str">
            <v>/</v>
          </cell>
          <cell r="O880" t="str">
            <v>光学機械</v>
          </cell>
          <cell r="Q880" t="str">
            <v xml:space="preserve"> </v>
          </cell>
          <cell r="T880" t="str">
            <v>ﾘｮｳｺｳｼｬ</v>
          </cell>
          <cell r="V880" t="str">
            <v>30</v>
          </cell>
        </row>
        <row r="881">
          <cell r="B881" t="str">
            <v>8257</v>
          </cell>
          <cell r="C881" t="str">
            <v>#</v>
          </cell>
          <cell r="D881" t="str">
            <v>関東計器工業(株)</v>
          </cell>
          <cell r="F881" t="str">
            <v>代表取締役</v>
          </cell>
          <cell r="G881" t="str">
            <v>浜野　清</v>
          </cell>
          <cell r="H881">
            <v>10</v>
          </cell>
          <cell r="I881">
            <v>8</v>
          </cell>
          <cell r="J881" t="str">
            <v>114</v>
          </cell>
          <cell r="K881" t="str">
            <v>北区豊島2-24-8</v>
          </cell>
          <cell r="L881" t="str">
            <v xml:space="preserve"> </v>
          </cell>
          <cell r="M881" t="str">
            <v>03-3913-4771</v>
          </cell>
          <cell r="N881" t="str">
            <v>/</v>
          </cell>
          <cell r="O881" t="str">
            <v>車両台秤</v>
          </cell>
          <cell r="Q881" t="str">
            <v xml:space="preserve"> </v>
          </cell>
          <cell r="T881" t="str">
            <v>ｶﾝﾄｳｹｲｷｺｳｷﾞｮｳ</v>
          </cell>
          <cell r="V881" t="str">
            <v>30</v>
          </cell>
        </row>
        <row r="882">
          <cell r="B882" t="str">
            <v>8260</v>
          </cell>
          <cell r="C882" t="str">
            <v>#</v>
          </cell>
          <cell r="D882" t="str">
            <v>(株)菱興社</v>
          </cell>
          <cell r="F882" t="str">
            <v>取締役社長</v>
          </cell>
          <cell r="G882" t="str">
            <v>佐瀬　和彦</v>
          </cell>
          <cell r="H882">
            <v>100</v>
          </cell>
          <cell r="I882">
            <v>128</v>
          </cell>
          <cell r="J882" t="str">
            <v>146</v>
          </cell>
          <cell r="K882" t="str">
            <v>大田区池上8-23-8</v>
          </cell>
          <cell r="L882" t="str">
            <v xml:space="preserve"> </v>
          </cell>
          <cell r="M882" t="str">
            <v>03-3759-1431</v>
          </cell>
          <cell r="N882" t="str">
            <v>/3759-1445</v>
          </cell>
          <cell r="O882" t="str">
            <v>超硬切削工具</v>
          </cell>
          <cell r="Q882" t="str">
            <v xml:space="preserve"> </v>
          </cell>
          <cell r="R882" t="str">
            <v>□</v>
          </cell>
          <cell r="T882" t="str">
            <v>ﾘｮｳｺｳｼｬ</v>
          </cell>
          <cell r="V882" t="str">
            <v>30</v>
          </cell>
        </row>
        <row r="883">
          <cell r="B883" t="str">
            <v>8261</v>
          </cell>
          <cell r="C883" t="str">
            <v>#</v>
          </cell>
          <cell r="D883" t="str">
            <v>ＯＢＡＲＡ(株)</v>
          </cell>
          <cell r="F883" t="str">
            <v>代表取締役</v>
          </cell>
          <cell r="G883" t="str">
            <v>小原　博</v>
          </cell>
          <cell r="H883">
            <v>94</v>
          </cell>
          <cell r="I883">
            <v>293</v>
          </cell>
          <cell r="J883" t="str">
            <v>252</v>
          </cell>
          <cell r="K883" t="str">
            <v>綾瀬市大上4-2-37</v>
          </cell>
          <cell r="L883" t="str">
            <v xml:space="preserve"> </v>
          </cell>
          <cell r="M883" t="str">
            <v>0467-76-2000</v>
          </cell>
          <cell r="N883" t="str">
            <v>/77-4042</v>
          </cell>
          <cell r="O883" t="str">
            <v>抵抗熔接用チップ</v>
          </cell>
          <cell r="Q883" t="str">
            <v xml:space="preserve"> </v>
          </cell>
          <cell r="R883" t="str">
            <v>□</v>
          </cell>
          <cell r="T883" t="str">
            <v>ｵﾊﾞﾗ</v>
          </cell>
          <cell r="V883" t="str">
            <v>30</v>
          </cell>
        </row>
        <row r="884">
          <cell r="B884" t="str">
            <v>8262</v>
          </cell>
          <cell r="C884" t="str">
            <v>#</v>
          </cell>
          <cell r="D884" t="str">
            <v>(株)昭和</v>
          </cell>
          <cell r="F884" t="str">
            <v>代表取締役社長</v>
          </cell>
          <cell r="G884" t="str">
            <v>久保　航一</v>
          </cell>
          <cell r="H884">
            <v>20</v>
          </cell>
          <cell r="I884">
            <v>77</v>
          </cell>
          <cell r="J884" t="str">
            <v>243-04</v>
          </cell>
          <cell r="K884" t="str">
            <v>海老名市本郷2705</v>
          </cell>
          <cell r="L884" t="str">
            <v xml:space="preserve"> </v>
          </cell>
          <cell r="M884" t="str">
            <v>0462-38-2951</v>
          </cell>
          <cell r="N884" t="str">
            <v>/38-2928</v>
          </cell>
          <cell r="O884" t="str">
            <v>塗装機器</v>
          </cell>
          <cell r="Q884" t="str">
            <v xml:space="preserve"> </v>
          </cell>
          <cell r="R884" t="str">
            <v>□</v>
          </cell>
          <cell r="T884" t="str">
            <v>ｼｮｳﾜ</v>
          </cell>
          <cell r="V884" t="str">
            <v>30</v>
          </cell>
        </row>
        <row r="885">
          <cell r="B885" t="str">
            <v>8263</v>
          </cell>
          <cell r="C885" t="str">
            <v>#</v>
          </cell>
          <cell r="D885" t="str">
            <v>サンドビック(株)</v>
          </cell>
          <cell r="F885" t="str">
            <v>代表取締役社長</v>
          </cell>
          <cell r="G885" t="str">
            <v>ﾎﾞｰ･ｾﾀﾙﾝﾄﾞ</v>
          </cell>
          <cell r="H885">
            <v>2600</v>
          </cell>
          <cell r="I885">
            <v>505</v>
          </cell>
          <cell r="J885" t="str">
            <v>651-22</v>
          </cell>
          <cell r="K885" t="str">
            <v>神戸市西区室谷2-2-9</v>
          </cell>
          <cell r="L885" t="str">
            <v xml:space="preserve"> </v>
          </cell>
          <cell r="M885" t="str">
            <v>078-992-0992</v>
          </cell>
          <cell r="N885" t="str">
            <v>/992-0990</v>
          </cell>
          <cell r="O885" t="str">
            <v>超硬工具・ドリル</v>
          </cell>
          <cell r="Q885" t="str">
            <v xml:space="preserve"> </v>
          </cell>
          <cell r="R885" t="str">
            <v>□</v>
          </cell>
          <cell r="T885" t="str">
            <v>ｻﾝﾄﾞﾋﾞｯｸ</v>
          </cell>
          <cell r="V885" t="str">
            <v>30</v>
          </cell>
        </row>
        <row r="886">
          <cell r="B886" t="str">
            <v>8263</v>
          </cell>
          <cell r="C886" t="str">
            <v>A</v>
          </cell>
          <cell r="D886" t="str">
            <v>サンドビック(株)</v>
          </cell>
          <cell r="E886" t="str">
            <v>横浜事業所</v>
          </cell>
          <cell r="F886" t="str">
            <v xml:space="preserve"> </v>
          </cell>
          <cell r="G886" t="str">
            <v xml:space="preserve"> </v>
          </cell>
          <cell r="J886" t="str">
            <v>223</v>
          </cell>
          <cell r="K886" t="str">
            <v>横浜市港北区新羽町1120</v>
          </cell>
          <cell r="L886" t="str">
            <v xml:space="preserve"> </v>
          </cell>
          <cell r="M886" t="str">
            <v>045-544-8580</v>
          </cell>
          <cell r="N886" t="str">
            <v>/544-9420</v>
          </cell>
          <cell r="O886" t="str">
            <v>ｽﾗｲｽｶｯﾀｰ</v>
          </cell>
          <cell r="Q886" t="str">
            <v xml:space="preserve"> </v>
          </cell>
          <cell r="T886" t="str">
            <v>ｻﾝﾄﾞﾋﾞｯｸ</v>
          </cell>
          <cell r="V886" t="str">
            <v>30</v>
          </cell>
        </row>
        <row r="887">
          <cell r="B887" t="str">
            <v>8263</v>
          </cell>
          <cell r="C887" t="str">
            <v>B</v>
          </cell>
          <cell r="D887" t="str">
            <v>サンドビック(株)</v>
          </cell>
          <cell r="E887" t="str">
            <v>横浜事業所2</v>
          </cell>
          <cell r="F887" t="str">
            <v>ｺﾛﾝﾄ事業部長</v>
          </cell>
          <cell r="K887" t="str">
            <v xml:space="preserve"> </v>
          </cell>
          <cell r="L887" t="str">
            <v xml:space="preserve"> </v>
          </cell>
          <cell r="N887" t="str">
            <v>/</v>
          </cell>
          <cell r="Q887" t="str">
            <v xml:space="preserve"> </v>
          </cell>
          <cell r="T887" t="str">
            <v>ｻﾝﾄﾞﾋﾞｯｸ</v>
          </cell>
          <cell r="V887" t="str">
            <v>30</v>
          </cell>
        </row>
        <row r="888">
          <cell r="B888" t="str">
            <v>8264</v>
          </cell>
          <cell r="C888" t="str">
            <v>#</v>
          </cell>
          <cell r="D888" t="str">
            <v>安藤電気(株)</v>
          </cell>
          <cell r="F888" t="str">
            <v>取締役社長</v>
          </cell>
          <cell r="G888" t="str">
            <v>中沼　尚</v>
          </cell>
          <cell r="H888">
            <v>7598</v>
          </cell>
          <cell r="I888">
            <v>1777</v>
          </cell>
          <cell r="J888" t="str">
            <v>144</v>
          </cell>
          <cell r="K888" t="str">
            <v>大田区蒲田4-19-7</v>
          </cell>
          <cell r="L888" t="str">
            <v xml:space="preserve"> </v>
          </cell>
          <cell r="M888" t="str">
            <v>03-3733-1162</v>
          </cell>
          <cell r="N888" t="str">
            <v>/3739-7310</v>
          </cell>
          <cell r="O888" t="str">
            <v>測定機器</v>
          </cell>
          <cell r="Q888" t="str">
            <v xml:space="preserve"> </v>
          </cell>
          <cell r="R888" t="str">
            <v>□</v>
          </cell>
          <cell r="T888" t="str">
            <v>ｱﾝﾄﾞｳﾃﾞﾝｷ</v>
          </cell>
          <cell r="V888" t="str">
            <v>30</v>
          </cell>
        </row>
        <row r="889">
          <cell r="B889" t="str">
            <v>8264</v>
          </cell>
          <cell r="C889" t="str">
            <v>A</v>
          </cell>
          <cell r="D889" t="str">
            <v>安藤電気(株)</v>
          </cell>
          <cell r="F889" t="str">
            <v>ネジ営業部長</v>
          </cell>
          <cell r="G889" t="str">
            <v>柏木　敏</v>
          </cell>
          <cell r="H889">
            <v>180</v>
          </cell>
          <cell r="I889">
            <v>377</v>
          </cell>
          <cell r="J889" t="str">
            <v>251</v>
          </cell>
          <cell r="K889" t="str">
            <v>藤沢市片瀬1-1-1</v>
          </cell>
          <cell r="L889" t="str">
            <v xml:space="preserve"> </v>
          </cell>
          <cell r="M889" t="str">
            <v>0466-23-2142</v>
          </cell>
          <cell r="N889" t="str">
            <v>/</v>
          </cell>
          <cell r="O889" t="str">
            <v>測定具</v>
          </cell>
          <cell r="Q889" t="str">
            <v xml:space="preserve"> </v>
          </cell>
          <cell r="T889" t="str">
            <v>ｱﾝﾄﾞｳﾃﾞﾝｷ</v>
          </cell>
          <cell r="V889" t="str">
            <v>30</v>
          </cell>
        </row>
        <row r="890">
          <cell r="B890" t="str">
            <v>8265</v>
          </cell>
          <cell r="C890" t="str">
            <v>#</v>
          </cell>
          <cell r="D890" t="str">
            <v>(株)啓愛社ｴﾇ･ｴﾑ･ﾋﾞ-</v>
          </cell>
          <cell r="F890" t="str">
            <v>代表取締役</v>
          </cell>
          <cell r="G890" t="str">
            <v>松岡　敦</v>
          </cell>
          <cell r="H890">
            <v>1905</v>
          </cell>
          <cell r="I890">
            <v>730</v>
          </cell>
          <cell r="J890" t="str">
            <v>153</v>
          </cell>
          <cell r="K890" t="str">
            <v>目黒区下目黒1-8-1</v>
          </cell>
          <cell r="L890" t="str">
            <v>アルコタワー18F</v>
          </cell>
          <cell r="M890" t="str">
            <v>03-5434-8711</v>
          </cell>
          <cell r="N890" t="str">
            <v>/5434-8700</v>
          </cell>
          <cell r="O890" t="str">
            <v>ｸﾗｯﾁ､螺子測定器</v>
          </cell>
          <cell r="Q890" t="str">
            <v>◎</v>
          </cell>
          <cell r="R890" t="str">
            <v>□</v>
          </cell>
          <cell r="S890" t="str">
            <v>☆</v>
          </cell>
          <cell r="T890" t="str">
            <v>ｹｲｱｲｼｬｴﾇｴﾑﾋﾞｰ</v>
          </cell>
          <cell r="V890" t="str">
            <v>64</v>
          </cell>
        </row>
        <row r="891">
          <cell r="B891" t="str">
            <v>8265</v>
          </cell>
          <cell r="C891" t="str">
            <v>A</v>
          </cell>
          <cell r="D891" t="str">
            <v>(株)啓愛社ｴﾇ･ｴﾑ･ﾋﾞ-</v>
          </cell>
          <cell r="E891" t="str">
            <v>厚木営業所</v>
          </cell>
          <cell r="F891" t="str">
            <v>所長</v>
          </cell>
          <cell r="G891" t="str">
            <v>綱島  秀</v>
          </cell>
          <cell r="J891" t="str">
            <v>243</v>
          </cell>
          <cell r="K891" t="str">
            <v>厚木市恩名421-2</v>
          </cell>
          <cell r="L891" t="str">
            <v>日動火災厚木ﾋﾞﾙ6F</v>
          </cell>
          <cell r="M891" t="str">
            <v>0462-21-3091</v>
          </cell>
          <cell r="N891" t="str">
            <v>/24-6007</v>
          </cell>
          <cell r="O891" t="str">
            <v>ｸﾗｯﾁ､螺子測定器</v>
          </cell>
          <cell r="T891" t="str">
            <v>ｹｲｱｲｼｬｴﾇｴﾑﾋﾞｰ</v>
          </cell>
          <cell r="V891" t="str">
            <v>64</v>
          </cell>
        </row>
        <row r="892">
          <cell r="B892" t="str">
            <v>8267</v>
          </cell>
          <cell r="C892" t="str">
            <v>#</v>
          </cell>
          <cell r="D892" t="str">
            <v>ｺｽﾓｴﾝｼﾞﾆｱﾘﾝｸﾞ(株)</v>
          </cell>
          <cell r="F892" t="str">
            <v>取締役社長</v>
          </cell>
          <cell r="G892" t="str">
            <v>西村　洋一</v>
          </cell>
          <cell r="H892">
            <v>255</v>
          </cell>
          <cell r="I892">
            <v>305</v>
          </cell>
          <cell r="J892" t="str">
            <v>102</v>
          </cell>
          <cell r="K892" t="str">
            <v>千代田区麹町6-6</v>
          </cell>
          <cell r="L892" t="str">
            <v xml:space="preserve"> </v>
          </cell>
          <cell r="M892" t="str">
            <v>03-3239-8481</v>
          </cell>
          <cell r="N892" t="str">
            <v>/</v>
          </cell>
          <cell r="O892" t="str">
            <v>LPGﾌﾟﾗﾝﾄ</v>
          </cell>
          <cell r="Q892" t="str">
            <v xml:space="preserve"> </v>
          </cell>
          <cell r="T892" t="str">
            <v>ｺｽﾓｴﾝｼﾞﾆｱﾘﾝｸﾞ</v>
          </cell>
          <cell r="V892" t="str">
            <v>30</v>
          </cell>
        </row>
        <row r="893">
          <cell r="B893" t="str">
            <v>8268</v>
          </cell>
          <cell r="C893" t="str">
            <v>#</v>
          </cell>
          <cell r="D893" t="str">
            <v>早坂理工(株)</v>
          </cell>
          <cell r="F893" t="str">
            <v>代表取締役社長</v>
          </cell>
          <cell r="G893" t="str">
            <v>早坂　恭二</v>
          </cell>
          <cell r="H893">
            <v>23</v>
          </cell>
          <cell r="I893">
            <v>37</v>
          </cell>
          <cell r="J893" t="str">
            <v>060</v>
          </cell>
          <cell r="K893" t="str">
            <v>札幌市東区北6条東4丁目</v>
          </cell>
          <cell r="L893" t="str">
            <v xml:space="preserve"> </v>
          </cell>
          <cell r="M893" t="str">
            <v>011-721-5221</v>
          </cell>
          <cell r="N893" t="str">
            <v>/</v>
          </cell>
          <cell r="O893" t="str">
            <v>計測機器</v>
          </cell>
          <cell r="Q893" t="str">
            <v xml:space="preserve"> </v>
          </cell>
          <cell r="T893" t="str">
            <v>ﾊﾔｻｶﾘｺｳ</v>
          </cell>
          <cell r="V893" t="str">
            <v>30</v>
          </cell>
        </row>
        <row r="894">
          <cell r="B894" t="str">
            <v>8269</v>
          </cell>
          <cell r="C894" t="str">
            <v>#</v>
          </cell>
          <cell r="D894" t="str">
            <v>(株)三幸商店</v>
          </cell>
          <cell r="F894" t="str">
            <v>代表取締役</v>
          </cell>
          <cell r="G894" t="str">
            <v>二木　伸幸</v>
          </cell>
          <cell r="H894">
            <v>10</v>
          </cell>
          <cell r="I894">
            <v>10</v>
          </cell>
          <cell r="J894" t="str">
            <v>003</v>
          </cell>
          <cell r="K894" t="str">
            <v>札幌市白石区菊水3条2-5-2</v>
          </cell>
          <cell r="L894" t="str">
            <v xml:space="preserve"> </v>
          </cell>
          <cell r="M894" t="str">
            <v>011-811-9451</v>
          </cell>
          <cell r="N894" t="str">
            <v>/</v>
          </cell>
          <cell r="O894" t="str">
            <v>工具類</v>
          </cell>
          <cell r="Q894" t="str">
            <v xml:space="preserve"> </v>
          </cell>
          <cell r="T894" t="str">
            <v>ｻﾝｺｳｼｮｳﾃﾝ</v>
          </cell>
          <cell r="V894" t="str">
            <v>30</v>
          </cell>
        </row>
        <row r="895">
          <cell r="B895" t="str">
            <v>8270</v>
          </cell>
          <cell r="C895" t="str">
            <v>#</v>
          </cell>
          <cell r="D895" t="str">
            <v>ジャテック(株)</v>
          </cell>
          <cell r="F895" t="str">
            <v>代表取締役社長</v>
          </cell>
          <cell r="G895" t="str">
            <v>舟岡　正</v>
          </cell>
          <cell r="H895">
            <v>48</v>
          </cell>
          <cell r="I895">
            <v>16</v>
          </cell>
          <cell r="J895" t="str">
            <v>103</v>
          </cell>
          <cell r="K895" t="str">
            <v>中央区日本橋3-9-2</v>
          </cell>
          <cell r="L895" t="str">
            <v>第二丸善ビル</v>
          </cell>
          <cell r="M895" t="str">
            <v>03-3271-1941</v>
          </cell>
          <cell r="N895" t="str">
            <v>/3271-3090</v>
          </cell>
          <cell r="O895" t="str">
            <v>機械整備工具類</v>
          </cell>
          <cell r="Q895" t="str">
            <v xml:space="preserve"> </v>
          </cell>
          <cell r="R895" t="str">
            <v>□</v>
          </cell>
          <cell r="T895" t="str">
            <v>ｼﾞｬﾃｯｸ</v>
          </cell>
          <cell r="V895" t="str">
            <v>64</v>
          </cell>
        </row>
        <row r="896">
          <cell r="B896" t="str">
            <v>8272</v>
          </cell>
          <cell r="C896" t="str">
            <v>#</v>
          </cell>
          <cell r="D896" t="str">
            <v>(株)サンコー</v>
          </cell>
          <cell r="F896" t="str">
            <v>代表取締役</v>
          </cell>
          <cell r="G896" t="str">
            <v>永瀬  道衛</v>
          </cell>
          <cell r="H896">
            <v>9450</v>
          </cell>
          <cell r="J896" t="str">
            <v>105</v>
          </cell>
          <cell r="K896" t="str">
            <v>港区虎ノ門1-23-4</v>
          </cell>
          <cell r="L896" t="str">
            <v xml:space="preserve"> </v>
          </cell>
          <cell r="M896" t="str">
            <v>03-3591-5439</v>
          </cell>
          <cell r="N896" t="str">
            <v>/3591-5435</v>
          </cell>
          <cell r="O896" t="str">
            <v>整備用工具</v>
          </cell>
          <cell r="Q896" t="str">
            <v xml:space="preserve"> </v>
          </cell>
          <cell r="T896" t="str">
            <v>ｻﾝｺｰ</v>
          </cell>
          <cell r="V896" t="str">
            <v>64</v>
          </cell>
        </row>
        <row r="897">
          <cell r="B897" t="str">
            <v>8273</v>
          </cell>
          <cell r="C897" t="str">
            <v>#</v>
          </cell>
          <cell r="D897" t="str">
            <v>江南ゴム(株)</v>
          </cell>
          <cell r="F897" t="str">
            <v>取締役社長</v>
          </cell>
          <cell r="G897" t="str">
            <v>松田  昇二</v>
          </cell>
          <cell r="H897">
            <v>30</v>
          </cell>
          <cell r="I897">
            <v>97</v>
          </cell>
          <cell r="J897" t="str">
            <v>254</v>
          </cell>
          <cell r="K897" t="str">
            <v>平塚市東八幡5-11-14</v>
          </cell>
          <cell r="L897" t="str">
            <v xml:space="preserve"> </v>
          </cell>
          <cell r="M897" t="str">
            <v>0463-23-7781</v>
          </cell>
          <cell r="N897" t="str">
            <v>/23-7753</v>
          </cell>
          <cell r="O897" t="str">
            <v>ｴｱｰﾎｰｽ･ｺﾞﾑ部品</v>
          </cell>
          <cell r="Q897" t="str">
            <v xml:space="preserve"> </v>
          </cell>
          <cell r="R897" t="str">
            <v>□</v>
          </cell>
          <cell r="T897" t="str">
            <v>ｺｳﾅﾝｺﾞﾑ</v>
          </cell>
          <cell r="V897" t="str">
            <v>30</v>
          </cell>
        </row>
        <row r="898">
          <cell r="B898" t="str">
            <v>8274</v>
          </cell>
          <cell r="C898" t="str">
            <v>#</v>
          </cell>
          <cell r="D898" t="str">
            <v>向野商事(株)</v>
          </cell>
          <cell r="F898" t="str">
            <v>取締役社長</v>
          </cell>
          <cell r="G898" t="str">
            <v>藤野  良夫</v>
          </cell>
          <cell r="H898">
            <v>49.5</v>
          </cell>
          <cell r="I898">
            <v>80</v>
          </cell>
          <cell r="J898" t="str">
            <v>060</v>
          </cell>
          <cell r="K898" t="str">
            <v>札幌市中央区北3条東5丁目</v>
          </cell>
          <cell r="L898" t="str">
            <v xml:space="preserve"> </v>
          </cell>
          <cell r="M898" t="str">
            <v>0144-34-7801</v>
          </cell>
          <cell r="N898" t="str">
            <v>/31-2045</v>
          </cell>
          <cell r="O898" t="str">
            <v>ﾍﾞｱﾘﾝｸﾞ･伝導ﾍﾞﾙﾄ</v>
          </cell>
          <cell r="Q898" t="str">
            <v xml:space="preserve"> </v>
          </cell>
          <cell r="T898" t="str">
            <v>ｺｳﾉｼｮｳｼﾞ</v>
          </cell>
          <cell r="V898" t="str">
            <v>30</v>
          </cell>
        </row>
        <row r="899">
          <cell r="B899" t="str">
            <v>8275</v>
          </cell>
          <cell r="C899" t="str">
            <v>#</v>
          </cell>
          <cell r="D899" t="str">
            <v>日精機工(株)</v>
          </cell>
          <cell r="F899" t="str">
            <v>代表取締役</v>
          </cell>
          <cell r="G899" t="str">
            <v>宮崎  武澄</v>
          </cell>
          <cell r="H899">
            <v>20</v>
          </cell>
          <cell r="I899">
            <v>51</v>
          </cell>
          <cell r="J899" t="str">
            <v>080</v>
          </cell>
          <cell r="K899" t="str">
            <v>帯広市西6条南5丁目</v>
          </cell>
          <cell r="L899" t="str">
            <v xml:space="preserve"> </v>
          </cell>
          <cell r="M899" t="str">
            <v>0144-34-8711</v>
          </cell>
          <cell r="N899" t="str">
            <v>/34-8721</v>
          </cell>
          <cell r="O899" t="str">
            <v>ﾍﾞｱﾘﾝｸﾞ･油空圧機器</v>
          </cell>
          <cell r="Q899" t="str">
            <v xml:space="preserve"> </v>
          </cell>
          <cell r="T899" t="str">
            <v>ﾆｯｾｲｷｺｳ</v>
          </cell>
          <cell r="V899" t="str">
            <v>30</v>
          </cell>
        </row>
        <row r="900">
          <cell r="B900" t="str">
            <v>8276</v>
          </cell>
          <cell r="C900" t="str">
            <v>#</v>
          </cell>
          <cell r="D900" t="str">
            <v>ﾖｺﾊﾏｺﾞﾑ工業品北海道販売(株)</v>
          </cell>
          <cell r="F900" t="str">
            <v>代表取締役</v>
          </cell>
          <cell r="G900" t="str">
            <v>藤掛  定夫</v>
          </cell>
          <cell r="H900">
            <v>100</v>
          </cell>
          <cell r="I900">
            <v>60</v>
          </cell>
          <cell r="J900" t="str">
            <v>060</v>
          </cell>
          <cell r="K900" t="str">
            <v>中央区大通東7-12-28</v>
          </cell>
          <cell r="L900" t="str">
            <v xml:space="preserve"> </v>
          </cell>
          <cell r="M900" t="str">
            <v>0144-34-2941</v>
          </cell>
          <cell r="N900" t="str">
            <v>/36-2810</v>
          </cell>
          <cell r="O900" t="str">
            <v>ｺﾞﾑﾗｲﾆﾝｸﾞ･高圧ﾎｰｽ</v>
          </cell>
          <cell r="Q900" t="str">
            <v xml:space="preserve"> </v>
          </cell>
          <cell r="T900" t="str">
            <v xml:space="preserve">ﾖｺﾊﾏｺﾞﾑｺｳｷﾞｮｳﾋﾝﾎｯｶｲﾄﾞｳﾊﾝﾊﾞｲ </v>
          </cell>
          <cell r="V900" t="str">
            <v>30</v>
          </cell>
        </row>
        <row r="901">
          <cell r="B901" t="str">
            <v>8301</v>
          </cell>
          <cell r="C901" t="str">
            <v>#</v>
          </cell>
          <cell r="D901" t="str">
            <v>新東工業(株)</v>
          </cell>
          <cell r="F901" t="str">
            <v>取締役社長</v>
          </cell>
          <cell r="G901" t="str">
            <v>永井　譲</v>
          </cell>
          <cell r="H901">
            <v>2618</v>
          </cell>
          <cell r="I901">
            <v>1050</v>
          </cell>
          <cell r="J901" t="str">
            <v>450</v>
          </cell>
          <cell r="K901" t="str">
            <v>名古屋市中村区名駅4-7-23</v>
          </cell>
          <cell r="L901" t="str">
            <v>豊田ビル</v>
          </cell>
          <cell r="M901" t="str">
            <v>052-582-9211</v>
          </cell>
          <cell r="N901" t="str">
            <v>/</v>
          </cell>
          <cell r="O901" t="str">
            <v>鋳造設備</v>
          </cell>
          <cell r="Q901" t="str">
            <v xml:space="preserve"> </v>
          </cell>
          <cell r="T901" t="str">
            <v>ｼﾝﾄｳｺｳｷﾞｮｳ</v>
          </cell>
          <cell r="V901" t="str">
            <v>30</v>
          </cell>
        </row>
        <row r="902">
          <cell r="B902" t="str">
            <v>8301</v>
          </cell>
          <cell r="C902" t="str">
            <v>A</v>
          </cell>
          <cell r="D902" t="str">
            <v>新東工業(株)</v>
          </cell>
          <cell r="E902" t="str">
            <v>東京支社</v>
          </cell>
          <cell r="J902" t="str">
            <v>105</v>
          </cell>
          <cell r="K902" t="str">
            <v>港区西新橋1-5-11</v>
          </cell>
          <cell r="L902" t="str">
            <v>クスダビル7F</v>
          </cell>
          <cell r="M902" t="str">
            <v>03-3502-5481</v>
          </cell>
          <cell r="N902" t="str">
            <v>/3580-5504</v>
          </cell>
          <cell r="O902" t="str">
            <v>機械集塵装置</v>
          </cell>
          <cell r="Q902" t="str">
            <v xml:space="preserve"> </v>
          </cell>
          <cell r="T902" t="str">
            <v>ｼﾝﾄｳｺｳｷﾞｮｳ</v>
          </cell>
          <cell r="V902" t="str">
            <v>30</v>
          </cell>
        </row>
        <row r="903">
          <cell r="B903" t="str">
            <v>8303</v>
          </cell>
          <cell r="C903" t="str">
            <v>#</v>
          </cell>
          <cell r="D903" t="str">
            <v>(株)草飼製作所</v>
          </cell>
          <cell r="F903" t="str">
            <v>代表取締役</v>
          </cell>
          <cell r="G903" t="str">
            <v>草飼　輝雄</v>
          </cell>
          <cell r="H903">
            <v>10</v>
          </cell>
          <cell r="I903">
            <v>18</v>
          </cell>
          <cell r="J903" t="str">
            <v>224</v>
          </cell>
          <cell r="K903" t="str">
            <v>横浜市都筑区池辺町3455</v>
          </cell>
          <cell r="L903" t="str">
            <v xml:space="preserve"> </v>
          </cell>
          <cell r="M903" t="str">
            <v>045-935-7411</v>
          </cell>
          <cell r="N903" t="str">
            <v>/935-7446</v>
          </cell>
          <cell r="O903" t="str">
            <v>機械器具</v>
          </cell>
          <cell r="Q903" t="str">
            <v>◎</v>
          </cell>
          <cell r="R903" t="str">
            <v>□</v>
          </cell>
          <cell r="S903" t="str">
            <v>☆</v>
          </cell>
          <cell r="T903" t="str">
            <v>ｸｻｶｲｾｲｻｸｼｮ</v>
          </cell>
          <cell r="V903" t="str">
            <v>30</v>
          </cell>
        </row>
        <row r="904">
          <cell r="B904" t="str">
            <v>8305</v>
          </cell>
          <cell r="C904" t="str">
            <v>#</v>
          </cell>
          <cell r="D904" t="str">
            <v>太洋鋳機(株)</v>
          </cell>
          <cell r="F904" t="str">
            <v>取締役社長</v>
          </cell>
          <cell r="G904" t="str">
            <v>渡辺　彦士</v>
          </cell>
          <cell r="H904">
            <v>180</v>
          </cell>
          <cell r="I904">
            <v>290</v>
          </cell>
          <cell r="J904" t="str">
            <v>532</v>
          </cell>
          <cell r="K904" t="str">
            <v>大阪市淀川区西宮原町3-3-19</v>
          </cell>
          <cell r="L904" t="str">
            <v xml:space="preserve"> </v>
          </cell>
          <cell r="M904" t="str">
            <v xml:space="preserve">06-394-1101 </v>
          </cell>
          <cell r="N904" t="str">
            <v>/</v>
          </cell>
          <cell r="O904" t="str">
            <v>鋳造機械</v>
          </cell>
          <cell r="Q904" t="str">
            <v xml:space="preserve"> </v>
          </cell>
          <cell r="R904" t="str">
            <v>□</v>
          </cell>
          <cell r="T904" t="str">
            <v>ﾀｲﾖｳﾁｭｳｷ</v>
          </cell>
          <cell r="V904" t="str">
            <v>30</v>
          </cell>
        </row>
        <row r="905">
          <cell r="B905" t="str">
            <v>8305</v>
          </cell>
          <cell r="C905" t="str">
            <v>A</v>
          </cell>
          <cell r="D905" t="str">
            <v>太洋鋳機(株)</v>
          </cell>
          <cell r="E905" t="str">
            <v>東部営業所</v>
          </cell>
          <cell r="F905" t="str">
            <v>取締役東部営業部長</v>
          </cell>
          <cell r="G905" t="str">
            <v>佐多  彦三郎</v>
          </cell>
          <cell r="J905" t="str">
            <v>108</v>
          </cell>
          <cell r="K905" t="str">
            <v>港区芝4-11-5</v>
          </cell>
          <cell r="L905" t="str">
            <v>田町ハラビル6F</v>
          </cell>
          <cell r="M905" t="str">
            <v>03-5445-2771</v>
          </cell>
          <cell r="N905" t="str">
            <v>/</v>
          </cell>
          <cell r="O905" t="str">
            <v>鋳造機械</v>
          </cell>
          <cell r="Q905" t="str">
            <v xml:space="preserve"> </v>
          </cell>
          <cell r="T905" t="str">
            <v>ﾀｲﾖｳﾁｭｳｷ</v>
          </cell>
          <cell r="V905" t="str">
            <v>30</v>
          </cell>
        </row>
        <row r="906">
          <cell r="B906" t="str">
            <v>8306</v>
          </cell>
          <cell r="C906" t="str">
            <v>#</v>
          </cell>
          <cell r="D906" t="str">
            <v>八千代田産業(株)</v>
          </cell>
          <cell r="F906" t="str">
            <v>代表取締役</v>
          </cell>
          <cell r="G906" t="str">
            <v>土屋　修三</v>
          </cell>
          <cell r="H906">
            <v>55</v>
          </cell>
          <cell r="I906">
            <v>54</v>
          </cell>
          <cell r="J906" t="str">
            <v>150</v>
          </cell>
          <cell r="K906" t="str">
            <v>港区恵比寿南1-6-10</v>
          </cell>
          <cell r="L906" t="str">
            <v>恵比寿MFﾋﾞﾙ14号館6F</v>
          </cell>
          <cell r="M906" t="str">
            <v>03-5722-6011</v>
          </cell>
          <cell r="N906" t="str">
            <v>/5722-6022</v>
          </cell>
          <cell r="O906" t="str">
            <v>工作機械</v>
          </cell>
          <cell r="Q906" t="str">
            <v>◎</v>
          </cell>
          <cell r="R906" t="str">
            <v>□</v>
          </cell>
          <cell r="S906" t="str">
            <v>☆</v>
          </cell>
          <cell r="T906" t="str">
            <v>ﾔﾁﾖﾀﾞｻﾝｷﾞｮｳ</v>
          </cell>
          <cell r="V906" t="str">
            <v>30</v>
          </cell>
        </row>
        <row r="907">
          <cell r="B907" t="str">
            <v>8307</v>
          </cell>
          <cell r="C907" t="str">
            <v>#</v>
          </cell>
          <cell r="D907" t="str">
            <v>三恵機械(株)</v>
          </cell>
          <cell r="F907" t="str">
            <v>代表取締役</v>
          </cell>
          <cell r="G907" t="str">
            <v>松渕　達也</v>
          </cell>
          <cell r="H907">
            <v>20</v>
          </cell>
          <cell r="I907">
            <v>14</v>
          </cell>
          <cell r="J907" t="str">
            <v>104</v>
          </cell>
          <cell r="K907" t="str">
            <v>中央区京橋3-7-6</v>
          </cell>
          <cell r="L907" t="str">
            <v>神谷ビル</v>
          </cell>
          <cell r="M907" t="str">
            <v>03-3562-0621</v>
          </cell>
          <cell r="N907" t="str">
            <v>/3562-0627</v>
          </cell>
          <cell r="O907" t="str">
            <v>工作機械・治工具</v>
          </cell>
          <cell r="Q907" t="str">
            <v>◎</v>
          </cell>
          <cell r="R907" t="str">
            <v>□</v>
          </cell>
          <cell r="S907" t="str">
            <v>☆</v>
          </cell>
          <cell r="T907" t="str">
            <v>ｻﾝｹｲｷｶｲ</v>
          </cell>
          <cell r="V907" t="str">
            <v>30</v>
          </cell>
        </row>
        <row r="908">
          <cell r="B908" t="str">
            <v>8307</v>
          </cell>
          <cell r="C908" t="str">
            <v>A</v>
          </cell>
          <cell r="D908" t="str">
            <v>三恵機械(株)</v>
          </cell>
          <cell r="E908" t="str">
            <v>蒲田工場</v>
          </cell>
          <cell r="J908" t="str">
            <v>144</v>
          </cell>
          <cell r="K908" t="str">
            <v>大田区南六郷2-26-20</v>
          </cell>
          <cell r="L908" t="str">
            <v xml:space="preserve"> </v>
          </cell>
          <cell r="M908" t="str">
            <v>03-3731-1151</v>
          </cell>
          <cell r="N908" t="str">
            <v>/</v>
          </cell>
          <cell r="O908" t="str">
            <v>工作機械・治工具</v>
          </cell>
          <cell r="Q908" t="str">
            <v xml:space="preserve"> </v>
          </cell>
          <cell r="T908" t="str">
            <v>ｻﾝｹｲｷｶｲ</v>
          </cell>
          <cell r="V908" t="str">
            <v>30</v>
          </cell>
        </row>
        <row r="909">
          <cell r="B909" t="str">
            <v>8309</v>
          </cell>
          <cell r="C909" t="str">
            <v>#</v>
          </cell>
          <cell r="D909" t="str">
            <v>豊田工機(株)</v>
          </cell>
          <cell r="F909" t="str">
            <v>取締役社長</v>
          </cell>
          <cell r="G909" t="str">
            <v>大西  匡</v>
          </cell>
          <cell r="H909">
            <v>4059</v>
          </cell>
          <cell r="I909">
            <v>3552</v>
          </cell>
          <cell r="J909" t="str">
            <v>448</v>
          </cell>
          <cell r="K909" t="str">
            <v>刈谷市朝日町1-1</v>
          </cell>
          <cell r="L909" t="str">
            <v xml:space="preserve"> </v>
          </cell>
          <cell r="M909" t="str">
            <v>0566-22-2211</v>
          </cell>
          <cell r="N909" t="str">
            <v>/</v>
          </cell>
          <cell r="O909" t="str">
            <v>工作機械</v>
          </cell>
          <cell r="Q909" t="str">
            <v xml:space="preserve"> </v>
          </cell>
          <cell r="R909" t="str">
            <v>□</v>
          </cell>
          <cell r="S909" t="str">
            <v>☆</v>
          </cell>
          <cell r="T909" t="str">
            <v>ﾄﾖﾀｺｳｷ</v>
          </cell>
          <cell r="V909" t="str">
            <v>30</v>
          </cell>
        </row>
        <row r="910">
          <cell r="B910" t="str">
            <v>8309</v>
          </cell>
          <cell r="C910" t="str">
            <v>A</v>
          </cell>
          <cell r="D910" t="str">
            <v>豊田工機(株)</v>
          </cell>
          <cell r="E910" t="str">
            <v>東京支社</v>
          </cell>
          <cell r="F910" t="str">
            <v>東日本営業部長</v>
          </cell>
          <cell r="G910" t="str">
            <v>鴨井  浩</v>
          </cell>
          <cell r="J910" t="str">
            <v>103</v>
          </cell>
          <cell r="K910" t="str">
            <v>台東区柳橋1-11-11</v>
          </cell>
          <cell r="L910" t="str">
            <v/>
          </cell>
          <cell r="M910" t="str">
            <v>03-5821-1301</v>
          </cell>
          <cell r="N910" t="str">
            <v>/5821-1311</v>
          </cell>
          <cell r="O910" t="str">
            <v>工作機械</v>
          </cell>
          <cell r="Q910" t="str">
            <v xml:space="preserve"> </v>
          </cell>
          <cell r="T910" t="str">
            <v>ﾄﾖﾀｺｳｷ</v>
          </cell>
          <cell r="V910" t="str">
            <v>30</v>
          </cell>
        </row>
        <row r="911">
          <cell r="B911" t="str">
            <v>8324</v>
          </cell>
          <cell r="C911" t="str">
            <v>#</v>
          </cell>
          <cell r="D911" t="str">
            <v>トーコーハン(株)</v>
          </cell>
          <cell r="F911" t="str">
            <v>取締役社長</v>
          </cell>
          <cell r="G911" t="str">
            <v>越智  敏宏</v>
          </cell>
          <cell r="H911">
            <v>200</v>
          </cell>
          <cell r="I911">
            <v>80</v>
          </cell>
          <cell r="J911" t="str">
            <v>556</v>
          </cell>
          <cell r="K911" t="str">
            <v>大阪市浪速区桜川1-3-25</v>
          </cell>
          <cell r="L911" t="str">
            <v/>
          </cell>
          <cell r="M911" t="str">
            <v>06-567-2721</v>
          </cell>
          <cell r="N911" t="str">
            <v>/</v>
          </cell>
          <cell r="O911" t="str">
            <v>研削盤</v>
          </cell>
          <cell r="T911" t="str">
            <v>ﾄｰｺｰﾊﾝ</v>
          </cell>
          <cell r="V911" t="str">
            <v>30</v>
          </cell>
        </row>
        <row r="912">
          <cell r="B912" t="str">
            <v>8324</v>
          </cell>
          <cell r="C912" t="str">
            <v>A</v>
          </cell>
          <cell r="D912" t="str">
            <v>トーコーハン(株)</v>
          </cell>
          <cell r="E912" t="str">
            <v>東京支店</v>
          </cell>
          <cell r="J912" t="str">
            <v>101</v>
          </cell>
          <cell r="K912" t="str">
            <v>千代田区東神田2-6-2</v>
          </cell>
          <cell r="L912" t="str">
            <v/>
          </cell>
          <cell r="M912" t="str">
            <v>03-5687-0231</v>
          </cell>
          <cell r="N912" t="str">
            <v>/5687-0238</v>
          </cell>
          <cell r="O912" t="str">
            <v>研削盤</v>
          </cell>
          <cell r="T912" t="str">
            <v>ﾄｰｺｰﾊﾝ</v>
          </cell>
          <cell r="V912" t="str">
            <v>30</v>
          </cell>
        </row>
        <row r="913">
          <cell r="B913" t="str">
            <v>8330</v>
          </cell>
          <cell r="C913" t="str">
            <v>#</v>
          </cell>
          <cell r="D913" t="str">
            <v>日製産業(株)</v>
          </cell>
          <cell r="F913" t="str">
            <v>代表取締役社長</v>
          </cell>
          <cell r="G913" t="str">
            <v>石川　昭夫</v>
          </cell>
          <cell r="H913">
            <v>4794</v>
          </cell>
          <cell r="I913">
            <v>1323</v>
          </cell>
          <cell r="J913" t="str">
            <v>105</v>
          </cell>
          <cell r="K913" t="str">
            <v>港区西新橋1-24-14</v>
          </cell>
          <cell r="L913" t="str">
            <v xml:space="preserve"> </v>
          </cell>
          <cell r="M913" t="str">
            <v>03-3504-7720</v>
          </cell>
          <cell r="N913" t="str">
            <v>/3504-7751</v>
          </cell>
          <cell r="O913" t="str">
            <v>計測器</v>
          </cell>
          <cell r="Q913" t="str">
            <v xml:space="preserve"> </v>
          </cell>
          <cell r="R913" t="str">
            <v>□</v>
          </cell>
          <cell r="T913" t="str">
            <v>ﾆｯｾｲｻﾝｷﾞｮｳ</v>
          </cell>
          <cell r="V913" t="str">
            <v>30</v>
          </cell>
        </row>
        <row r="914">
          <cell r="B914" t="str">
            <v>8332</v>
          </cell>
          <cell r="C914" t="str">
            <v>#</v>
          </cell>
          <cell r="D914" t="str">
            <v>大阪電気(株)</v>
          </cell>
          <cell r="F914" t="str">
            <v>代表取締役社長</v>
          </cell>
          <cell r="G914" t="str">
            <v>原谷　育夫</v>
          </cell>
          <cell r="H914">
            <v>120</v>
          </cell>
          <cell r="I914">
            <v>329</v>
          </cell>
          <cell r="J914" t="str">
            <v>533</v>
          </cell>
          <cell r="K914" t="str">
            <v>大阪市淀川区西三国町4-3-31</v>
          </cell>
          <cell r="L914" t="str">
            <v xml:space="preserve"> </v>
          </cell>
          <cell r="M914" t="str">
            <v xml:space="preserve">06-394-1191 </v>
          </cell>
          <cell r="N914" t="str">
            <v>/</v>
          </cell>
          <cell r="O914" t="str">
            <v>溶接機・溶接治具</v>
          </cell>
          <cell r="Q914" t="str">
            <v xml:space="preserve"> </v>
          </cell>
          <cell r="T914" t="str">
            <v>ｵｵｻｶﾃﾞﾝｷ</v>
          </cell>
          <cell r="V914" t="str">
            <v>30</v>
          </cell>
        </row>
        <row r="915">
          <cell r="B915" t="str">
            <v>8332</v>
          </cell>
          <cell r="C915" t="str">
            <v>A</v>
          </cell>
          <cell r="D915" t="str">
            <v>大阪電気(株)</v>
          </cell>
          <cell r="E915" t="str">
            <v>特機東京営業部</v>
          </cell>
          <cell r="J915" t="str">
            <v>104</v>
          </cell>
          <cell r="K915" t="str">
            <v>中央区八丁堀2-23-1</v>
          </cell>
          <cell r="L915" t="str">
            <v>エンパイヤビル</v>
          </cell>
          <cell r="M915" t="str">
            <v>03-3552-7851</v>
          </cell>
          <cell r="N915" t="str">
            <v>/</v>
          </cell>
          <cell r="O915" t="str">
            <v>溶接機・溶接治具</v>
          </cell>
          <cell r="Q915" t="str">
            <v xml:space="preserve"> </v>
          </cell>
          <cell r="T915" t="str">
            <v>ｵｵｻｶﾃﾞﾝｷ</v>
          </cell>
          <cell r="V915" t="str">
            <v>30</v>
          </cell>
        </row>
        <row r="916">
          <cell r="B916" t="str">
            <v>8344</v>
          </cell>
          <cell r="C916" t="str">
            <v>#</v>
          </cell>
          <cell r="D916" t="str">
            <v>極東貿易(株)</v>
          </cell>
          <cell r="F916" t="str">
            <v>代表取締役社長</v>
          </cell>
          <cell r="G916" t="str">
            <v>今北  基夫</v>
          </cell>
          <cell r="H916">
            <v>3139</v>
          </cell>
          <cell r="I916">
            <v>620</v>
          </cell>
          <cell r="J916" t="str">
            <v>100</v>
          </cell>
          <cell r="K916" t="str">
            <v>千代田区大手町2-2-1</v>
          </cell>
          <cell r="L916" t="str">
            <v>新大手町ビル7階</v>
          </cell>
          <cell r="M916" t="str">
            <v>03-3244-3648</v>
          </cell>
          <cell r="N916" t="str">
            <v>/3246-1959</v>
          </cell>
          <cell r="O916" t="str">
            <v>試験機</v>
          </cell>
          <cell r="Q916" t="str">
            <v xml:space="preserve"> </v>
          </cell>
          <cell r="R916" t="str">
            <v>□</v>
          </cell>
          <cell r="T916" t="str">
            <v>ｷｮｸﾄｳﾎﾞｳｴｷ</v>
          </cell>
          <cell r="V916" t="str">
            <v>30</v>
          </cell>
        </row>
        <row r="917">
          <cell r="B917" t="str">
            <v>8347</v>
          </cell>
          <cell r="C917" t="str">
            <v>#</v>
          </cell>
          <cell r="D917" t="str">
            <v>(株)オーマット</v>
          </cell>
          <cell r="F917" t="str">
            <v>代表取締役社長</v>
          </cell>
          <cell r="G917" t="str">
            <v>小川　修一</v>
          </cell>
          <cell r="H917">
            <v>30</v>
          </cell>
          <cell r="I917">
            <v>36</v>
          </cell>
          <cell r="J917" t="str">
            <v>105</v>
          </cell>
          <cell r="K917" t="str">
            <v>港区東新橋2-10-11</v>
          </cell>
          <cell r="L917" t="str">
            <v xml:space="preserve"> </v>
          </cell>
          <cell r="M917" t="str">
            <v>03-3578-8135</v>
          </cell>
          <cell r="N917" t="str">
            <v>/3436-4884</v>
          </cell>
          <cell r="O917" t="str">
            <v>機械工具</v>
          </cell>
          <cell r="Q917" t="str">
            <v xml:space="preserve"> </v>
          </cell>
          <cell r="R917" t="str">
            <v>□</v>
          </cell>
          <cell r="T917" t="str">
            <v>ｵｶﾞﾜｼｮｳﾃﾝ</v>
          </cell>
          <cell r="V917" t="str">
            <v>30</v>
          </cell>
        </row>
        <row r="918">
          <cell r="B918" t="str">
            <v>8355</v>
          </cell>
          <cell r="C918" t="str">
            <v>#</v>
          </cell>
          <cell r="D918" t="str">
            <v>山勝工業(株)</v>
          </cell>
          <cell r="F918" t="str">
            <v>取締役社長</v>
          </cell>
          <cell r="G918" t="str">
            <v>金究　豊通</v>
          </cell>
          <cell r="H918">
            <v>11</v>
          </cell>
          <cell r="I918">
            <v>50</v>
          </cell>
          <cell r="J918" t="str">
            <v>104</v>
          </cell>
          <cell r="K918" t="str">
            <v>中央区銀座7-15-17</v>
          </cell>
          <cell r="L918" t="str">
            <v xml:space="preserve"> </v>
          </cell>
          <cell r="M918" t="str">
            <v>03-3542-8731</v>
          </cell>
          <cell r="N918" t="str">
            <v>/</v>
          </cell>
          <cell r="O918" t="str">
            <v>変速機運搬機器</v>
          </cell>
          <cell r="Q918" t="str">
            <v xml:space="preserve"> </v>
          </cell>
          <cell r="R918" t="str">
            <v>□</v>
          </cell>
          <cell r="T918" t="str">
            <v>ﾔﾏｶﾂｺｳｷﾞｮｳ</v>
          </cell>
          <cell r="V918" t="str">
            <v>30</v>
          </cell>
        </row>
        <row r="919">
          <cell r="B919" t="str">
            <v>8362</v>
          </cell>
          <cell r="C919" t="str">
            <v>#</v>
          </cell>
          <cell r="D919" t="str">
            <v>川鍛機工(株)</v>
          </cell>
          <cell r="F919" t="str">
            <v>取締役社長</v>
          </cell>
          <cell r="G919" t="str">
            <v>山県　良夫</v>
          </cell>
          <cell r="H919">
            <v>10</v>
          </cell>
          <cell r="I919">
            <v>6</v>
          </cell>
          <cell r="J919" t="str">
            <v>210</v>
          </cell>
          <cell r="K919" t="str">
            <v>川崎市幸区戸手本町2-220</v>
          </cell>
          <cell r="L919" t="str">
            <v xml:space="preserve"> </v>
          </cell>
          <cell r="M919" t="str">
            <v>044-544-8751</v>
          </cell>
          <cell r="N919" t="str">
            <v>/</v>
          </cell>
          <cell r="O919" t="str">
            <v>鍛造品</v>
          </cell>
          <cell r="P919" t="str">
            <v>▽</v>
          </cell>
          <cell r="Q919" t="str">
            <v xml:space="preserve"> </v>
          </cell>
          <cell r="R919" t="str">
            <v>□</v>
          </cell>
          <cell r="T919" t="str">
            <v>ｶﾜﾀﾝｷｺｳ</v>
          </cell>
          <cell r="V919" t="str">
            <v>30</v>
          </cell>
        </row>
        <row r="920">
          <cell r="B920" t="str">
            <v>8364</v>
          </cell>
          <cell r="C920" t="str">
            <v>#</v>
          </cell>
          <cell r="D920" t="str">
            <v>三立興産(株)</v>
          </cell>
          <cell r="F920" t="str">
            <v>代表取締役社長</v>
          </cell>
          <cell r="G920" t="str">
            <v>猪熊　正夫</v>
          </cell>
          <cell r="H920">
            <v>83</v>
          </cell>
          <cell r="I920">
            <v>150</v>
          </cell>
          <cell r="J920" t="str">
            <v>456-91</v>
          </cell>
          <cell r="K920" t="str">
            <v>名古屋市熱田区神宮4-1-25</v>
          </cell>
          <cell r="L920" t="str">
            <v xml:space="preserve"> </v>
          </cell>
          <cell r="M920" t="str">
            <v>052-681-2251</v>
          </cell>
          <cell r="N920" t="str">
            <v>/</v>
          </cell>
          <cell r="O920" t="str">
            <v>鋳造設備</v>
          </cell>
          <cell r="Q920" t="str">
            <v>◎</v>
          </cell>
          <cell r="R920" t="str">
            <v>□</v>
          </cell>
          <cell r="S920" t="str">
            <v>☆</v>
          </cell>
          <cell r="T920" t="str">
            <v>ｻﾝﾘﾂｺｳｻﾝ</v>
          </cell>
          <cell r="V920" t="str">
            <v>30</v>
          </cell>
        </row>
        <row r="921">
          <cell r="B921" t="str">
            <v>8364</v>
          </cell>
          <cell r="C921" t="str">
            <v>A</v>
          </cell>
          <cell r="D921" t="str">
            <v>三立興産(株)</v>
          </cell>
          <cell r="E921" t="str">
            <v>東京支社</v>
          </cell>
          <cell r="F921" t="str">
            <v>常務取締役</v>
          </cell>
          <cell r="G921" t="str">
            <v>小林　嘉男</v>
          </cell>
          <cell r="J921" t="str">
            <v>140</v>
          </cell>
          <cell r="K921" t="str">
            <v>品川区南大井3-35-8</v>
          </cell>
          <cell r="L921" t="str">
            <v xml:space="preserve"> </v>
          </cell>
          <cell r="M921" t="str">
            <v>03-3762-2411</v>
          </cell>
          <cell r="N921" t="str">
            <v>/3764-7443</v>
          </cell>
          <cell r="O921" t="str">
            <v>測定工具</v>
          </cell>
          <cell r="Q921" t="str">
            <v xml:space="preserve"> </v>
          </cell>
          <cell r="T921" t="str">
            <v>ｻﾝﾘﾂｺｳｻﾝ</v>
          </cell>
          <cell r="V921" t="str">
            <v>30</v>
          </cell>
        </row>
        <row r="922">
          <cell r="B922" t="str">
            <v>8364</v>
          </cell>
          <cell r="C922" t="str">
            <v>B</v>
          </cell>
          <cell r="D922" t="str">
            <v>三立興産(株)</v>
          </cell>
          <cell r="E922" t="str">
            <v>東京支社</v>
          </cell>
          <cell r="F922" t="str">
            <v>支店長</v>
          </cell>
          <cell r="J922" t="str">
            <v>140</v>
          </cell>
          <cell r="K922" t="str">
            <v>品川区南大井3-35-8</v>
          </cell>
          <cell r="L922" t="str">
            <v xml:space="preserve"> </v>
          </cell>
          <cell r="M922" t="str">
            <v>03-3762-2411</v>
          </cell>
          <cell r="N922" t="str">
            <v>/</v>
          </cell>
          <cell r="O922" t="str">
            <v>切削工具</v>
          </cell>
          <cell r="Q922" t="str">
            <v xml:space="preserve"> </v>
          </cell>
          <cell r="T922" t="str">
            <v>ｻﾝﾘﾂｺｳｻﾝ</v>
          </cell>
          <cell r="U922" t="str">
            <v>7310</v>
          </cell>
          <cell r="V922" t="str">
            <v>30</v>
          </cell>
        </row>
        <row r="923">
          <cell r="B923" t="str">
            <v>8369</v>
          </cell>
          <cell r="C923" t="str">
            <v>#</v>
          </cell>
          <cell r="D923" t="str">
            <v>碌々産業(株)</v>
          </cell>
          <cell r="F923" t="str">
            <v>代表取締役</v>
          </cell>
          <cell r="G923" t="str">
            <v>野田　謙一</v>
          </cell>
          <cell r="H923">
            <v>140</v>
          </cell>
          <cell r="I923">
            <v>200</v>
          </cell>
          <cell r="J923" t="str">
            <v>108</v>
          </cell>
          <cell r="K923" t="str">
            <v>港区高輪4-23-5</v>
          </cell>
          <cell r="L923" t="str">
            <v>碌々ビル</v>
          </cell>
          <cell r="M923" t="str">
            <v>03-3447-3421</v>
          </cell>
          <cell r="N923" t="str">
            <v>/</v>
          </cell>
          <cell r="O923" t="str">
            <v>工作機械</v>
          </cell>
          <cell r="Q923" t="str">
            <v xml:space="preserve"> </v>
          </cell>
          <cell r="T923" t="str">
            <v>ﾛｸﾛｸｻﾝｷﾞｮｳ</v>
          </cell>
          <cell r="V923" t="str">
            <v>30</v>
          </cell>
        </row>
        <row r="924">
          <cell r="B924" t="str">
            <v>8370</v>
          </cell>
          <cell r="C924" t="str">
            <v>#</v>
          </cell>
          <cell r="D924" t="str">
            <v>(株)三喜製作所</v>
          </cell>
          <cell r="F924" t="str">
            <v>代表取締役</v>
          </cell>
          <cell r="G924" t="str">
            <v>香取  正市</v>
          </cell>
          <cell r="H924" t="str">
            <v>10</v>
          </cell>
          <cell r="I924" t="str">
            <v>20</v>
          </cell>
          <cell r="J924" t="str">
            <v>144</v>
          </cell>
          <cell r="K924" t="str">
            <v>大田区南蒲田2-10-15</v>
          </cell>
          <cell r="L924" t="str">
            <v xml:space="preserve"> </v>
          </cell>
          <cell r="M924" t="str">
            <v>03-3732-6761</v>
          </cell>
          <cell r="N924" t="str">
            <v>/3732-6788</v>
          </cell>
          <cell r="O924" t="str">
            <v>各種装置類</v>
          </cell>
          <cell r="R924" t="str">
            <v>□</v>
          </cell>
          <cell r="T924" t="str">
            <v>ｻﾝｷｾｲｻｸｼﾞｮ</v>
          </cell>
          <cell r="V924" t="str">
            <v>30</v>
          </cell>
        </row>
        <row r="925">
          <cell r="B925" t="str">
            <v>8376</v>
          </cell>
          <cell r="C925" t="str">
            <v>#</v>
          </cell>
          <cell r="D925" t="str">
            <v>(株)オギハラ</v>
          </cell>
          <cell r="F925" t="str">
            <v>代表取締役</v>
          </cell>
          <cell r="G925" t="str">
            <v>荻原　栄一</v>
          </cell>
          <cell r="H925">
            <v>120</v>
          </cell>
          <cell r="I925">
            <v>767</v>
          </cell>
          <cell r="J925" t="str">
            <v>373</v>
          </cell>
          <cell r="K925" t="str">
            <v>太田市南矢島町891-1</v>
          </cell>
          <cell r="L925" t="str">
            <v xml:space="preserve"> </v>
          </cell>
          <cell r="M925" t="str">
            <v>0276-38-1221</v>
          </cell>
          <cell r="N925" t="str">
            <v>/38-5805</v>
          </cell>
          <cell r="O925" t="str">
            <v>プレス用金型</v>
          </cell>
          <cell r="Q925" t="str">
            <v xml:space="preserve"> </v>
          </cell>
          <cell r="S925" t="str">
            <v>☆</v>
          </cell>
          <cell r="T925" t="str">
            <v>ｵｷﾞﾊﾗ</v>
          </cell>
          <cell r="V925" t="str">
            <v>30</v>
          </cell>
        </row>
        <row r="926">
          <cell r="B926" t="str">
            <v>8377</v>
          </cell>
          <cell r="C926" t="str">
            <v>#</v>
          </cell>
          <cell r="D926" t="str">
            <v>(株)宮津製作所</v>
          </cell>
          <cell r="F926" t="str">
            <v>取締役社長</v>
          </cell>
          <cell r="G926" t="str">
            <v>津久井  義孝</v>
          </cell>
          <cell r="H926">
            <v>100</v>
          </cell>
          <cell r="I926">
            <v>449</v>
          </cell>
          <cell r="J926" t="str">
            <v>370-05</v>
          </cell>
          <cell r="K926" t="str">
            <v>群馬県邑楽郡大泉町大字仙石</v>
          </cell>
          <cell r="L926" t="str">
            <v>2300</v>
          </cell>
          <cell r="M926" t="str">
            <v>0276-62-4101</v>
          </cell>
          <cell r="N926" t="str">
            <v>/63-7385</v>
          </cell>
          <cell r="O926" t="str">
            <v>プレス用金型</v>
          </cell>
          <cell r="P926" t="str">
            <v>▽</v>
          </cell>
          <cell r="Q926" t="str">
            <v xml:space="preserve"> </v>
          </cell>
          <cell r="S926" t="str">
            <v>☆</v>
          </cell>
          <cell r="T926" t="str">
            <v>ﾐﾔﾂﾞｾｲｻｸｼｮ</v>
          </cell>
          <cell r="V926" t="str">
            <v>30</v>
          </cell>
        </row>
        <row r="927">
          <cell r="B927" t="str">
            <v>8378</v>
          </cell>
          <cell r="C927" t="str">
            <v>#</v>
          </cell>
          <cell r="D927" t="str">
            <v>大阪製鎖造機(株)</v>
          </cell>
          <cell r="F927" t="str">
            <v>取締役社長</v>
          </cell>
          <cell r="G927" t="str">
            <v>左右田  純一</v>
          </cell>
          <cell r="H927">
            <v>800</v>
          </cell>
          <cell r="I927">
            <v>303</v>
          </cell>
          <cell r="J927" t="str">
            <v>597</v>
          </cell>
          <cell r="K927" t="str">
            <v>大阪府貝塚市脇浜4-16-1</v>
          </cell>
          <cell r="L927" t="str">
            <v xml:space="preserve"> </v>
          </cell>
          <cell r="M927" t="str">
            <v>0724-31-3021</v>
          </cell>
          <cell r="N927" t="str">
            <v>/</v>
          </cell>
          <cell r="O927" t="str">
            <v>機械</v>
          </cell>
          <cell r="Q927" t="str">
            <v xml:space="preserve"> </v>
          </cell>
          <cell r="T927" t="str">
            <v>ｵｵｻｶｾｲｻｿﾞｳ?</v>
          </cell>
          <cell r="V927" t="str">
            <v>30</v>
          </cell>
        </row>
        <row r="928">
          <cell r="B928" t="str">
            <v>8378</v>
          </cell>
          <cell r="C928" t="str">
            <v>A</v>
          </cell>
          <cell r="D928" t="str">
            <v>大阪製鎖造機(株)</v>
          </cell>
          <cell r="E928" t="str">
            <v>東京支店</v>
          </cell>
          <cell r="J928" t="str">
            <v>100</v>
          </cell>
          <cell r="K928" t="str">
            <v>千代田区丸の内2-4-1</v>
          </cell>
          <cell r="L928" t="str">
            <v>丸ビル</v>
          </cell>
          <cell r="M928" t="str">
            <v>03-3213-1241</v>
          </cell>
          <cell r="N928" t="str">
            <v>/3213-1247</v>
          </cell>
          <cell r="O928" t="str">
            <v>機械</v>
          </cell>
          <cell r="Q928" t="str">
            <v xml:space="preserve"> </v>
          </cell>
          <cell r="T928" t="str">
            <v>ｵｵｻｶｾｲｻｿﾞｳ?</v>
          </cell>
          <cell r="V928" t="str">
            <v>30</v>
          </cell>
        </row>
        <row r="929">
          <cell r="B929" t="str">
            <v>8382</v>
          </cell>
          <cell r="C929" t="str">
            <v>#</v>
          </cell>
          <cell r="D929" t="str">
            <v>(有)冨士精機製作所</v>
          </cell>
          <cell r="F929" t="str">
            <v>代表取締役</v>
          </cell>
          <cell r="G929" t="str">
            <v>荻野　幸男</v>
          </cell>
          <cell r="H929">
            <v>3</v>
          </cell>
          <cell r="I929">
            <v>10</v>
          </cell>
          <cell r="J929" t="str">
            <v>143</v>
          </cell>
          <cell r="K929" t="str">
            <v>大田区大森南3-10-6</v>
          </cell>
          <cell r="L929" t="str">
            <v xml:space="preserve"> </v>
          </cell>
          <cell r="M929" t="str">
            <v>03-3744-4811</v>
          </cell>
          <cell r="N929" t="str">
            <v>/</v>
          </cell>
          <cell r="O929" t="str">
            <v>金型(鍛造･ﾌﾟﾚｽ)</v>
          </cell>
          <cell r="P929" t="str">
            <v>▽</v>
          </cell>
          <cell r="Q929" t="str">
            <v xml:space="preserve"> </v>
          </cell>
          <cell r="R929" t="str">
            <v>□</v>
          </cell>
          <cell r="S929" t="str">
            <v>☆</v>
          </cell>
          <cell r="T929" t="str">
            <v>ﾌｼﾞｾｲｷｾｲｻｸｼｮ</v>
          </cell>
          <cell r="V929" t="str">
            <v>30</v>
          </cell>
        </row>
        <row r="930">
          <cell r="B930" t="str">
            <v>8386</v>
          </cell>
          <cell r="C930" t="str">
            <v>#</v>
          </cell>
          <cell r="D930" t="str">
            <v>(株)大和製作所</v>
          </cell>
          <cell r="F930" t="str">
            <v>代表取締役</v>
          </cell>
          <cell r="G930" t="str">
            <v>田中  清志</v>
          </cell>
          <cell r="H930">
            <v>14</v>
          </cell>
          <cell r="I930">
            <v>58</v>
          </cell>
          <cell r="J930" t="str">
            <v>252</v>
          </cell>
          <cell r="K930" t="str">
            <v>綾瀬市上土棚3-2-62</v>
          </cell>
          <cell r="L930" t="str">
            <v xml:space="preserve"> </v>
          </cell>
          <cell r="M930" t="str">
            <v>0467-76-5321</v>
          </cell>
          <cell r="N930" t="str">
            <v>/76-5308</v>
          </cell>
          <cell r="O930" t="str">
            <v>板金治具</v>
          </cell>
          <cell r="Q930" t="str">
            <v>◎</v>
          </cell>
          <cell r="R930" t="str">
            <v>□</v>
          </cell>
          <cell r="S930" t="str">
            <v>☆</v>
          </cell>
          <cell r="T930" t="str">
            <v>ﾔﾏﾄｾｲｻｸｼｮ</v>
          </cell>
          <cell r="V930" t="str">
            <v>30</v>
          </cell>
        </row>
        <row r="931">
          <cell r="B931" t="str">
            <v>8387</v>
          </cell>
          <cell r="C931" t="str">
            <v>#</v>
          </cell>
          <cell r="D931" t="str">
            <v>浪速鋳機販売(株)</v>
          </cell>
          <cell r="F931" t="str">
            <v>代表取締役</v>
          </cell>
          <cell r="G931" t="str">
            <v>河合　一男</v>
          </cell>
          <cell r="H931">
            <v>30</v>
          </cell>
          <cell r="I931">
            <v>110</v>
          </cell>
          <cell r="J931" t="str">
            <v>532</v>
          </cell>
          <cell r="K931" t="str">
            <v>大阪市淀川区田川2-9-7</v>
          </cell>
          <cell r="L931" t="str">
            <v xml:space="preserve"> </v>
          </cell>
          <cell r="M931" t="str">
            <v xml:space="preserve">06-302-7201 </v>
          </cell>
          <cell r="N931" t="str">
            <v>/</v>
          </cell>
          <cell r="O931" t="str">
            <v>ｼｪﾙﾏｼﾝ､金型</v>
          </cell>
          <cell r="P931" t="str">
            <v>▽</v>
          </cell>
          <cell r="Q931" t="str">
            <v xml:space="preserve"> </v>
          </cell>
          <cell r="R931" t="str">
            <v>□</v>
          </cell>
          <cell r="T931" t="str">
            <v>ﾅﾆﾜﾁｭｳｷﾊﾝﾊﾞｲ</v>
          </cell>
          <cell r="V931" t="str">
            <v>30</v>
          </cell>
        </row>
        <row r="932">
          <cell r="B932" t="str">
            <v>8387</v>
          </cell>
          <cell r="C932" t="str">
            <v>A</v>
          </cell>
          <cell r="D932" t="str">
            <v>浪速鋳機販売(株)</v>
          </cell>
          <cell r="E932" t="str">
            <v>東京営業所</v>
          </cell>
          <cell r="J932" t="str">
            <v>110</v>
          </cell>
          <cell r="K932" t="str">
            <v>台東区台東2-3-4</v>
          </cell>
          <cell r="L932" t="str">
            <v>Y･Tﾋﾞﾙ6階</v>
          </cell>
          <cell r="M932" t="str">
            <v>03-5688-0043</v>
          </cell>
          <cell r="N932" t="str">
            <v>/5688-0057</v>
          </cell>
          <cell r="O932" t="str">
            <v>ｼｪﾙﾏｼﾝ､金型</v>
          </cell>
          <cell r="P932" t="str">
            <v>▽</v>
          </cell>
          <cell r="Q932" t="str">
            <v xml:space="preserve"> </v>
          </cell>
          <cell r="T932" t="str">
            <v>ﾅﾆﾜﾁｭｳｷﾊﾝﾊﾞｲ</v>
          </cell>
          <cell r="V932" t="str">
            <v>30</v>
          </cell>
        </row>
        <row r="933">
          <cell r="B933" t="str">
            <v>8388</v>
          </cell>
          <cell r="C933" t="str">
            <v>#</v>
          </cell>
          <cell r="D933" t="str">
            <v>湘南精工(株)</v>
          </cell>
          <cell r="F933" t="str">
            <v>代表取締役社長</v>
          </cell>
          <cell r="G933" t="str">
            <v>成岡　利美</v>
          </cell>
          <cell r="H933">
            <v>40</v>
          </cell>
          <cell r="I933">
            <v>42</v>
          </cell>
          <cell r="J933" t="str">
            <v>141</v>
          </cell>
          <cell r="K933" t="str">
            <v>品川区東五反田5-10</v>
          </cell>
          <cell r="L933" t="str">
            <v>市光工業内</v>
          </cell>
          <cell r="M933" t="str">
            <v>03-3443-4131</v>
          </cell>
          <cell r="N933" t="str">
            <v>/</v>
          </cell>
          <cell r="O933" t="str">
            <v>木型・樹脂ﾓﾃﾞﾙ</v>
          </cell>
          <cell r="P933" t="str">
            <v>▽</v>
          </cell>
          <cell r="Q933" t="str">
            <v xml:space="preserve"> </v>
          </cell>
          <cell r="T933" t="str">
            <v>ｼｮｳﾅﾝｾｲｺｳ</v>
          </cell>
          <cell r="V933" t="str">
            <v>30</v>
          </cell>
        </row>
        <row r="934">
          <cell r="B934" t="str">
            <v>8388</v>
          </cell>
          <cell r="C934" t="str">
            <v>A</v>
          </cell>
          <cell r="D934" t="str">
            <v>湘南精工(株)</v>
          </cell>
          <cell r="E934" t="str">
            <v>藤沢工場</v>
          </cell>
          <cell r="J934" t="str">
            <v>252</v>
          </cell>
          <cell r="K934" t="str">
            <v>藤沢市菖蒲沢96</v>
          </cell>
          <cell r="L934" t="str">
            <v xml:space="preserve"> </v>
          </cell>
          <cell r="M934" t="str">
            <v>0466-48-3166</v>
          </cell>
          <cell r="N934" t="str">
            <v>/</v>
          </cell>
          <cell r="O934" t="str">
            <v>木型・樹脂ﾓﾃﾞﾙ</v>
          </cell>
          <cell r="P934" t="str">
            <v>▽</v>
          </cell>
          <cell r="Q934" t="str">
            <v xml:space="preserve"> </v>
          </cell>
          <cell r="T934" t="str">
            <v>ｼｮｳﾅﾝｾｲｺｳ</v>
          </cell>
          <cell r="V934" t="str">
            <v>30</v>
          </cell>
        </row>
        <row r="935">
          <cell r="B935" t="str">
            <v>8389</v>
          </cell>
          <cell r="C935" t="str">
            <v>#</v>
          </cell>
          <cell r="D935" t="str">
            <v>三菱商事工作機械(株)</v>
          </cell>
          <cell r="F935" t="str">
            <v>取締役社長</v>
          </cell>
          <cell r="G935" t="str">
            <v>細野  良敦</v>
          </cell>
          <cell r="H935">
            <v>200</v>
          </cell>
          <cell r="I935">
            <v>202</v>
          </cell>
          <cell r="J935" t="str">
            <v>108</v>
          </cell>
          <cell r="K935" t="str">
            <v>港区芝5-34-6</v>
          </cell>
          <cell r="L935" t="str">
            <v>新田町ビル9F</v>
          </cell>
          <cell r="M935" t="str">
            <v>03-3453-7431</v>
          </cell>
          <cell r="N935" t="str">
            <v>/3452-6635</v>
          </cell>
          <cell r="O935" t="str">
            <v>工作機械</v>
          </cell>
          <cell r="Q935" t="str">
            <v xml:space="preserve"> </v>
          </cell>
          <cell r="T935" t="str">
            <v>ﾐﾂﾋﾞｼｼｮｳｼﾞｺｳｻｸｷｶｲ</v>
          </cell>
          <cell r="V935" t="str">
            <v>30</v>
          </cell>
        </row>
        <row r="936">
          <cell r="B936" t="str">
            <v>8391</v>
          </cell>
          <cell r="C936" t="str">
            <v>#</v>
          </cell>
          <cell r="D936" t="str">
            <v>(株)中野計器</v>
          </cell>
          <cell r="F936" t="str">
            <v>代表取締役</v>
          </cell>
          <cell r="G936" t="str">
            <v>矢島　昭三</v>
          </cell>
          <cell r="H936">
            <v>12</v>
          </cell>
          <cell r="I936">
            <v>8</v>
          </cell>
          <cell r="J936" t="str">
            <v>165</v>
          </cell>
          <cell r="K936" t="str">
            <v>中野区大和町2-2-11</v>
          </cell>
          <cell r="L936" t="str">
            <v xml:space="preserve"> </v>
          </cell>
          <cell r="M936" t="str">
            <v>03-3339-7441</v>
          </cell>
          <cell r="N936" t="str">
            <v>/3339-7499</v>
          </cell>
          <cell r="O936" t="str">
            <v>精密測定機器</v>
          </cell>
          <cell r="Q936" t="str">
            <v xml:space="preserve"> </v>
          </cell>
          <cell r="R936" t="str">
            <v>□</v>
          </cell>
          <cell r="T936" t="str">
            <v>ﾅｶﾉｹｲｷ</v>
          </cell>
          <cell r="V936" t="str">
            <v>30</v>
          </cell>
        </row>
        <row r="937">
          <cell r="B937" t="str">
            <v>8392</v>
          </cell>
          <cell r="C937" t="str">
            <v>#</v>
          </cell>
          <cell r="D937" t="str">
            <v>国際興業(株)</v>
          </cell>
          <cell r="F937" t="str">
            <v>代表取締役社長</v>
          </cell>
          <cell r="G937" t="str">
            <v>小佐野　政邦</v>
          </cell>
          <cell r="H937">
            <v>1450</v>
          </cell>
          <cell r="I937">
            <v>3171</v>
          </cell>
          <cell r="J937" t="str">
            <v>104</v>
          </cell>
          <cell r="K937" t="str">
            <v>中央区八重洲2-10-3</v>
          </cell>
          <cell r="L937" t="str">
            <v xml:space="preserve"> </v>
          </cell>
          <cell r="M937" t="str">
            <v>03-3573-2511</v>
          </cell>
          <cell r="N937" t="str">
            <v>/</v>
          </cell>
          <cell r="O937" t="str">
            <v>油圧機器</v>
          </cell>
          <cell r="Q937" t="str">
            <v xml:space="preserve"> </v>
          </cell>
          <cell r="R937" t="str">
            <v>□</v>
          </cell>
          <cell r="T937" t="str">
            <v>ｺｸｻｲｺｳｷﾞｮｳ</v>
          </cell>
          <cell r="V937" t="str">
            <v>30</v>
          </cell>
        </row>
        <row r="938">
          <cell r="B938" t="str">
            <v>8392</v>
          </cell>
          <cell r="C938" t="str">
            <v>A</v>
          </cell>
          <cell r="D938" t="str">
            <v>国際興業(株)</v>
          </cell>
          <cell r="E938" t="str">
            <v>商事事業本部商事部</v>
          </cell>
          <cell r="J938" t="str">
            <v>108</v>
          </cell>
          <cell r="K938" t="str">
            <v>港区高輪2-20-24</v>
          </cell>
          <cell r="L938" t="str">
            <v xml:space="preserve"> </v>
          </cell>
          <cell r="M938" t="str">
            <v>03-3280-3811</v>
          </cell>
          <cell r="N938" t="str">
            <v>/3280-3919</v>
          </cell>
          <cell r="O938" t="str">
            <v>ﾀｲﾔﾁｪｰﾝ</v>
          </cell>
          <cell r="Q938" t="str">
            <v xml:space="preserve"> </v>
          </cell>
          <cell r="T938" t="str">
            <v>ｺｸｻｲｺｳｷﾞｮｳ</v>
          </cell>
          <cell r="U938" t="str">
            <v>65Gr.</v>
          </cell>
          <cell r="V938" t="str">
            <v>30</v>
          </cell>
        </row>
        <row r="939">
          <cell r="B939" t="str">
            <v>8393</v>
          </cell>
          <cell r="C939" t="str">
            <v>#</v>
          </cell>
          <cell r="D939" t="str">
            <v>油科学工事(株)</v>
          </cell>
          <cell r="F939" t="str">
            <v>代表取締役社長</v>
          </cell>
          <cell r="G939" t="str">
            <v>古川　幸一</v>
          </cell>
          <cell r="H939">
            <v>10</v>
          </cell>
          <cell r="I939">
            <v>15</v>
          </cell>
          <cell r="J939" t="str">
            <v>210</v>
          </cell>
          <cell r="K939" t="str">
            <v>川崎市川崎区大島3-6-2</v>
          </cell>
          <cell r="L939" t="str">
            <v xml:space="preserve"> </v>
          </cell>
          <cell r="M939" t="str">
            <v>044-244-5108</v>
          </cell>
          <cell r="N939" t="str">
            <v>/</v>
          </cell>
          <cell r="O939" t="str">
            <v>電気設備修理</v>
          </cell>
          <cell r="Q939" t="str">
            <v xml:space="preserve"> </v>
          </cell>
          <cell r="T939" t="str">
            <v>ﾕｶｶﾞｸｺｳｼﾞ</v>
          </cell>
          <cell r="V939" t="str">
            <v>30</v>
          </cell>
        </row>
        <row r="940">
          <cell r="B940" t="str">
            <v>8394</v>
          </cell>
          <cell r="C940" t="str">
            <v>#</v>
          </cell>
          <cell r="D940" t="str">
            <v>(株)デッカー</v>
          </cell>
          <cell r="F940" t="str">
            <v>取締役社長</v>
          </cell>
          <cell r="G940" t="str">
            <v>清水　たかし</v>
          </cell>
          <cell r="H940">
            <v>30</v>
          </cell>
          <cell r="I940">
            <v>37</v>
          </cell>
          <cell r="J940" t="str">
            <v>223</v>
          </cell>
          <cell r="K940" t="str">
            <v>横浜市港北区新羽町1197</v>
          </cell>
          <cell r="L940" t="str">
            <v xml:space="preserve"> </v>
          </cell>
          <cell r="M940" t="str">
            <v>045-546-2691</v>
          </cell>
          <cell r="N940" t="str">
            <v>/546-4618</v>
          </cell>
          <cell r="O940" t="str">
            <v>装置(塗装･組立)</v>
          </cell>
          <cell r="Q940" t="str">
            <v xml:space="preserve"> </v>
          </cell>
          <cell r="R940" t="str">
            <v>□</v>
          </cell>
          <cell r="T940" t="str">
            <v>ﾃﾞｯｶ-</v>
          </cell>
          <cell r="V940" t="str">
            <v>30</v>
          </cell>
        </row>
        <row r="941">
          <cell r="B941" t="str">
            <v>8397</v>
          </cell>
          <cell r="C941" t="str">
            <v>#</v>
          </cell>
          <cell r="D941" t="str">
            <v>(株)リコーキハラ</v>
          </cell>
          <cell r="F941" t="str">
            <v>代表取締役</v>
          </cell>
          <cell r="G941" t="str">
            <v>高梨　信之</v>
          </cell>
          <cell r="H941">
            <v>48</v>
          </cell>
          <cell r="I941">
            <v>49</v>
          </cell>
          <cell r="J941" t="str">
            <v>254</v>
          </cell>
          <cell r="K941" t="str">
            <v>平塚市八重咲町6-21</v>
          </cell>
          <cell r="L941" t="str">
            <v>石黒ビル４Ｆ</v>
          </cell>
          <cell r="M941" t="str">
            <v>0463-23-5116</v>
          </cell>
          <cell r="N941" t="str">
            <v>/23-5117</v>
          </cell>
          <cell r="O941" t="str">
            <v>メタル・金型</v>
          </cell>
          <cell r="Q941" t="str">
            <v xml:space="preserve"> </v>
          </cell>
          <cell r="T941" t="str">
            <v>ﾘｺｰｷﾊﾗ</v>
          </cell>
          <cell r="V941" t="str">
            <v>30</v>
          </cell>
        </row>
        <row r="942">
          <cell r="B942" t="str">
            <v>8398</v>
          </cell>
          <cell r="C942" t="str">
            <v>#</v>
          </cell>
          <cell r="D942" t="str">
            <v>大阪工作機械販売(株)</v>
          </cell>
          <cell r="F942" t="str">
            <v>取締役社長</v>
          </cell>
          <cell r="G942" t="str">
            <v>市川　久</v>
          </cell>
          <cell r="H942">
            <v>30</v>
          </cell>
          <cell r="I942">
            <v>10</v>
          </cell>
          <cell r="J942" t="str">
            <v>577</v>
          </cell>
          <cell r="K942" t="str">
            <v>東大阪市御厨中1-18-38</v>
          </cell>
          <cell r="L942" t="str">
            <v>大阪ビル2F</v>
          </cell>
          <cell r="M942" t="str">
            <v xml:space="preserve">06-788-3957 </v>
          </cell>
          <cell r="N942" t="str">
            <v>/</v>
          </cell>
          <cell r="O942" t="str">
            <v>工作機械 産業機械</v>
          </cell>
          <cell r="Q942" t="str">
            <v xml:space="preserve"> </v>
          </cell>
          <cell r="R942" t="str">
            <v>□</v>
          </cell>
          <cell r="T942" t="str">
            <v>ｵｵｻｶｺｳｻｸｷｶｲﾊﾝﾊﾞｲ</v>
          </cell>
          <cell r="V942" t="str">
            <v>30</v>
          </cell>
        </row>
        <row r="943">
          <cell r="B943" t="str">
            <v>8398</v>
          </cell>
          <cell r="C943" t="str">
            <v>A</v>
          </cell>
          <cell r="D943" t="str">
            <v>大阪工作機械販売(株)</v>
          </cell>
          <cell r="E943" t="str">
            <v>東京営業所</v>
          </cell>
          <cell r="J943" t="str">
            <v>103</v>
          </cell>
          <cell r="K943" t="str">
            <v>中央区日本橋小舟町2-11</v>
          </cell>
          <cell r="L943" t="str">
            <v>第一丸福ビル5F</v>
          </cell>
          <cell r="M943" t="str">
            <v>03-3663-0825</v>
          </cell>
          <cell r="N943" t="str">
            <v>/3663-0828</v>
          </cell>
          <cell r="O943" t="str">
            <v>工作機械 産業機械</v>
          </cell>
          <cell r="T943" t="str">
            <v>ｵｵｻｶｺｳｻｸｷｶｲﾊﾝﾊﾞｲ</v>
          </cell>
          <cell r="V943" t="str">
            <v>30</v>
          </cell>
        </row>
        <row r="944">
          <cell r="B944" t="str">
            <v>8400</v>
          </cell>
          <cell r="C944" t="str">
            <v>#</v>
          </cell>
          <cell r="D944" t="str">
            <v>(株)大気社</v>
          </cell>
          <cell r="F944" t="str">
            <v>代表取締役社長</v>
          </cell>
          <cell r="G944" t="str">
            <v>阿部　貞市</v>
          </cell>
          <cell r="H944">
            <v>1501</v>
          </cell>
          <cell r="I944">
            <v>993</v>
          </cell>
          <cell r="J944" t="str">
            <v>160-91</v>
          </cell>
          <cell r="K944" t="str">
            <v>新宿区西新宿2-6-1</v>
          </cell>
          <cell r="L944" t="str">
            <v>新宿住友ビル</v>
          </cell>
          <cell r="M944" t="str">
            <v>03-3344-1422</v>
          </cell>
          <cell r="N944" t="str">
            <v>/3342-2753</v>
          </cell>
          <cell r="O944" t="str">
            <v>塗装設備</v>
          </cell>
          <cell r="Q944" t="str">
            <v xml:space="preserve"> </v>
          </cell>
          <cell r="R944" t="str">
            <v>□</v>
          </cell>
          <cell r="S944" t="str">
            <v>☆</v>
          </cell>
          <cell r="T944" t="str">
            <v>ﾀｲｷｼｬ</v>
          </cell>
          <cell r="V944" t="str">
            <v>30</v>
          </cell>
        </row>
        <row r="945">
          <cell r="B945" t="str">
            <v>8400</v>
          </cell>
          <cell r="C945" t="str">
            <v>A</v>
          </cell>
          <cell r="D945" t="str">
            <v>(株)大気社</v>
          </cell>
          <cell r="E945" t="str">
            <v>横浜支店</v>
          </cell>
          <cell r="G945" t="str">
            <v>奈須野　明</v>
          </cell>
          <cell r="J945" t="str">
            <v>221</v>
          </cell>
          <cell r="K945" t="str">
            <v>横浜市神奈川区鶴屋町2-26-4</v>
          </cell>
          <cell r="L945" t="str">
            <v>第三安田ビル3F</v>
          </cell>
          <cell r="M945" t="str">
            <v>045-323-3771</v>
          </cell>
          <cell r="N945" t="str">
            <v>/</v>
          </cell>
          <cell r="O945" t="str">
            <v>塗装設備</v>
          </cell>
          <cell r="Q945" t="str">
            <v xml:space="preserve"> </v>
          </cell>
          <cell r="T945" t="str">
            <v>ﾀｲｷｼｬ</v>
          </cell>
          <cell r="V945" t="str">
            <v>30</v>
          </cell>
        </row>
        <row r="946">
          <cell r="B946" t="str">
            <v>8402</v>
          </cell>
          <cell r="C946" t="str">
            <v>#</v>
          </cell>
          <cell r="D946" t="str">
            <v>(株)大浦製作所</v>
          </cell>
          <cell r="F946" t="str">
            <v>取締役社長</v>
          </cell>
          <cell r="G946" t="str">
            <v>大浦　紀男</v>
          </cell>
          <cell r="H946">
            <v>12</v>
          </cell>
          <cell r="I946">
            <v>43</v>
          </cell>
          <cell r="J946" t="str">
            <v>132</v>
          </cell>
          <cell r="K946" t="str">
            <v>江戸川区松江4-26-20</v>
          </cell>
          <cell r="L946" t="str">
            <v xml:space="preserve"> </v>
          </cell>
          <cell r="M946" t="str">
            <v>03-3652-1251</v>
          </cell>
          <cell r="N946" t="str">
            <v>/3656-4570</v>
          </cell>
          <cell r="O946" t="str">
            <v>金属洗浄器</v>
          </cell>
          <cell r="Q946" t="str">
            <v xml:space="preserve"> </v>
          </cell>
          <cell r="R946" t="str">
            <v>□</v>
          </cell>
          <cell r="S946" t="str">
            <v>☆</v>
          </cell>
          <cell r="T946" t="str">
            <v>ｵｵｳﾗｾｲｻｸｼｮ</v>
          </cell>
          <cell r="V946" t="str">
            <v>30</v>
          </cell>
        </row>
        <row r="947">
          <cell r="B947" t="str">
            <v>8405</v>
          </cell>
          <cell r="C947" t="str">
            <v>#</v>
          </cell>
          <cell r="D947" t="str">
            <v>石川島播磨重工業(株)</v>
          </cell>
          <cell r="F947" t="str">
            <v>代表取締役社長</v>
          </cell>
          <cell r="G947" t="str">
            <v>武井  俊文</v>
          </cell>
          <cell r="H947">
            <v>64924</v>
          </cell>
          <cell r="I947">
            <v>15903</v>
          </cell>
          <cell r="J947" t="str">
            <v>100</v>
          </cell>
          <cell r="K947" t="str">
            <v>千代田区大手町2-2-1</v>
          </cell>
          <cell r="L947" t="str">
            <v>(新大手町ビル)</v>
          </cell>
          <cell r="M947" t="str">
            <v>03-3244-6496</v>
          </cell>
          <cell r="N947" t="str">
            <v>/</v>
          </cell>
          <cell r="O947" t="str">
            <v>ﾀｰﾎﾞﾁｬｰｼﾞｬｰ</v>
          </cell>
          <cell r="Q947" t="str">
            <v>◎</v>
          </cell>
          <cell r="R947" t="str">
            <v>□</v>
          </cell>
          <cell r="S947" t="str">
            <v>☆</v>
          </cell>
          <cell r="T947" t="str">
            <v>ｲｼｶﾜｼﾞﾏﾊﾘﾏｼﾞｭｳｺｳｷﾞｮｳ</v>
          </cell>
          <cell r="V947" t="str">
            <v>51</v>
          </cell>
        </row>
        <row r="948">
          <cell r="B948" t="str">
            <v>8405</v>
          </cell>
          <cell r="C948" t="str">
            <v>A</v>
          </cell>
          <cell r="D948" t="str">
            <v>石川島播磨重工業(株)</v>
          </cell>
          <cell r="E948" t="str">
            <v>汎用機械事業部</v>
          </cell>
          <cell r="J948" t="str">
            <v>103</v>
          </cell>
          <cell r="K948" t="str">
            <v>千代田区丸の内1-6-2</v>
          </cell>
          <cell r="L948" t="str">
            <v>東京中央ビル</v>
          </cell>
          <cell r="M948" t="str">
            <v>03-3286-2407</v>
          </cell>
          <cell r="N948" t="str">
            <v>/3286-2430</v>
          </cell>
          <cell r="O948" t="str">
            <v>ﾀｰﾎﾞﾁｬｰｼﾞｬｰ</v>
          </cell>
          <cell r="Q948" t="str">
            <v xml:space="preserve"> </v>
          </cell>
          <cell r="T948" t="str">
            <v>ｲｼｶﾜｼﾞﾏﾊﾘﾏｼﾞｭｳｺｳｷﾞｮｳ</v>
          </cell>
          <cell r="V948" t="str">
            <v>51</v>
          </cell>
        </row>
        <row r="949">
          <cell r="B949" t="str">
            <v>8406</v>
          </cell>
          <cell r="C949" t="str">
            <v>#</v>
          </cell>
          <cell r="D949" t="str">
            <v>伊藤忠ﾒｶﾄﾛﾆｸｽ(株)</v>
          </cell>
          <cell r="F949" t="str">
            <v>取締役社長</v>
          </cell>
          <cell r="G949" t="str">
            <v>辻野　繁男</v>
          </cell>
          <cell r="H949">
            <v>200</v>
          </cell>
          <cell r="I949">
            <v>100</v>
          </cell>
          <cell r="J949" t="str">
            <v>103</v>
          </cell>
          <cell r="K949" t="str">
            <v>中央区日本橋堀留町2-8-4</v>
          </cell>
          <cell r="L949" t="str">
            <v>日本橋コアビル5F</v>
          </cell>
          <cell r="M949" t="str">
            <v>03-5640-0723</v>
          </cell>
          <cell r="N949" t="str">
            <v>/5640-0741</v>
          </cell>
          <cell r="O949" t="str">
            <v>工作機械</v>
          </cell>
          <cell r="Q949" t="str">
            <v>◎</v>
          </cell>
          <cell r="R949" t="str">
            <v>□</v>
          </cell>
          <cell r="S949" t="str">
            <v>☆</v>
          </cell>
          <cell r="T949" t="str">
            <v>ｲﾄｳﾁｭｳﾒｶﾄﾛﾆｸｽ</v>
          </cell>
          <cell r="V949" t="str">
            <v>30</v>
          </cell>
        </row>
        <row r="950">
          <cell r="B950" t="str">
            <v>8407</v>
          </cell>
          <cell r="C950" t="str">
            <v>#</v>
          </cell>
          <cell r="D950" t="str">
            <v>村田機械(株)</v>
          </cell>
          <cell r="F950" t="str">
            <v>代表取締役</v>
          </cell>
          <cell r="G950" t="str">
            <v>村田　純一</v>
          </cell>
          <cell r="H950">
            <v>720</v>
          </cell>
          <cell r="I950">
            <v>1894</v>
          </cell>
          <cell r="J950" t="str">
            <v>612</v>
          </cell>
          <cell r="K950" t="str">
            <v>京都市伏見区竹田向代町136</v>
          </cell>
          <cell r="L950" t="str">
            <v xml:space="preserve"> </v>
          </cell>
          <cell r="M950" t="str">
            <v>075-672-8111</v>
          </cell>
          <cell r="N950" t="str">
            <v>/</v>
          </cell>
          <cell r="O950" t="str">
            <v>工作機械</v>
          </cell>
          <cell r="Q950" t="str">
            <v xml:space="preserve"> </v>
          </cell>
          <cell r="T950" t="str">
            <v>ﾑﾗﾀｷｶｲ</v>
          </cell>
          <cell r="V950" t="str">
            <v>30</v>
          </cell>
        </row>
        <row r="951">
          <cell r="B951" t="str">
            <v>8407</v>
          </cell>
          <cell r="C951" t="str">
            <v>A</v>
          </cell>
          <cell r="D951" t="str">
            <v>村田機械(株)</v>
          </cell>
          <cell r="E951" t="str">
            <v>東京支社</v>
          </cell>
          <cell r="F951" t="str">
            <v>営業部長</v>
          </cell>
          <cell r="G951" t="str">
            <v>上野　勝彦</v>
          </cell>
          <cell r="J951" t="str">
            <v>105</v>
          </cell>
          <cell r="K951" t="str">
            <v>港区虎ノ門1-9-2</v>
          </cell>
          <cell r="L951" t="str">
            <v xml:space="preserve"> </v>
          </cell>
          <cell r="M951" t="str">
            <v>03-3503-4671</v>
          </cell>
          <cell r="N951" t="str">
            <v>/</v>
          </cell>
          <cell r="O951" t="str">
            <v>工作機械</v>
          </cell>
          <cell r="Q951" t="str">
            <v xml:space="preserve"> </v>
          </cell>
          <cell r="T951" t="str">
            <v>ﾑﾗﾀｷｶｲ</v>
          </cell>
          <cell r="V951" t="str">
            <v>30</v>
          </cell>
        </row>
        <row r="952">
          <cell r="B952" t="str">
            <v>8408</v>
          </cell>
          <cell r="C952" t="str">
            <v>#</v>
          </cell>
          <cell r="D952" t="str">
            <v>立松モールド工業(株)</v>
          </cell>
          <cell r="F952" t="str">
            <v>代表取締役社長</v>
          </cell>
          <cell r="G952" t="str">
            <v>館　　光雄</v>
          </cell>
          <cell r="H952">
            <v>91</v>
          </cell>
          <cell r="I952">
            <v>168</v>
          </cell>
          <cell r="J952" t="str">
            <v>492</v>
          </cell>
          <cell r="K952" t="str">
            <v>稲沢市奥田大沢町27</v>
          </cell>
          <cell r="L952" t="str">
            <v xml:space="preserve"> </v>
          </cell>
          <cell r="M952" t="str">
            <v>0587-32-6281</v>
          </cell>
          <cell r="N952" t="str">
            <v>/</v>
          </cell>
          <cell r="O952" t="str">
            <v>プラスチック用金型</v>
          </cell>
          <cell r="P952" t="str">
            <v>▽</v>
          </cell>
          <cell r="Q952" t="str">
            <v xml:space="preserve"> </v>
          </cell>
          <cell r="T952" t="str">
            <v>ﾀﾃﾏﾂﾓｰﾙﾄﾞｺｳｷﾞｮｳ</v>
          </cell>
          <cell r="V952" t="str">
            <v>30</v>
          </cell>
        </row>
        <row r="953">
          <cell r="B953" t="str">
            <v>8409</v>
          </cell>
          <cell r="C953" t="str">
            <v>#</v>
          </cell>
          <cell r="D953" t="str">
            <v>東芝ケミカル(株)</v>
          </cell>
          <cell r="F953" t="str">
            <v>取締役社長</v>
          </cell>
          <cell r="G953" t="str">
            <v>箭吹  一誠</v>
          </cell>
          <cell r="H953">
            <v>10172</v>
          </cell>
          <cell r="I953">
            <v>1129</v>
          </cell>
          <cell r="J953" t="str">
            <v>105</v>
          </cell>
          <cell r="K953" t="str">
            <v>港区新橋3-3-9</v>
          </cell>
          <cell r="L953" t="str">
            <v xml:space="preserve"> </v>
          </cell>
          <cell r="M953" t="str">
            <v>03-3502-3212</v>
          </cell>
          <cell r="N953" t="str">
            <v>/3501-9876</v>
          </cell>
          <cell r="O953" t="str">
            <v>プラスチック製品製造</v>
          </cell>
          <cell r="Q953" t="str">
            <v xml:space="preserve"> </v>
          </cell>
          <cell r="T953" t="str">
            <v>ﾄｳｼﾊﾞｹﾐｶﾙ</v>
          </cell>
          <cell r="V953" t="str">
            <v>30</v>
          </cell>
        </row>
        <row r="954">
          <cell r="B954" t="str">
            <v>8409</v>
          </cell>
          <cell r="C954" t="str">
            <v>A</v>
          </cell>
          <cell r="D954" t="str">
            <v>東芝ケミカル(株)</v>
          </cell>
          <cell r="E954" t="str">
            <v>成形品金型営業部</v>
          </cell>
          <cell r="J954" t="str">
            <v>332</v>
          </cell>
          <cell r="K954" t="str">
            <v>川口市領家5-14-25</v>
          </cell>
          <cell r="L954" t="str">
            <v xml:space="preserve"> </v>
          </cell>
          <cell r="M954" t="str">
            <v>048-225-8117</v>
          </cell>
          <cell r="N954" t="str">
            <v>/225-8187</v>
          </cell>
          <cell r="O954" t="str">
            <v>プラスチック製品製造</v>
          </cell>
          <cell r="Q954" t="str">
            <v xml:space="preserve"> </v>
          </cell>
          <cell r="T954" t="str">
            <v>ﾄｳｼﾊﾞｹﾐｶﾙ</v>
          </cell>
          <cell r="V954" t="str">
            <v>30</v>
          </cell>
        </row>
        <row r="955">
          <cell r="B955" t="str">
            <v>8410</v>
          </cell>
          <cell r="C955" t="str">
            <v>#</v>
          </cell>
          <cell r="D955" t="str">
            <v>(株)タマディック</v>
          </cell>
          <cell r="F955" t="str">
            <v>代表取締役</v>
          </cell>
          <cell r="G955" t="str">
            <v>渋谷  真雄</v>
          </cell>
          <cell r="H955">
            <v>99</v>
          </cell>
          <cell r="I955">
            <v>550</v>
          </cell>
          <cell r="J955" t="str">
            <v>201</v>
          </cell>
          <cell r="K955" t="str">
            <v>狛江市中和泉5-33-37</v>
          </cell>
          <cell r="L955" t="str">
            <v xml:space="preserve"> </v>
          </cell>
          <cell r="M955" t="str">
            <v>03-5497-6511</v>
          </cell>
          <cell r="N955" t="str">
            <v>/5497-6517</v>
          </cell>
          <cell r="O955" t="str">
            <v>車体組立,治具設計</v>
          </cell>
          <cell r="Q955" t="str">
            <v xml:space="preserve"> </v>
          </cell>
          <cell r="R955" t="str">
            <v>□</v>
          </cell>
          <cell r="T955" t="str">
            <v>ﾀﾏﾃﾞｨｯｸ</v>
          </cell>
          <cell r="V955" t="str">
            <v>30</v>
          </cell>
        </row>
        <row r="956">
          <cell r="B956" t="str">
            <v>8411</v>
          </cell>
          <cell r="C956" t="str">
            <v>#</v>
          </cell>
          <cell r="D956" t="str">
            <v>(株)秀鋼社</v>
          </cell>
          <cell r="F956" t="str">
            <v>代表取締役</v>
          </cell>
          <cell r="G956" t="str">
            <v>金子　秀夫</v>
          </cell>
          <cell r="H956">
            <v>10</v>
          </cell>
          <cell r="I956">
            <v>25</v>
          </cell>
          <cell r="J956" t="str">
            <v>171</v>
          </cell>
          <cell r="K956" t="str">
            <v>豊島区西池袋1-43-7</v>
          </cell>
          <cell r="L956" t="str">
            <v>福住ビル601号</v>
          </cell>
          <cell r="M956" t="str">
            <v>03-3983-0648</v>
          </cell>
          <cell r="N956" t="str">
            <v>/</v>
          </cell>
          <cell r="O956" t="str">
            <v>熱処理用治具</v>
          </cell>
          <cell r="Q956" t="str">
            <v xml:space="preserve"> </v>
          </cell>
          <cell r="T956" t="str">
            <v>ｼｭｳｺｳｼｬ</v>
          </cell>
          <cell r="V956" t="str">
            <v>30</v>
          </cell>
        </row>
        <row r="957">
          <cell r="B957" t="str">
            <v>8412</v>
          </cell>
          <cell r="C957" t="str">
            <v>#</v>
          </cell>
          <cell r="D957" t="str">
            <v>(株)冨塚製作所</v>
          </cell>
          <cell r="F957" t="str">
            <v>代表取締役</v>
          </cell>
          <cell r="G957" t="str">
            <v>冨塚　利次</v>
          </cell>
          <cell r="H957">
            <v>10</v>
          </cell>
          <cell r="I957">
            <v>25</v>
          </cell>
          <cell r="J957" t="str">
            <v>416</v>
          </cell>
          <cell r="K957" t="str">
            <v>富士市五貫島837</v>
          </cell>
          <cell r="L957" t="str">
            <v xml:space="preserve"> </v>
          </cell>
          <cell r="M957" t="str">
            <v>0545-61-8496</v>
          </cell>
          <cell r="N957" t="str">
            <v>/</v>
          </cell>
          <cell r="O957" t="str">
            <v>プレス用金型</v>
          </cell>
          <cell r="P957" t="str">
            <v>▽</v>
          </cell>
          <cell r="Q957" t="str">
            <v xml:space="preserve"> </v>
          </cell>
          <cell r="S957" t="str">
            <v>☆</v>
          </cell>
          <cell r="T957" t="str">
            <v>ﾄﾐﾂﾞｶｾｲｻｸｼｮ</v>
          </cell>
          <cell r="V957" t="str">
            <v>30</v>
          </cell>
        </row>
        <row r="958">
          <cell r="B958" t="str">
            <v>8413</v>
          </cell>
          <cell r="C958" t="str">
            <v>#</v>
          </cell>
          <cell r="D958" t="str">
            <v>(株)駿河ｴﾝｼﾞﾆｱﾘﾝｸﾞ</v>
          </cell>
          <cell r="F958" t="str">
            <v>代表取締役社長</v>
          </cell>
          <cell r="G958" t="str">
            <v>鈴木　光一</v>
          </cell>
          <cell r="H958">
            <v>48</v>
          </cell>
          <cell r="I958">
            <v>55</v>
          </cell>
          <cell r="J958" t="str">
            <v>417</v>
          </cell>
          <cell r="K958" t="str">
            <v>富士市今泉字花の木652-1</v>
          </cell>
          <cell r="L958" t="str">
            <v xml:space="preserve"> </v>
          </cell>
          <cell r="M958" t="str">
            <v>0545-51-5221</v>
          </cell>
          <cell r="N958" t="str">
            <v>/</v>
          </cell>
          <cell r="O958" t="str">
            <v>金型</v>
          </cell>
          <cell r="P958" t="str">
            <v>▽</v>
          </cell>
          <cell r="Q958" t="str">
            <v xml:space="preserve"> </v>
          </cell>
          <cell r="T958" t="str">
            <v>ｽﾙｶﾞｴﾝｼﾞﾆｱﾘﾝｸﾞ</v>
          </cell>
          <cell r="V958" t="str">
            <v>30</v>
          </cell>
        </row>
        <row r="959">
          <cell r="B959" t="str">
            <v>8414</v>
          </cell>
          <cell r="C959" t="str">
            <v>#</v>
          </cell>
          <cell r="D959" t="str">
            <v>プレス工機(株)</v>
          </cell>
          <cell r="F959" t="str">
            <v>取締役社長</v>
          </cell>
          <cell r="G959" t="str">
            <v>長谷川  實</v>
          </cell>
          <cell r="H959">
            <v>40</v>
          </cell>
          <cell r="I959">
            <v>104</v>
          </cell>
          <cell r="J959" t="str">
            <v>411</v>
          </cell>
          <cell r="K959" t="str">
            <v>静岡県駿東郡長泉町納米里</v>
          </cell>
          <cell r="L959" t="str">
            <v>550</v>
          </cell>
          <cell r="M959" t="str">
            <v>0559-86-2245</v>
          </cell>
          <cell r="N959" t="str">
            <v>/</v>
          </cell>
          <cell r="O959" t="str">
            <v>プレス用金型</v>
          </cell>
          <cell r="P959" t="str">
            <v>▽</v>
          </cell>
          <cell r="Q959" t="str">
            <v xml:space="preserve"> </v>
          </cell>
          <cell r="T959" t="str">
            <v>ﾌﾟﾚｽｺｳｷ</v>
          </cell>
          <cell r="V959" t="str">
            <v>30</v>
          </cell>
        </row>
        <row r="960">
          <cell r="B960" t="str">
            <v>8415</v>
          </cell>
          <cell r="C960" t="str">
            <v>#</v>
          </cell>
          <cell r="D960" t="str">
            <v>リョービ(株)</v>
          </cell>
          <cell r="F960" t="str">
            <v>取締役社長</v>
          </cell>
          <cell r="G960" t="str">
            <v>浦上　浩</v>
          </cell>
          <cell r="H960">
            <v>18430</v>
          </cell>
          <cell r="I960">
            <v>2451</v>
          </cell>
          <cell r="J960" t="str">
            <v>726</v>
          </cell>
          <cell r="K960" t="str">
            <v>広島県府中市目崎762</v>
          </cell>
          <cell r="L960" t="str">
            <v/>
          </cell>
          <cell r="M960" t="str">
            <v>0847-41-1111</v>
          </cell>
          <cell r="N960" t="str">
            <v>/</v>
          </cell>
          <cell r="O960" t="str">
            <v>ﾀﾞｲｶｽﾄ</v>
          </cell>
          <cell r="Q960" t="str">
            <v>◎</v>
          </cell>
          <cell r="R960" t="str">
            <v>□</v>
          </cell>
          <cell r="S960" t="str">
            <v>☆</v>
          </cell>
          <cell r="T960" t="str">
            <v>ﾘｮｰﾋﾞ</v>
          </cell>
          <cell r="V960" t="str">
            <v>53</v>
          </cell>
        </row>
        <row r="961">
          <cell r="B961" t="str">
            <v>8415</v>
          </cell>
          <cell r="C961" t="str">
            <v>A</v>
          </cell>
          <cell r="D961" t="str">
            <v>リョービ(株)</v>
          </cell>
          <cell r="E961" t="str">
            <v>東京本社</v>
          </cell>
          <cell r="F961" t="str">
            <v>取締役社長</v>
          </cell>
          <cell r="G961" t="str">
            <v>浦上　浩</v>
          </cell>
          <cell r="J961" t="str">
            <v>101</v>
          </cell>
          <cell r="K961" t="str">
            <v>千代田区外神田3-15-1</v>
          </cell>
          <cell r="L961" t="str">
            <v xml:space="preserve"> </v>
          </cell>
          <cell r="M961" t="str">
            <v>03-3257-1500</v>
          </cell>
          <cell r="N961" t="str">
            <v>/</v>
          </cell>
          <cell r="O961" t="str">
            <v>建築用品</v>
          </cell>
          <cell r="Q961" t="str">
            <v xml:space="preserve"> </v>
          </cell>
          <cell r="T961" t="str">
            <v>ﾘｮｰﾋﾞ</v>
          </cell>
          <cell r="V961" t="str">
            <v>53</v>
          </cell>
        </row>
        <row r="962">
          <cell r="B962" t="str">
            <v>8415</v>
          </cell>
          <cell r="C962" t="str">
            <v>B</v>
          </cell>
          <cell r="D962" t="str">
            <v>リョービ(株)</v>
          </cell>
          <cell r="E962" t="str">
            <v>ﾀﾞｲｶｽﾄ本部</v>
          </cell>
          <cell r="J962" t="str">
            <v>141</v>
          </cell>
          <cell r="K962" t="str">
            <v>北区豊島5-2-8</v>
          </cell>
          <cell r="L962" t="str">
            <v/>
          </cell>
          <cell r="M962" t="str">
            <v>03-3927-5511</v>
          </cell>
          <cell r="N962" t="str">
            <v>/3911-1122</v>
          </cell>
          <cell r="O962" t="str">
            <v>ﾀﾞｲｶｽﾄ</v>
          </cell>
          <cell r="Q962" t="str">
            <v xml:space="preserve"> </v>
          </cell>
          <cell r="T962" t="str">
            <v>ﾘｮｰﾋﾞ</v>
          </cell>
          <cell r="V962" t="str">
            <v>53</v>
          </cell>
        </row>
        <row r="963">
          <cell r="B963" t="str">
            <v>8416</v>
          </cell>
          <cell r="C963" t="str">
            <v>#</v>
          </cell>
          <cell r="D963" t="str">
            <v>(株)川崎モデル製作所</v>
          </cell>
          <cell r="F963" t="str">
            <v>代表取締役</v>
          </cell>
          <cell r="G963" t="str">
            <v>岩瀬　猛男</v>
          </cell>
          <cell r="H963">
            <v>9.5</v>
          </cell>
          <cell r="I963">
            <v>29</v>
          </cell>
          <cell r="J963" t="str">
            <v>242</v>
          </cell>
          <cell r="K963" t="str">
            <v>大和市深見東2-3-19</v>
          </cell>
          <cell r="L963" t="str">
            <v xml:space="preserve"> </v>
          </cell>
          <cell r="M963" t="str">
            <v>0462-57-9111</v>
          </cell>
          <cell r="N963" t="str">
            <v>/</v>
          </cell>
          <cell r="O963" t="str">
            <v>樹脂モデル</v>
          </cell>
          <cell r="P963" t="str">
            <v>▽</v>
          </cell>
          <cell r="Q963" t="str">
            <v xml:space="preserve"> </v>
          </cell>
          <cell r="T963" t="str">
            <v>ｶﾜｻｷﾓﾃﾞﾙｾｲｻｸｼｮ</v>
          </cell>
          <cell r="V963" t="str">
            <v>30</v>
          </cell>
        </row>
        <row r="964">
          <cell r="B964" t="str">
            <v>8419</v>
          </cell>
          <cell r="C964" t="str">
            <v>#</v>
          </cell>
          <cell r="D964" t="str">
            <v>水谷精器工業(株)</v>
          </cell>
          <cell r="F964" t="str">
            <v>代表取締役社長</v>
          </cell>
          <cell r="G964" t="str">
            <v>板倉  将夫　</v>
          </cell>
          <cell r="H964">
            <v>90</v>
          </cell>
          <cell r="I964">
            <v>132</v>
          </cell>
          <cell r="J964" t="str">
            <v>496</v>
          </cell>
          <cell r="K964" t="str">
            <v>津島市越津町字新田30-1</v>
          </cell>
          <cell r="L964" t="str">
            <v xml:space="preserve"> </v>
          </cell>
          <cell r="M964" t="str">
            <v>0567-26-2167</v>
          </cell>
          <cell r="N964" t="str">
            <v>/</v>
          </cell>
          <cell r="O964" t="str">
            <v>プレス部品加工･金型</v>
          </cell>
          <cell r="P964" t="str">
            <v>▽</v>
          </cell>
          <cell r="Q964" t="str">
            <v xml:space="preserve"> </v>
          </cell>
          <cell r="T964" t="str">
            <v>ﾐｽﾞﾀﾆｾｲｷｺｳｷﾞｮｳ</v>
          </cell>
          <cell r="V964" t="str">
            <v>30</v>
          </cell>
        </row>
        <row r="965">
          <cell r="B965" t="str">
            <v>8420</v>
          </cell>
          <cell r="C965" t="str">
            <v>#</v>
          </cell>
          <cell r="D965" t="str">
            <v>ゼオン興産(株)</v>
          </cell>
          <cell r="F965" t="str">
            <v>代表取締役社長</v>
          </cell>
          <cell r="G965" t="str">
            <v>大泉　登紀夫</v>
          </cell>
          <cell r="H965">
            <v>50</v>
          </cell>
          <cell r="I965">
            <v>65</v>
          </cell>
          <cell r="J965" t="str">
            <v>104</v>
          </cell>
          <cell r="K965" t="str">
            <v>中央区八丁堀1-10-7</v>
          </cell>
          <cell r="L965" t="str">
            <v>マツダ八重洲通りビル6F</v>
          </cell>
          <cell r="M965" t="str">
            <v>03-3552-2741</v>
          </cell>
          <cell r="N965" t="str">
            <v>/</v>
          </cell>
          <cell r="O965" t="str">
            <v>樹脂型</v>
          </cell>
          <cell r="Q965" t="str">
            <v xml:space="preserve"> </v>
          </cell>
          <cell r="T965" t="str">
            <v>ｾﾞｵﾝｺｳｻﾝ</v>
          </cell>
          <cell r="V965" t="str">
            <v>30</v>
          </cell>
        </row>
        <row r="966">
          <cell r="B966" t="str">
            <v>8421</v>
          </cell>
          <cell r="C966" t="str">
            <v>#</v>
          </cell>
          <cell r="D966" t="str">
            <v>フジタ産業(株)</v>
          </cell>
          <cell r="F966" t="str">
            <v>代表取締役社長</v>
          </cell>
          <cell r="G966" t="str">
            <v>藤田　隆一</v>
          </cell>
          <cell r="H966">
            <v>45</v>
          </cell>
          <cell r="I966">
            <v>90</v>
          </cell>
          <cell r="J966" t="str">
            <v>053</v>
          </cell>
          <cell r="K966" t="str">
            <v>苫小牧市若草町5-3-5</v>
          </cell>
          <cell r="L966" t="str">
            <v xml:space="preserve"> </v>
          </cell>
          <cell r="M966" t="str">
            <v>0144-55-4343</v>
          </cell>
          <cell r="N966" t="str">
            <v>/</v>
          </cell>
          <cell r="O966" t="str">
            <v>木材・木工製品</v>
          </cell>
          <cell r="Q966" t="str">
            <v xml:space="preserve"> </v>
          </cell>
          <cell r="T966" t="str">
            <v>ﾌｼﾞﾀｻﾝｷﾞｮｳ</v>
          </cell>
          <cell r="V966" t="str">
            <v>30</v>
          </cell>
        </row>
        <row r="967">
          <cell r="B967" t="str">
            <v>8422</v>
          </cell>
          <cell r="C967" t="str">
            <v>#</v>
          </cell>
          <cell r="D967" t="str">
            <v>国策機工(株)</v>
          </cell>
          <cell r="F967" t="str">
            <v>代表取締役</v>
          </cell>
          <cell r="G967" t="str">
            <v>大島　久雄</v>
          </cell>
          <cell r="H967">
            <v>60</v>
          </cell>
          <cell r="I967">
            <v>98</v>
          </cell>
          <cell r="J967" t="str">
            <v>059-13</v>
          </cell>
          <cell r="K967" t="str">
            <v>苫小牧市字勇払149</v>
          </cell>
          <cell r="L967" t="str">
            <v xml:space="preserve"> </v>
          </cell>
          <cell r="M967" t="str">
            <v>0144-56-0321</v>
          </cell>
          <cell r="N967" t="str">
            <v>/55-3398</v>
          </cell>
          <cell r="O967" t="str">
            <v>ビットカバー</v>
          </cell>
          <cell r="Q967" t="str">
            <v xml:space="preserve"> </v>
          </cell>
          <cell r="T967" t="str">
            <v>ｺｸｻｸｷｺｳ</v>
          </cell>
          <cell r="V967" t="str">
            <v>30</v>
          </cell>
        </row>
        <row r="968">
          <cell r="B968" t="str">
            <v>8423</v>
          </cell>
          <cell r="C968" t="str">
            <v>#</v>
          </cell>
          <cell r="D968" t="str">
            <v>王子工営(株)</v>
          </cell>
          <cell r="F968" t="str">
            <v>代表取締役</v>
          </cell>
          <cell r="G968" t="str">
            <v>柳澤　和海</v>
          </cell>
          <cell r="H968">
            <v>210</v>
          </cell>
          <cell r="I968">
            <v>514</v>
          </cell>
          <cell r="J968" t="str">
            <v>053</v>
          </cell>
          <cell r="K968" t="str">
            <v>苫小牧市王子町2-1-1</v>
          </cell>
          <cell r="L968" t="str">
            <v xml:space="preserve"> </v>
          </cell>
          <cell r="M968" t="str">
            <v>0144-34-2354</v>
          </cell>
          <cell r="N968" t="str">
            <v>/</v>
          </cell>
          <cell r="O968" t="str">
            <v>モノレール工事</v>
          </cell>
          <cell r="Q968" t="str">
            <v xml:space="preserve"> </v>
          </cell>
          <cell r="T968" t="str">
            <v>ｵｳｼﾞｺｳｴｲ</v>
          </cell>
          <cell r="V968" t="str">
            <v>30</v>
          </cell>
        </row>
        <row r="969">
          <cell r="B969" t="str">
            <v>8425</v>
          </cell>
          <cell r="C969" t="str">
            <v>#</v>
          </cell>
          <cell r="D969" t="str">
            <v>(株)ナ・デックス</v>
          </cell>
          <cell r="F969" t="str">
            <v>代表取締役社長</v>
          </cell>
          <cell r="G969" t="str">
            <v>古川　雅敏</v>
          </cell>
          <cell r="H969">
            <v>275</v>
          </cell>
          <cell r="I969">
            <v>153</v>
          </cell>
          <cell r="J969" t="str">
            <v>460</v>
          </cell>
          <cell r="K969" t="str">
            <v>名古屋市中区古渡町9-27</v>
          </cell>
          <cell r="L969" t="str">
            <v xml:space="preserve"> </v>
          </cell>
          <cell r="M969" t="str">
            <v>052-322-3511</v>
          </cell>
          <cell r="N969" t="str">
            <v>/</v>
          </cell>
          <cell r="O969" t="str">
            <v>産業用ロボット</v>
          </cell>
          <cell r="Q969" t="str">
            <v xml:space="preserve"> </v>
          </cell>
          <cell r="R969" t="str">
            <v>□</v>
          </cell>
          <cell r="T969" t="str">
            <v>ﾅﾃﾞｯｸｽ</v>
          </cell>
          <cell r="V969" t="str">
            <v>30</v>
          </cell>
        </row>
        <row r="970">
          <cell r="B970" t="str">
            <v>8425</v>
          </cell>
          <cell r="C970" t="str">
            <v>A</v>
          </cell>
          <cell r="D970" t="str">
            <v>(株)ナ・デックス</v>
          </cell>
          <cell r="E970" t="str">
            <v>東京営業所</v>
          </cell>
          <cell r="F970" t="str">
            <v>所長</v>
          </cell>
          <cell r="G970" t="str">
            <v>丹羽　克美</v>
          </cell>
          <cell r="J970" t="str">
            <v>160</v>
          </cell>
          <cell r="K970" t="str">
            <v>新宿区西新宿5-3-2</v>
          </cell>
          <cell r="L970" t="str">
            <v>宝栄西新宿ビル</v>
          </cell>
          <cell r="M970" t="str">
            <v>03-3372-6301</v>
          </cell>
          <cell r="N970" t="str">
            <v>/</v>
          </cell>
          <cell r="O970" t="str">
            <v>産業用ロボット</v>
          </cell>
          <cell r="Q970" t="str">
            <v xml:space="preserve"> </v>
          </cell>
          <cell r="T970" t="str">
            <v>ﾅﾃﾞｯｸｽ</v>
          </cell>
          <cell r="V970" t="str">
            <v>30</v>
          </cell>
        </row>
        <row r="971">
          <cell r="B971" t="str">
            <v>8427</v>
          </cell>
          <cell r="C971" t="str">
            <v>#</v>
          </cell>
          <cell r="D971" t="str">
            <v>(株)青山製作所</v>
          </cell>
          <cell r="F971" t="str">
            <v>取締役社長</v>
          </cell>
          <cell r="G971" t="str">
            <v>青山　敬一郎</v>
          </cell>
          <cell r="H971">
            <v>100</v>
          </cell>
          <cell r="I971">
            <v>158</v>
          </cell>
          <cell r="J971" t="str">
            <v>462</v>
          </cell>
          <cell r="K971" t="str">
            <v>名古屋市北区杉村1丁目24-15</v>
          </cell>
          <cell r="L971" t="str">
            <v xml:space="preserve"> </v>
          </cell>
          <cell r="M971" t="str">
            <v>052-400-0566</v>
          </cell>
          <cell r="N971" t="str">
            <v>/</v>
          </cell>
          <cell r="O971" t="str">
            <v>射出成型金型</v>
          </cell>
          <cell r="Q971" t="str">
            <v xml:space="preserve"> </v>
          </cell>
          <cell r="T971" t="str">
            <v>ｱｵﾔﾏｾｲｻｸｼｮ</v>
          </cell>
          <cell r="V971" t="str">
            <v>30</v>
          </cell>
        </row>
        <row r="972">
          <cell r="B972" t="str">
            <v>8428</v>
          </cell>
          <cell r="C972" t="str">
            <v>#</v>
          </cell>
          <cell r="D972" t="str">
            <v>虹技(株)</v>
          </cell>
          <cell r="F972" t="str">
            <v>取締役社長</v>
          </cell>
          <cell r="G972" t="str">
            <v>堀田　俊之</v>
          </cell>
          <cell r="H972">
            <v>1500</v>
          </cell>
          <cell r="I972">
            <v>690</v>
          </cell>
          <cell r="J972" t="str">
            <v>653</v>
          </cell>
          <cell r="K972" t="str">
            <v>神戸市長田区一番町5-8</v>
          </cell>
          <cell r="L972" t="str">
            <v xml:space="preserve"> </v>
          </cell>
          <cell r="M972" t="str">
            <v>078-576-5081</v>
          </cell>
          <cell r="N972" t="str">
            <v>/</v>
          </cell>
          <cell r="O972" t="str">
            <v>プレス金型用素材</v>
          </cell>
          <cell r="Q972" t="str">
            <v xml:space="preserve"> </v>
          </cell>
          <cell r="R972" t="str">
            <v>□</v>
          </cell>
          <cell r="T972" t="str">
            <v>ｺｳｷﾞ</v>
          </cell>
          <cell r="V972" t="str">
            <v>30</v>
          </cell>
        </row>
        <row r="973">
          <cell r="B973" t="str">
            <v>8428</v>
          </cell>
          <cell r="C973" t="str">
            <v>A</v>
          </cell>
          <cell r="D973" t="str">
            <v>虹技(株)</v>
          </cell>
          <cell r="E973" t="str">
            <v>東京支社</v>
          </cell>
          <cell r="F973" t="str">
            <v>支社長</v>
          </cell>
          <cell r="G973" t="str">
            <v>渋谷  宏</v>
          </cell>
          <cell r="K973" t="str">
            <v xml:space="preserve"> </v>
          </cell>
          <cell r="L973" t="str">
            <v xml:space="preserve"> </v>
          </cell>
          <cell r="M973" t="str">
            <v>03-3563-1721</v>
          </cell>
          <cell r="N973" t="str">
            <v>/</v>
          </cell>
          <cell r="O973" t="str">
            <v>プレス金型用素材</v>
          </cell>
          <cell r="Q973" t="str">
            <v xml:space="preserve"> </v>
          </cell>
          <cell r="T973" t="str">
            <v>ｺｳｷﾞ</v>
          </cell>
          <cell r="V973" t="str">
            <v>30</v>
          </cell>
        </row>
        <row r="974">
          <cell r="B974" t="str">
            <v>8429</v>
          </cell>
          <cell r="C974" t="str">
            <v>#</v>
          </cell>
          <cell r="D974" t="str">
            <v>(株)シバックス</v>
          </cell>
          <cell r="F974" t="str">
            <v>代表取締役</v>
          </cell>
          <cell r="G974" t="str">
            <v>柴崎　恒雄</v>
          </cell>
          <cell r="H974">
            <v>143.6</v>
          </cell>
          <cell r="I974">
            <v>153</v>
          </cell>
          <cell r="J974" t="str">
            <v>226</v>
          </cell>
          <cell r="K974" t="str">
            <v>横浜市緑区川和町255-3</v>
          </cell>
          <cell r="L974" t="str">
            <v xml:space="preserve"> </v>
          </cell>
          <cell r="M974" t="str">
            <v>045-934-1901</v>
          </cell>
          <cell r="N974" t="str">
            <v>/</v>
          </cell>
          <cell r="O974" t="str">
            <v>試作木型,治具</v>
          </cell>
          <cell r="Q974" t="str">
            <v xml:space="preserve"> </v>
          </cell>
          <cell r="T974" t="str">
            <v>ｼﾊﾞｯｸｽ</v>
          </cell>
          <cell r="V974" t="str">
            <v>30</v>
          </cell>
        </row>
        <row r="975">
          <cell r="B975" t="str">
            <v>8429</v>
          </cell>
          <cell r="C975" t="str">
            <v>A</v>
          </cell>
          <cell r="D975" t="str">
            <v>(株)シバックス</v>
          </cell>
          <cell r="F975" t="str">
            <v>業務部長</v>
          </cell>
          <cell r="G975" t="str">
            <v>山川　春雄</v>
          </cell>
          <cell r="J975" t="str">
            <v>226</v>
          </cell>
          <cell r="K975" t="str">
            <v>横浜市緑区川和町255-3</v>
          </cell>
          <cell r="L975" t="str">
            <v xml:space="preserve"> </v>
          </cell>
          <cell r="N975" t="str">
            <v>/</v>
          </cell>
          <cell r="O975" t="str">
            <v>試作木型,治具</v>
          </cell>
          <cell r="Q975" t="str">
            <v xml:space="preserve"> </v>
          </cell>
          <cell r="T975" t="str">
            <v>ｼﾊﾞｯｸｽ</v>
          </cell>
          <cell r="V975" t="str">
            <v>30</v>
          </cell>
        </row>
        <row r="976">
          <cell r="B976" t="str">
            <v>8430</v>
          </cell>
          <cell r="C976" t="str">
            <v>#</v>
          </cell>
          <cell r="D976" t="str">
            <v>(株)ＹＰＫ</v>
          </cell>
          <cell r="F976" t="str">
            <v>代表取締役</v>
          </cell>
          <cell r="G976" t="str">
            <v>戸田　三</v>
          </cell>
          <cell r="H976">
            <v>90</v>
          </cell>
          <cell r="I976">
            <v>108</v>
          </cell>
          <cell r="J976" t="str">
            <v>101</v>
          </cell>
          <cell r="K976" t="str">
            <v>千代田区内神田1-5-4</v>
          </cell>
          <cell r="L976" t="str">
            <v xml:space="preserve"> </v>
          </cell>
          <cell r="M976" t="str">
            <v>03-3295-9411</v>
          </cell>
          <cell r="N976" t="str">
            <v>/</v>
          </cell>
          <cell r="O976" t="str">
            <v>射出成型機</v>
          </cell>
          <cell r="Q976" t="str">
            <v xml:space="preserve"> </v>
          </cell>
          <cell r="T976" t="str">
            <v>ﾜｲﾋﾟｰｹｰ</v>
          </cell>
          <cell r="V976" t="str">
            <v>30</v>
          </cell>
        </row>
        <row r="977">
          <cell r="B977" t="str">
            <v>8430</v>
          </cell>
          <cell r="C977" t="str">
            <v>A</v>
          </cell>
          <cell r="D977" t="str">
            <v>(株)ＹＰＫ</v>
          </cell>
          <cell r="F977" t="str">
            <v>取締役東京支店長</v>
          </cell>
          <cell r="G977" t="str">
            <v>宮下　袈裟雄</v>
          </cell>
          <cell r="J977" t="str">
            <v>101</v>
          </cell>
          <cell r="K977" t="str">
            <v>千代田区内神田1-5-4</v>
          </cell>
          <cell r="L977" t="str">
            <v xml:space="preserve"> </v>
          </cell>
          <cell r="N977" t="str">
            <v>/</v>
          </cell>
          <cell r="O977" t="str">
            <v>射出成型機</v>
          </cell>
          <cell r="Q977" t="str">
            <v xml:space="preserve"> </v>
          </cell>
          <cell r="T977" t="str">
            <v>ﾜｲﾋﾟｰｹｰ</v>
          </cell>
          <cell r="V977" t="str">
            <v>30</v>
          </cell>
        </row>
        <row r="978">
          <cell r="B978" t="str">
            <v>8431</v>
          </cell>
          <cell r="C978" t="str">
            <v>#</v>
          </cell>
          <cell r="D978" t="str">
            <v>(株)湘南ｵｰﾄﾒｰｼｮﾝ</v>
          </cell>
          <cell r="F978" t="str">
            <v>代表取締役</v>
          </cell>
          <cell r="G978" t="str">
            <v>佐藤　克男</v>
          </cell>
          <cell r="H978">
            <v>15</v>
          </cell>
          <cell r="I978">
            <v>46</v>
          </cell>
          <cell r="J978" t="str">
            <v>241</v>
          </cell>
          <cell r="K978" t="str">
            <v>横浜市旭区川井本町136</v>
          </cell>
          <cell r="L978" t="str">
            <v xml:space="preserve"> </v>
          </cell>
          <cell r="M978" t="str">
            <v>045-953-5093</v>
          </cell>
          <cell r="N978" t="str">
            <v>/953-5096</v>
          </cell>
          <cell r="O978" t="str">
            <v>制御装置</v>
          </cell>
          <cell r="Q978" t="str">
            <v xml:space="preserve"> </v>
          </cell>
          <cell r="R978" t="str">
            <v>□</v>
          </cell>
          <cell r="T978" t="str">
            <v>ｼｮｳﾅﾝｵｰﾄﾒｰｼｮﾝ</v>
          </cell>
          <cell r="V978" t="str">
            <v>30</v>
          </cell>
        </row>
        <row r="979">
          <cell r="B979" t="str">
            <v>8432</v>
          </cell>
          <cell r="C979" t="str">
            <v>#</v>
          </cell>
          <cell r="D979" t="str">
            <v>ﾄｯﾊﾟﾝ ｴﾑｱﾝﾄﾞｱｲ(株)</v>
          </cell>
          <cell r="F979" t="str">
            <v>代表取締役</v>
          </cell>
          <cell r="G979" t="str">
            <v>瀧澤  幹男</v>
          </cell>
          <cell r="H979">
            <v>400</v>
          </cell>
          <cell r="I979">
            <v>122</v>
          </cell>
          <cell r="J979" t="str">
            <v>161</v>
          </cell>
          <cell r="K979" t="str">
            <v>新宿区下落合1-5-22</v>
          </cell>
          <cell r="L979" t="str">
            <v>アリミノビル5階</v>
          </cell>
          <cell r="M979" t="str">
            <v>03-5330-6670</v>
          </cell>
          <cell r="N979" t="str">
            <v>/5330-6680</v>
          </cell>
          <cell r="O979" t="str">
            <v>IBM製ｺﾝﾋﾟｭｰﾀｰ</v>
          </cell>
          <cell r="Q979" t="str">
            <v xml:space="preserve"> </v>
          </cell>
          <cell r="R979" t="str">
            <v>□</v>
          </cell>
          <cell r="T979" t="str">
            <v>ﾄｯﾊﾟﾝ ｴﾑｱﾝﾄﾞｱｲ</v>
          </cell>
          <cell r="V979" t="str">
            <v>30</v>
          </cell>
        </row>
        <row r="980">
          <cell r="B980" t="str">
            <v>8433</v>
          </cell>
          <cell r="C980" t="str">
            <v>#</v>
          </cell>
          <cell r="D980" t="str">
            <v>川商エレクトロニクス(株)</v>
          </cell>
          <cell r="F980" t="str">
            <v>代表取締役社長</v>
          </cell>
          <cell r="G980" t="str">
            <v>寺沢  毅</v>
          </cell>
          <cell r="H980">
            <v>75</v>
          </cell>
          <cell r="I980">
            <v>94</v>
          </cell>
          <cell r="J980" t="str">
            <v>110</v>
          </cell>
          <cell r="K980" t="str">
            <v>台東区東上野2-1-13</v>
          </cell>
          <cell r="L980" t="str">
            <v>東上野ｾﾝﾀｰﾋﾞﾙ6F</v>
          </cell>
          <cell r="M980" t="str">
            <v>03-3845-7081</v>
          </cell>
          <cell r="N980" t="str">
            <v>/3845-7090</v>
          </cell>
          <cell r="O980" t="str">
            <v>産業用ロボット</v>
          </cell>
          <cell r="Q980" t="str">
            <v xml:space="preserve"> </v>
          </cell>
          <cell r="R980" t="str">
            <v>□</v>
          </cell>
          <cell r="T980" t="str">
            <v>ｶﾜｼｮｳｴﾚｸﾄﾛﾆｸｽ</v>
          </cell>
          <cell r="V980" t="str">
            <v>30</v>
          </cell>
        </row>
        <row r="981">
          <cell r="B981" t="str">
            <v>8434</v>
          </cell>
          <cell r="C981" t="str">
            <v>#</v>
          </cell>
          <cell r="D981" t="str">
            <v>三宝精機工業(株)</v>
          </cell>
          <cell r="F981" t="str">
            <v>代表取締役</v>
          </cell>
          <cell r="G981" t="str">
            <v>金子　憲男</v>
          </cell>
          <cell r="H981">
            <v>10</v>
          </cell>
          <cell r="I981">
            <v>40</v>
          </cell>
          <cell r="J981" t="str">
            <v>244</v>
          </cell>
          <cell r="K981" t="str">
            <v>横浜市戸塚区舞岡町353</v>
          </cell>
          <cell r="L981" t="str">
            <v xml:space="preserve"> </v>
          </cell>
          <cell r="M981" t="str">
            <v>045-822-3561</v>
          </cell>
          <cell r="N981" t="str">
            <v>/824-0151</v>
          </cell>
          <cell r="O981" t="str">
            <v>工作機械の修理</v>
          </cell>
          <cell r="P981" t="str">
            <v>▽</v>
          </cell>
          <cell r="Q981" t="str">
            <v>◎</v>
          </cell>
          <cell r="R981" t="str">
            <v>□</v>
          </cell>
          <cell r="S981" t="str">
            <v>☆</v>
          </cell>
          <cell r="T981" t="str">
            <v>ｻﾝﾎﾟｳｾｲｷｺｳｷﾞｮｳ</v>
          </cell>
          <cell r="V981" t="str">
            <v>30</v>
          </cell>
        </row>
        <row r="982">
          <cell r="B982" t="str">
            <v>8435</v>
          </cell>
          <cell r="C982" t="str">
            <v>#</v>
          </cell>
          <cell r="D982" t="str">
            <v>西川計測(株)</v>
          </cell>
          <cell r="F982" t="str">
            <v>代表取締役社長</v>
          </cell>
          <cell r="G982" t="str">
            <v>西川　徹</v>
          </cell>
          <cell r="H982">
            <v>63</v>
          </cell>
          <cell r="I982">
            <v>337</v>
          </cell>
          <cell r="J982" t="str">
            <v>108</v>
          </cell>
          <cell r="K982" t="str">
            <v>港区三田3-2-8</v>
          </cell>
          <cell r="L982" t="str">
            <v>第二中島ビル</v>
          </cell>
          <cell r="M982" t="str">
            <v>03-3453-1331</v>
          </cell>
          <cell r="N982" t="str">
            <v>/3453-3994</v>
          </cell>
          <cell r="O982" t="str">
            <v>計測器</v>
          </cell>
          <cell r="Q982" t="str">
            <v xml:space="preserve"> </v>
          </cell>
          <cell r="R982" t="str">
            <v>□</v>
          </cell>
          <cell r="T982" t="str">
            <v>ﾆｼｶﾜｹｲｿｸ</v>
          </cell>
          <cell r="V982" t="str">
            <v>30</v>
          </cell>
        </row>
        <row r="983">
          <cell r="B983" t="str">
            <v>8435</v>
          </cell>
          <cell r="C983" t="str">
            <v>A</v>
          </cell>
          <cell r="D983" t="str">
            <v>西川計測(株)</v>
          </cell>
          <cell r="E983" t="str">
            <v>神奈川支社</v>
          </cell>
          <cell r="F983" t="str">
            <v>神奈川支社長</v>
          </cell>
          <cell r="G983" t="str">
            <v>姪田  政男</v>
          </cell>
          <cell r="J983" t="str">
            <v>210</v>
          </cell>
          <cell r="K983" t="str">
            <v>川崎市川崎区南町1-8</v>
          </cell>
          <cell r="L983" t="str">
            <v>林ビル川崎</v>
          </cell>
          <cell r="M983" t="str">
            <v>044-233-8131</v>
          </cell>
          <cell r="N983" t="str">
            <v>/233-3079</v>
          </cell>
          <cell r="O983" t="str">
            <v>計測器</v>
          </cell>
          <cell r="T983" t="str">
            <v>ﾆｼｶﾜｹｲｿｸ</v>
          </cell>
          <cell r="V983" t="str">
            <v>30</v>
          </cell>
        </row>
        <row r="984">
          <cell r="B984" t="str">
            <v>8436</v>
          </cell>
          <cell r="C984" t="str">
            <v>#</v>
          </cell>
          <cell r="D984" t="str">
            <v>高木鋳工(株)</v>
          </cell>
          <cell r="F984" t="str">
            <v>代表取締役</v>
          </cell>
          <cell r="G984" t="str">
            <v>高木　清</v>
          </cell>
          <cell r="H984">
            <v>10</v>
          </cell>
          <cell r="I984">
            <v>26</v>
          </cell>
          <cell r="J984" t="str">
            <v>210</v>
          </cell>
          <cell r="K984" t="str">
            <v>川崎市川崎区殿町2-7-2</v>
          </cell>
          <cell r="L984" t="str">
            <v xml:space="preserve"> </v>
          </cell>
          <cell r="M984" t="str">
            <v>044-288-4343</v>
          </cell>
          <cell r="N984" t="str">
            <v>/</v>
          </cell>
          <cell r="O984" t="str">
            <v>プレス金型用鋳物</v>
          </cell>
          <cell r="P984" t="str">
            <v>▽</v>
          </cell>
          <cell r="Q984" t="str">
            <v xml:space="preserve"> </v>
          </cell>
          <cell r="R984" t="str">
            <v>□</v>
          </cell>
          <cell r="T984" t="str">
            <v>ﾀｶｷﾞﾁｭｳｺｳ</v>
          </cell>
          <cell r="V984" t="str">
            <v>30</v>
          </cell>
        </row>
        <row r="985">
          <cell r="B985" t="str">
            <v>8437</v>
          </cell>
          <cell r="C985" t="str">
            <v>#</v>
          </cell>
          <cell r="D985" t="str">
            <v>ヤマコー(株)</v>
          </cell>
          <cell r="F985" t="str">
            <v>代表取締役</v>
          </cell>
          <cell r="G985" t="str">
            <v>山本　義祐</v>
          </cell>
          <cell r="H985">
            <v>99.6</v>
          </cell>
          <cell r="J985" t="str">
            <v>736</v>
          </cell>
          <cell r="K985" t="str">
            <v>広島県安芸郡海田町曽田3-74</v>
          </cell>
          <cell r="L985" t="str">
            <v xml:space="preserve"> </v>
          </cell>
          <cell r="M985" t="str">
            <v>082-823-2111</v>
          </cell>
          <cell r="N985" t="str">
            <v>/</v>
          </cell>
          <cell r="O985" t="str">
            <v>プレス金型</v>
          </cell>
          <cell r="P985" t="str">
            <v>▽</v>
          </cell>
          <cell r="Q985" t="str">
            <v xml:space="preserve"> </v>
          </cell>
          <cell r="T985" t="str">
            <v>ﾔﾏｺｰ</v>
          </cell>
          <cell r="V985" t="str">
            <v>30</v>
          </cell>
        </row>
        <row r="986">
          <cell r="B986" t="str">
            <v>8438</v>
          </cell>
          <cell r="C986" t="str">
            <v>#</v>
          </cell>
          <cell r="D986" t="str">
            <v>大興電子通信(株)</v>
          </cell>
          <cell r="F986" t="str">
            <v>代表取締役社長</v>
          </cell>
          <cell r="G986" t="str">
            <v>石橋　進</v>
          </cell>
          <cell r="H986">
            <v>2019</v>
          </cell>
          <cell r="I986">
            <v>1235</v>
          </cell>
          <cell r="J986" t="str">
            <v>162</v>
          </cell>
          <cell r="K986" t="str">
            <v>新宿区揚場町2-1</v>
          </cell>
          <cell r="L986" t="str">
            <v xml:space="preserve"> </v>
          </cell>
          <cell r="M986" t="str">
            <v>03-3266-8133</v>
          </cell>
          <cell r="N986" t="str">
            <v>/3266-8170</v>
          </cell>
          <cell r="O986" t="str">
            <v>ｵﾌｺﾝｿﾌﾄｳｪｱ製作</v>
          </cell>
          <cell r="Q986" t="str">
            <v xml:space="preserve"> </v>
          </cell>
          <cell r="T986" t="str">
            <v>ﾀﾞｲｺｳﾃﾞﾝｼﾂｳｼﾝ</v>
          </cell>
          <cell r="U986" t="str">
            <v xml:space="preserve"> </v>
          </cell>
          <cell r="V986" t="str">
            <v>30</v>
          </cell>
        </row>
        <row r="987">
          <cell r="B987" t="str">
            <v>8439</v>
          </cell>
          <cell r="C987" t="str">
            <v>#</v>
          </cell>
          <cell r="D987" t="str">
            <v>(株)第一通商</v>
          </cell>
          <cell r="F987" t="str">
            <v>代表取締役社長</v>
          </cell>
          <cell r="G987" t="str">
            <v>城井　正雄</v>
          </cell>
          <cell r="H987">
            <v>30</v>
          </cell>
          <cell r="J987" t="str">
            <v>182</v>
          </cell>
          <cell r="K987" t="str">
            <v>調布市下石原1-54-1</v>
          </cell>
          <cell r="L987" t="str">
            <v xml:space="preserve"> </v>
          </cell>
          <cell r="M987" t="str">
            <v>0424-89-3611</v>
          </cell>
          <cell r="N987" t="str">
            <v>/89-3615</v>
          </cell>
          <cell r="O987" t="str">
            <v>ナットランナ・トルク検定器</v>
          </cell>
          <cell r="P987" t="str">
            <v>▽</v>
          </cell>
          <cell r="Q987" t="str">
            <v xml:space="preserve"> </v>
          </cell>
          <cell r="R987" t="str">
            <v>□</v>
          </cell>
          <cell r="T987" t="str">
            <v>ﾀﾞｲｲﾁﾂｳｼｮｳ</v>
          </cell>
          <cell r="V987" t="str">
            <v>30</v>
          </cell>
        </row>
        <row r="988">
          <cell r="B988" t="str">
            <v>8440</v>
          </cell>
          <cell r="C988" t="str">
            <v>#</v>
          </cell>
          <cell r="D988" t="str">
            <v>(株)小樽製作所</v>
          </cell>
          <cell r="F988" t="str">
            <v>取締役社長</v>
          </cell>
          <cell r="G988" t="str">
            <v>鈴木　利男</v>
          </cell>
          <cell r="H988">
            <v>100</v>
          </cell>
          <cell r="I988">
            <v>174</v>
          </cell>
          <cell r="J988" t="str">
            <v>047-02</v>
          </cell>
          <cell r="K988" t="str">
            <v>小樽市銭函3-511-12</v>
          </cell>
          <cell r="L988" t="str">
            <v xml:space="preserve"> </v>
          </cell>
          <cell r="M988" t="str">
            <v>0134-62-5252</v>
          </cell>
          <cell r="N988" t="str">
            <v>/</v>
          </cell>
          <cell r="O988" t="str">
            <v>工作機械</v>
          </cell>
          <cell r="Q988" t="str">
            <v xml:space="preserve"> </v>
          </cell>
          <cell r="T988" t="str">
            <v>ｵﾀﾙｾｲｻｸｼｮ</v>
          </cell>
          <cell r="V988" t="str">
            <v>30</v>
          </cell>
        </row>
        <row r="989">
          <cell r="B989" t="str">
            <v>8440</v>
          </cell>
          <cell r="C989" t="str">
            <v>A</v>
          </cell>
          <cell r="D989" t="str">
            <v>(株)小樽製作所</v>
          </cell>
          <cell r="E989" t="str">
            <v>大宮営業所</v>
          </cell>
          <cell r="J989" t="str">
            <v>330</v>
          </cell>
          <cell r="K989" t="str">
            <v>大宮市東大宮4-8-5</v>
          </cell>
          <cell r="L989" t="str">
            <v>千代本ビル2F</v>
          </cell>
          <cell r="M989" t="str">
            <v>048-666-1088</v>
          </cell>
          <cell r="N989" t="str">
            <v>/666-1063</v>
          </cell>
          <cell r="O989" t="str">
            <v>工作機械</v>
          </cell>
          <cell r="T989" t="str">
            <v>ｵﾀﾙｾｲｻｸｼｮ</v>
          </cell>
          <cell r="V989" t="str">
            <v>30</v>
          </cell>
        </row>
        <row r="990">
          <cell r="B990" t="str">
            <v>8442</v>
          </cell>
          <cell r="C990" t="str">
            <v>#</v>
          </cell>
          <cell r="D990" t="str">
            <v>(株)増田鉄工所</v>
          </cell>
          <cell r="F990" t="str">
            <v>代表取締役</v>
          </cell>
          <cell r="G990" t="str">
            <v>増田　省吾</v>
          </cell>
          <cell r="H990">
            <v>20</v>
          </cell>
          <cell r="J990" t="str">
            <v>417</v>
          </cell>
          <cell r="K990" t="str">
            <v>富士市大渕字横沢2457-1</v>
          </cell>
          <cell r="L990" t="str">
            <v xml:space="preserve"> </v>
          </cell>
          <cell r="M990" t="str">
            <v>0545-35-3156</v>
          </cell>
          <cell r="N990" t="str">
            <v>/</v>
          </cell>
          <cell r="O990" t="str">
            <v>プレス金型</v>
          </cell>
          <cell r="P990" t="str">
            <v>▽</v>
          </cell>
          <cell r="Q990" t="str">
            <v xml:space="preserve"> </v>
          </cell>
          <cell r="S990" t="str">
            <v>☆</v>
          </cell>
          <cell r="T990" t="str">
            <v>ﾏｽﾀﾞﾃｯｺｳｼｮ</v>
          </cell>
          <cell r="V990" t="str">
            <v>30</v>
          </cell>
        </row>
        <row r="991">
          <cell r="B991" t="str">
            <v>8443</v>
          </cell>
          <cell r="C991" t="str">
            <v>#</v>
          </cell>
          <cell r="D991" t="str">
            <v>明星金属(株)</v>
          </cell>
          <cell r="F991" t="str">
            <v>代表取締役</v>
          </cell>
          <cell r="G991" t="str">
            <v>上田　彰一郎</v>
          </cell>
          <cell r="H991">
            <v>20</v>
          </cell>
          <cell r="J991" t="str">
            <v>574</v>
          </cell>
          <cell r="K991" t="str">
            <v>大東市野崎4-5-12</v>
          </cell>
          <cell r="L991" t="str">
            <v xml:space="preserve"> </v>
          </cell>
          <cell r="M991" t="str">
            <v>0720-77-1661</v>
          </cell>
          <cell r="N991" t="str">
            <v>/79-6796</v>
          </cell>
          <cell r="O991" t="str">
            <v>プレス金型</v>
          </cell>
          <cell r="P991" t="str">
            <v>▽</v>
          </cell>
          <cell r="Q991" t="str">
            <v xml:space="preserve"> </v>
          </cell>
          <cell r="T991" t="str">
            <v>ﾒｲｾｲｷﾝｿﾞｸ</v>
          </cell>
          <cell r="V991" t="str">
            <v>30</v>
          </cell>
        </row>
        <row r="992">
          <cell r="B992" t="str">
            <v>8444</v>
          </cell>
          <cell r="C992" t="str">
            <v>#</v>
          </cell>
          <cell r="D992" t="str">
            <v>(株)山本製作所</v>
          </cell>
          <cell r="F992" t="str">
            <v>代表取締役</v>
          </cell>
          <cell r="G992" t="str">
            <v>山本　功</v>
          </cell>
          <cell r="H992">
            <v>50</v>
          </cell>
          <cell r="J992" t="str">
            <v>790</v>
          </cell>
          <cell r="K992" t="str">
            <v>松山市小栗3-7-19</v>
          </cell>
          <cell r="L992" t="str">
            <v xml:space="preserve"> </v>
          </cell>
          <cell r="M992" t="str">
            <v>0899-31-2251</v>
          </cell>
          <cell r="N992" t="str">
            <v>/</v>
          </cell>
          <cell r="O992" t="str">
            <v>プレス金型</v>
          </cell>
          <cell r="P992" t="str">
            <v>▽</v>
          </cell>
          <cell r="Q992" t="str">
            <v xml:space="preserve"> </v>
          </cell>
          <cell r="T992" t="str">
            <v>ﾔﾏﾓﾄｾｲｻｸｼｮ</v>
          </cell>
          <cell r="V992" t="str">
            <v>30</v>
          </cell>
        </row>
        <row r="993">
          <cell r="B993" t="str">
            <v>8445</v>
          </cell>
          <cell r="C993" t="str">
            <v>#</v>
          </cell>
          <cell r="D993" t="str">
            <v>豊ハイテック(株)</v>
          </cell>
          <cell r="F993" t="str">
            <v>取締役社長</v>
          </cell>
          <cell r="G993" t="str">
            <v>平野  善弘</v>
          </cell>
          <cell r="H993">
            <v>38</v>
          </cell>
          <cell r="I993">
            <v>252</v>
          </cell>
          <cell r="J993" t="str">
            <v>111</v>
          </cell>
          <cell r="K993" t="str">
            <v>台東区柳橋1-11-11</v>
          </cell>
          <cell r="L993" t="str">
            <v xml:space="preserve"> </v>
          </cell>
          <cell r="M993" t="str">
            <v>03-3861-7491</v>
          </cell>
          <cell r="N993" t="str">
            <v>/3861-7495</v>
          </cell>
          <cell r="O993" t="str">
            <v>工作機械治具設計</v>
          </cell>
          <cell r="Q993" t="str">
            <v xml:space="preserve"> </v>
          </cell>
          <cell r="T993" t="str">
            <v>ﾕﾀｶﾊｲﾃｯｸ</v>
          </cell>
          <cell r="V993" t="str">
            <v>30</v>
          </cell>
        </row>
        <row r="994">
          <cell r="B994" t="str">
            <v>8446</v>
          </cell>
          <cell r="C994" t="str">
            <v>#</v>
          </cell>
          <cell r="D994" t="str">
            <v xml:space="preserve">東海溶材(株) </v>
          </cell>
          <cell r="F994" t="str">
            <v>支店長</v>
          </cell>
          <cell r="G994" t="str">
            <v>杉田　幸和</v>
          </cell>
          <cell r="H994">
            <v>21</v>
          </cell>
          <cell r="I994">
            <v>217</v>
          </cell>
          <cell r="J994" t="str">
            <v>144</v>
          </cell>
          <cell r="K994" t="str">
            <v>大田区蒲田4-40-10</v>
          </cell>
          <cell r="L994" t="str">
            <v>グレイス1-102号</v>
          </cell>
          <cell r="M994" t="str">
            <v>03-5703-2091</v>
          </cell>
          <cell r="N994" t="str">
            <v>/5703-2095</v>
          </cell>
          <cell r="O994" t="str">
            <v>治具</v>
          </cell>
          <cell r="Q994" t="str">
            <v xml:space="preserve"> </v>
          </cell>
          <cell r="T994" t="str">
            <v>ﾄｳｶｲﾖｳｻﾞｲ</v>
          </cell>
          <cell r="V994" t="str">
            <v>30</v>
          </cell>
        </row>
        <row r="995">
          <cell r="B995" t="str">
            <v>8447</v>
          </cell>
          <cell r="C995" t="str">
            <v>#</v>
          </cell>
          <cell r="D995" t="str">
            <v>岩谷産業(株)</v>
          </cell>
          <cell r="F995" t="str">
            <v>機械ﾌﾟﾗﾝﾄ部部長</v>
          </cell>
          <cell r="G995" t="str">
            <v>奥出  恒夫</v>
          </cell>
          <cell r="H995">
            <v>20090</v>
          </cell>
          <cell r="J995" t="str">
            <v>104</v>
          </cell>
          <cell r="K995" t="str">
            <v>中央区八丁堀2-7-1</v>
          </cell>
          <cell r="L995" t="str">
            <v xml:space="preserve"> </v>
          </cell>
          <cell r="M995" t="str">
            <v>03-3555-5771</v>
          </cell>
          <cell r="N995" t="str">
            <v>/3555-5631</v>
          </cell>
          <cell r="O995" t="str">
            <v>油圧ﾌﾟﾚｽ</v>
          </cell>
          <cell r="Q995" t="str">
            <v xml:space="preserve"> </v>
          </cell>
          <cell r="T995" t="str">
            <v>ｲﾜﾀﾆｻﾝｷﾞｮｳ</v>
          </cell>
          <cell r="V995" t="str">
            <v>30</v>
          </cell>
        </row>
        <row r="996">
          <cell r="B996" t="str">
            <v>8448</v>
          </cell>
          <cell r="C996" t="str">
            <v>#</v>
          </cell>
          <cell r="D996" t="str">
            <v>コマツアーテック(株)</v>
          </cell>
          <cell r="F996" t="str">
            <v>代表取締役専務</v>
          </cell>
          <cell r="G996" t="str">
            <v>三井  紀生</v>
          </cell>
          <cell r="H996">
            <v>90</v>
          </cell>
          <cell r="I996">
            <v>117</v>
          </cell>
          <cell r="J996" t="str">
            <v>158</v>
          </cell>
          <cell r="K996" t="str">
            <v>世田谷区上用賀5-5-10</v>
          </cell>
          <cell r="L996" t="str">
            <v>万葉ビル</v>
          </cell>
          <cell r="M996" t="str">
            <v>03-5561-2830</v>
          </cell>
          <cell r="N996" t="str">
            <v>/5716-4334</v>
          </cell>
          <cell r="O996" t="str">
            <v>ﾌﾟﾚｽ機械修理</v>
          </cell>
          <cell r="Q996" t="str">
            <v xml:space="preserve"> </v>
          </cell>
          <cell r="T996" t="str">
            <v>ｺﾏﾂｱｰﾃｯｸ</v>
          </cell>
          <cell r="V996" t="str">
            <v>30</v>
          </cell>
        </row>
        <row r="997">
          <cell r="B997" t="str">
            <v>8449</v>
          </cell>
          <cell r="C997" t="str">
            <v>#</v>
          </cell>
          <cell r="D997" t="str">
            <v>(株)ウエノテクニカ</v>
          </cell>
          <cell r="F997" t="str">
            <v>代表取締役社長</v>
          </cell>
          <cell r="G997" t="str">
            <v>鵜野  俊雄</v>
          </cell>
          <cell r="H997">
            <v>96</v>
          </cell>
          <cell r="I997">
            <v>144</v>
          </cell>
          <cell r="J997" t="str">
            <v>376</v>
          </cell>
          <cell r="K997" t="str">
            <v>桐生市広沢町5-1311</v>
          </cell>
          <cell r="L997" t="str">
            <v xml:space="preserve"> </v>
          </cell>
          <cell r="M997" t="str">
            <v>0277-52-0546</v>
          </cell>
          <cell r="N997" t="str">
            <v>/52-5868</v>
          </cell>
          <cell r="O997" t="str">
            <v>治具製作</v>
          </cell>
          <cell r="P997" t="str">
            <v>▽</v>
          </cell>
          <cell r="Q997" t="str">
            <v xml:space="preserve"> </v>
          </cell>
          <cell r="R997" t="str">
            <v>□</v>
          </cell>
          <cell r="S997" t="str">
            <v>☆</v>
          </cell>
          <cell r="T997" t="str">
            <v>ｳｴﾉﾃｸﾆｶ</v>
          </cell>
          <cell r="V997" t="str">
            <v>30</v>
          </cell>
        </row>
        <row r="998">
          <cell r="B998" t="str">
            <v>8450</v>
          </cell>
          <cell r="C998" t="str">
            <v>#</v>
          </cell>
          <cell r="D998" t="str">
            <v>白鳥鋳物(株)</v>
          </cell>
          <cell r="F998" t="str">
            <v>代表取締役</v>
          </cell>
          <cell r="G998" t="str">
            <v>白鳥  宏</v>
          </cell>
          <cell r="H998">
            <v>20</v>
          </cell>
          <cell r="I998">
            <v>22</v>
          </cell>
          <cell r="J998" t="str">
            <v>332</v>
          </cell>
          <cell r="K998" t="str">
            <v>川口市弥平3-2-5</v>
          </cell>
          <cell r="L998" t="str">
            <v xml:space="preserve"> </v>
          </cell>
          <cell r="M998" t="str">
            <v>048-222-3223</v>
          </cell>
          <cell r="N998" t="str">
            <v>/222-7010</v>
          </cell>
          <cell r="O998" t="str">
            <v>鋳物(ﾌﾟﾚｽ型用)</v>
          </cell>
          <cell r="P998" t="str">
            <v>▽</v>
          </cell>
          <cell r="Q998" t="str">
            <v xml:space="preserve"> </v>
          </cell>
          <cell r="T998" t="str">
            <v>ｼﾗﾄﾘｲﾓﾉ</v>
          </cell>
          <cell r="V998" t="str">
            <v>30</v>
          </cell>
        </row>
        <row r="999">
          <cell r="B999" t="str">
            <v>8451</v>
          </cell>
          <cell r="C999" t="str">
            <v>#</v>
          </cell>
          <cell r="D999" t="str">
            <v>(有)横浜造基</v>
          </cell>
          <cell r="F999" t="str">
            <v>代表取締役</v>
          </cell>
          <cell r="G999" t="str">
            <v>政野屋  正己</v>
          </cell>
          <cell r="H999">
            <v>10</v>
          </cell>
          <cell r="I999">
            <v>23</v>
          </cell>
          <cell r="J999" t="str">
            <v>246</v>
          </cell>
          <cell r="K999" t="str">
            <v>横浜市瀬谷区阿久和西4-36-9</v>
          </cell>
          <cell r="L999" t="str">
            <v xml:space="preserve"> </v>
          </cell>
          <cell r="M999" t="str">
            <v>045-362-5764</v>
          </cell>
          <cell r="N999" t="str">
            <v>/362-6487</v>
          </cell>
          <cell r="O999" t="str">
            <v>モデル(木型)</v>
          </cell>
          <cell r="P999" t="str">
            <v>▽</v>
          </cell>
          <cell r="Q999" t="str">
            <v xml:space="preserve"> </v>
          </cell>
          <cell r="T999" t="str">
            <v>ﾖｺﾊﾏｿﾞｳｷ</v>
          </cell>
          <cell r="V999" t="str">
            <v>30</v>
          </cell>
        </row>
        <row r="1000">
          <cell r="B1000" t="str">
            <v>8452</v>
          </cell>
          <cell r="C1000" t="str">
            <v>#</v>
          </cell>
          <cell r="D1000" t="str">
            <v>共和工業(株)</v>
          </cell>
          <cell r="F1000" t="str">
            <v>代表取締役社長</v>
          </cell>
          <cell r="G1000" t="str">
            <v>松井  恒雄</v>
          </cell>
          <cell r="H1000">
            <v>100</v>
          </cell>
          <cell r="I1000">
            <v>460</v>
          </cell>
          <cell r="J1000" t="str">
            <v>955</v>
          </cell>
          <cell r="K1000" t="str">
            <v>三条市大字上須頃29-1</v>
          </cell>
          <cell r="L1000" t="str">
            <v xml:space="preserve"> </v>
          </cell>
          <cell r="M1000" t="str">
            <v>03-3553-0931</v>
          </cell>
          <cell r="N1000" t="str">
            <v>/3553-0933</v>
          </cell>
          <cell r="O1000" t="str">
            <v>樹脂金型</v>
          </cell>
          <cell r="P1000" t="str">
            <v>▽</v>
          </cell>
          <cell r="Q1000" t="str">
            <v xml:space="preserve"> </v>
          </cell>
          <cell r="S1000" t="str">
            <v>☆</v>
          </cell>
          <cell r="T1000" t="str">
            <v>ｷｮｳﾜｺｳｷﾞｮｳ</v>
          </cell>
          <cell r="V1000" t="str">
            <v>30</v>
          </cell>
        </row>
        <row r="1001">
          <cell r="B1001" t="str">
            <v>8453</v>
          </cell>
          <cell r="C1001" t="str">
            <v>#</v>
          </cell>
          <cell r="D1001" t="str">
            <v>川口特殊機鋼(株)</v>
          </cell>
          <cell r="F1001" t="str">
            <v>代表取締役</v>
          </cell>
          <cell r="G1001" t="str">
            <v>北紺  滋敏</v>
          </cell>
          <cell r="H1001">
            <v>15</v>
          </cell>
          <cell r="I1001">
            <v>28</v>
          </cell>
          <cell r="J1001" t="str">
            <v>566</v>
          </cell>
          <cell r="K1001" t="str">
            <v>摂津市鳥飼上5-4-38</v>
          </cell>
          <cell r="L1001" t="str">
            <v xml:space="preserve"> </v>
          </cell>
          <cell r="M1001" t="str">
            <v>045-574-1501</v>
          </cell>
          <cell r="N1001" t="str">
            <v>/582-1661</v>
          </cell>
          <cell r="O1001" t="str">
            <v>金型用鋳物</v>
          </cell>
          <cell r="P1001" t="str">
            <v>▽</v>
          </cell>
          <cell r="Q1001" t="str">
            <v xml:space="preserve"> </v>
          </cell>
          <cell r="T1001" t="str">
            <v>ｶﾜｸﾞﾁﾄｸｼｭｷｺｳ</v>
          </cell>
          <cell r="V1001" t="str">
            <v>30</v>
          </cell>
        </row>
        <row r="1002">
          <cell r="B1002" t="str">
            <v>8454</v>
          </cell>
          <cell r="C1002" t="str">
            <v>#</v>
          </cell>
          <cell r="D1002" t="str">
            <v>川重商事(株)</v>
          </cell>
          <cell r="F1002" t="str">
            <v>取締役社長</v>
          </cell>
          <cell r="G1002" t="str">
            <v>中野  健次郎</v>
          </cell>
          <cell r="H1002">
            <v>600</v>
          </cell>
          <cell r="I1002">
            <v>335</v>
          </cell>
          <cell r="J1002" t="str">
            <v>650</v>
          </cell>
          <cell r="K1002" t="str">
            <v>神戸市中央区海岸通8番　</v>
          </cell>
          <cell r="L1002" t="str">
            <v xml:space="preserve"> </v>
          </cell>
          <cell r="M1002" t="str">
            <v>03-3502-5153</v>
          </cell>
          <cell r="N1002" t="str">
            <v>/3508-8790</v>
          </cell>
          <cell r="O1002" t="str">
            <v>ﾛﾎﾞｯﾄ及び周辺装置</v>
          </cell>
          <cell r="Q1002" t="str">
            <v xml:space="preserve"> </v>
          </cell>
          <cell r="S1002" t="str">
            <v>☆</v>
          </cell>
          <cell r="T1002" t="str">
            <v>ｶﾜｼﾞｭｳｼｮｳｼﾞ</v>
          </cell>
          <cell r="V1002" t="str">
            <v>30</v>
          </cell>
        </row>
        <row r="1003">
          <cell r="B1003" t="str">
            <v>8455</v>
          </cell>
          <cell r="C1003" t="str">
            <v>#</v>
          </cell>
          <cell r="D1003" t="str">
            <v>(株)日進製作所</v>
          </cell>
          <cell r="F1003" t="str">
            <v>代表取締役</v>
          </cell>
          <cell r="G1003" t="str">
            <v>小野  善之助</v>
          </cell>
          <cell r="H1003">
            <v>850</v>
          </cell>
          <cell r="I1003">
            <v>938</v>
          </cell>
          <cell r="J1003" t="str">
            <v>627</v>
          </cell>
          <cell r="K1003" t="str">
            <v>京都府中郡峰山町字千歳22</v>
          </cell>
          <cell r="L1003" t="str">
            <v/>
          </cell>
          <cell r="M1003" t="str">
            <v>0772-62-1111</v>
          </cell>
          <cell r="N1003" t="str">
            <v>/62-6688</v>
          </cell>
          <cell r="O1003" t="str">
            <v>堅型高速自動･ﾎｰﾆﾝｸﾞ盤</v>
          </cell>
          <cell r="T1003" t="str">
            <v>ﾆｯｼﾝｾｲｻｸｼｮ</v>
          </cell>
          <cell r="V1003" t="str">
            <v>30</v>
          </cell>
        </row>
        <row r="1004">
          <cell r="B1004" t="str">
            <v>8455</v>
          </cell>
          <cell r="C1004" t="str">
            <v>A</v>
          </cell>
          <cell r="E1004" t="str">
            <v>東京営業所</v>
          </cell>
          <cell r="J1004" t="str">
            <v>171</v>
          </cell>
          <cell r="K1004" t="str">
            <v>豊島区西池袋1-22-8</v>
          </cell>
          <cell r="L1004" t="str">
            <v>池袋千歳ビル</v>
          </cell>
          <cell r="M1004" t="str">
            <v>03-3980-8041</v>
          </cell>
          <cell r="N1004" t="str">
            <v>/3980-8043</v>
          </cell>
          <cell r="T1004" t="str">
            <v>ﾆｯｼﾝｾｲｻｸｼｮ</v>
          </cell>
          <cell r="V1004" t="str">
            <v>30</v>
          </cell>
        </row>
        <row r="1005">
          <cell r="B1005" t="str">
            <v>8456</v>
          </cell>
          <cell r="C1005" t="str">
            <v>#</v>
          </cell>
          <cell r="D1005" t="str">
            <v>ﾎﾝﾀﾞｴﾝｼﾞﾆｱﾘﾝｸﾞ(株)</v>
          </cell>
          <cell r="F1005" t="str">
            <v>代表取締役社長</v>
          </cell>
          <cell r="G1005" t="str">
            <v>岩井  正樹</v>
          </cell>
          <cell r="H1005">
            <v>3600</v>
          </cell>
          <cell r="I1005">
            <v>2548</v>
          </cell>
          <cell r="J1005" t="str">
            <v>350-13</v>
          </cell>
          <cell r="K1005" t="str">
            <v>挟山市新挟山1-10-1</v>
          </cell>
          <cell r="L1005" t="str">
            <v/>
          </cell>
          <cell r="M1005" t="str">
            <v>0429-55-5561</v>
          </cell>
          <cell r="N1005" t="str">
            <v>/55-5744</v>
          </cell>
          <cell r="O1005" t="str">
            <v>溶接装置･機器</v>
          </cell>
          <cell r="T1005" t="str">
            <v>ﾎﾝﾀﾞｴﾝｼﾞﾆｱﾘﾝｸﾞ</v>
          </cell>
          <cell r="V1005" t="str">
            <v>30</v>
          </cell>
        </row>
        <row r="1006">
          <cell r="B1006" t="str">
            <v>8457</v>
          </cell>
          <cell r="C1006" t="str">
            <v>#</v>
          </cell>
          <cell r="D1006" t="str">
            <v>(株)セラフォーム</v>
          </cell>
          <cell r="F1006" t="str">
            <v>代表取締役</v>
          </cell>
          <cell r="G1006" t="str">
            <v>前田  直己</v>
          </cell>
          <cell r="H1006">
            <v>100</v>
          </cell>
          <cell r="I1006">
            <v>21</v>
          </cell>
          <cell r="J1006" t="str">
            <v>999-77</v>
          </cell>
          <cell r="K1006" t="str">
            <v>山形県東田川郡余目町大字</v>
          </cell>
          <cell r="L1006" t="str">
            <v>余目字沢田15</v>
          </cell>
          <cell r="M1006" t="str">
            <v>0234-42-1551</v>
          </cell>
          <cell r="N1006" t="str">
            <v>/42-1488</v>
          </cell>
          <cell r="O1006" t="str">
            <v>ｾﾗﾐｯｸﾌﾟﾚｽ型</v>
          </cell>
          <cell r="T1006" t="str">
            <v>ｾﾗﾌｫｰﾑ</v>
          </cell>
          <cell r="V1006" t="str">
            <v>30</v>
          </cell>
        </row>
        <row r="1007">
          <cell r="B1007" t="str">
            <v>8458</v>
          </cell>
          <cell r="C1007" t="str">
            <v>#</v>
          </cell>
          <cell r="D1007" t="str">
            <v>(株)栗本鐵工所</v>
          </cell>
          <cell r="F1007" t="str">
            <v>代表取締役社長</v>
          </cell>
          <cell r="G1007" t="str">
            <v>前田  幸雄</v>
          </cell>
          <cell r="H1007" t="str">
            <v>31186</v>
          </cell>
          <cell r="I1007" t="str">
            <v>3363</v>
          </cell>
          <cell r="J1007" t="str">
            <v>550</v>
          </cell>
          <cell r="K1007" t="str">
            <v>大阪市西区北堀江1-12-19</v>
          </cell>
          <cell r="L1007" t="str">
            <v xml:space="preserve"> </v>
          </cell>
          <cell r="M1007" t="str">
            <v>03-3436-8217</v>
          </cell>
          <cell r="N1007" t="str">
            <v>/3436-8027</v>
          </cell>
          <cell r="O1007" t="str">
            <v>熱間鍛造プレス</v>
          </cell>
          <cell r="T1007" t="str">
            <v>ｸﾘﾓﾄﾃｯｺｳｼｮ</v>
          </cell>
          <cell r="V1007" t="str">
            <v>30</v>
          </cell>
        </row>
        <row r="1008">
          <cell r="B1008" t="str">
            <v>8459</v>
          </cell>
          <cell r="C1008" t="str">
            <v>#</v>
          </cell>
          <cell r="D1008" t="str">
            <v>(株)メルコ</v>
          </cell>
          <cell r="F1008" t="str">
            <v>代表取締役</v>
          </cell>
          <cell r="G1008" t="str">
            <v>原田  敏光</v>
          </cell>
          <cell r="H1008" t="str">
            <v>350</v>
          </cell>
          <cell r="I1008" t="str">
            <v>76</v>
          </cell>
          <cell r="J1008" t="str">
            <v>438-01</v>
          </cell>
          <cell r="K1008" t="str">
            <v>静岡県磐田郡豊岡村合代島12</v>
          </cell>
          <cell r="L1008" t="str">
            <v>07</v>
          </cell>
          <cell r="M1008" t="str">
            <v>0539-62-5755</v>
          </cell>
          <cell r="N1008" t="str">
            <v>/62-5758</v>
          </cell>
          <cell r="O1008" t="str">
            <v>樹脂金型</v>
          </cell>
          <cell r="T1008" t="str">
            <v>ﾒﾙｺ</v>
          </cell>
          <cell r="V1008" t="str">
            <v>30</v>
          </cell>
        </row>
        <row r="1009">
          <cell r="B1009" t="str">
            <v>8460</v>
          </cell>
          <cell r="C1009" t="str">
            <v>#</v>
          </cell>
          <cell r="D1009" t="str">
            <v>東洋電溶(株)</v>
          </cell>
          <cell r="F1009" t="str">
            <v>代表取締役</v>
          </cell>
          <cell r="G1009" t="str">
            <v>木村  光一</v>
          </cell>
          <cell r="H1009" t="str">
            <v>21</v>
          </cell>
          <cell r="I1009" t="str">
            <v>86</v>
          </cell>
          <cell r="J1009" t="str">
            <v>198</v>
          </cell>
          <cell r="K1009" t="str">
            <v>青梅市今井3-7-18</v>
          </cell>
          <cell r="L1009" t="str">
            <v xml:space="preserve"> </v>
          </cell>
          <cell r="M1009" t="str">
            <v>0423-42-2816</v>
          </cell>
          <cell r="N1009" t="str">
            <v>/45-5503</v>
          </cell>
          <cell r="O1009" t="str">
            <v>車体治具装置</v>
          </cell>
          <cell r="T1009" t="str">
            <v>ﾄｳﾖｳﾃﾞﾝﾖｳ</v>
          </cell>
          <cell r="V1009" t="str">
            <v>30</v>
          </cell>
        </row>
        <row r="1010">
          <cell r="B1010" t="str">
            <v>8461</v>
          </cell>
          <cell r="C1010" t="str">
            <v>#</v>
          </cell>
          <cell r="D1010" t="str">
            <v>東芝機械(株)</v>
          </cell>
          <cell r="F1010" t="str">
            <v>代表取締役社長</v>
          </cell>
          <cell r="G1010" t="str">
            <v>岡野  貞夫</v>
          </cell>
          <cell r="H1010" t="str">
            <v>12380</v>
          </cell>
          <cell r="I1010" t="str">
            <v>2937</v>
          </cell>
          <cell r="J1010" t="str">
            <v>104</v>
          </cell>
          <cell r="K1010" t="str">
            <v>中央区銀座4-2-11</v>
          </cell>
          <cell r="L1010" t="str">
            <v>数奇屋橋富士ビル</v>
          </cell>
          <cell r="M1010" t="str">
            <v>03-5250-3507</v>
          </cell>
          <cell r="N1010" t="str">
            <v>/3535-3572</v>
          </cell>
          <cell r="O1010" t="str">
            <v>ﾌﾟﾗｽﾁｯｸ加工機</v>
          </cell>
          <cell r="T1010" t="str">
            <v>ﾄｳｼﾊﾞｷｶｲ</v>
          </cell>
          <cell r="V1010" t="str">
            <v>30</v>
          </cell>
        </row>
        <row r="1011">
          <cell r="B1011" t="str">
            <v>8462</v>
          </cell>
          <cell r="C1011" t="str">
            <v>#</v>
          </cell>
          <cell r="D1011" t="str">
            <v>国際鉄工(株)</v>
          </cell>
          <cell r="F1011" t="str">
            <v>取締役社長</v>
          </cell>
          <cell r="G1011" t="str">
            <v>小濱  立也</v>
          </cell>
          <cell r="H1011">
            <v>20</v>
          </cell>
          <cell r="I1011">
            <v>102</v>
          </cell>
          <cell r="J1011">
            <v>245</v>
          </cell>
          <cell r="K1011" t="str">
            <v>横浜市戸塚区上矢部町金掘塚2415</v>
          </cell>
          <cell r="L1011" t="str">
            <v xml:space="preserve"> </v>
          </cell>
          <cell r="M1011" t="str">
            <v>045-811-1605</v>
          </cell>
          <cell r="N1011" t="str">
            <v>/812-3346</v>
          </cell>
          <cell r="O1011" t="str">
            <v>車体組立治具</v>
          </cell>
          <cell r="P1011" t="str">
            <v xml:space="preserve"> </v>
          </cell>
          <cell r="Q1011" t="str">
            <v xml:space="preserve"> </v>
          </cell>
          <cell r="R1011" t="str">
            <v>□</v>
          </cell>
          <cell r="S1011" t="str">
            <v xml:space="preserve"> </v>
          </cell>
          <cell r="T1011" t="str">
            <v>ｺｸｻｲﾃｯｺｳ KK</v>
          </cell>
          <cell r="V1011" t="str">
            <v>30</v>
          </cell>
        </row>
        <row r="1012">
          <cell r="B1012" t="str">
            <v>8463</v>
          </cell>
          <cell r="C1012" t="str">
            <v>#</v>
          </cell>
          <cell r="D1012" t="str">
            <v>北斗(株)</v>
          </cell>
          <cell r="F1012" t="str">
            <v>取締役社長</v>
          </cell>
          <cell r="G1012" t="str">
            <v>吉田  正之</v>
          </cell>
          <cell r="H1012">
            <v>200</v>
          </cell>
          <cell r="I1012">
            <v>280</v>
          </cell>
          <cell r="J1012">
            <v>485</v>
          </cell>
          <cell r="K1012" t="str">
            <v>小牧市郷西町155</v>
          </cell>
          <cell r="L1012" t="str">
            <v xml:space="preserve"> </v>
          </cell>
          <cell r="M1012" t="str">
            <v>0568-78-5577</v>
          </cell>
          <cell r="N1012" t="str">
            <v>/78-5564</v>
          </cell>
          <cell r="O1012" t="str">
            <v>車体組立設備</v>
          </cell>
          <cell r="P1012" t="str">
            <v xml:space="preserve"> </v>
          </cell>
          <cell r="Q1012" t="str">
            <v xml:space="preserve"> </v>
          </cell>
          <cell r="R1012" t="str">
            <v xml:space="preserve"> </v>
          </cell>
          <cell r="S1012" t="str">
            <v xml:space="preserve"> </v>
          </cell>
          <cell r="T1012" t="str">
            <v>ﾎｸﾄ KK</v>
          </cell>
          <cell r="V1012" t="str">
            <v>30</v>
          </cell>
        </row>
        <row r="1013">
          <cell r="B1013" t="str">
            <v>8503</v>
          </cell>
          <cell r="C1013" t="str">
            <v>#</v>
          </cell>
          <cell r="D1013" t="str">
            <v>ツバコー神奈川販売(株)</v>
          </cell>
          <cell r="F1013" t="str">
            <v>代表取締役</v>
          </cell>
          <cell r="G1013" t="str">
            <v>岡崎  宏一</v>
          </cell>
          <cell r="H1013">
            <v>1200</v>
          </cell>
          <cell r="I1013">
            <v>11</v>
          </cell>
          <cell r="J1013" t="str">
            <v>229</v>
          </cell>
          <cell r="K1013" t="str">
            <v>相模原市若松4-17-14</v>
          </cell>
          <cell r="L1013" t="str">
            <v xml:space="preserve"> </v>
          </cell>
          <cell r="M1013" t="str">
            <v>0427-42-0520</v>
          </cell>
          <cell r="N1013" t="str">
            <v>/42-0532</v>
          </cell>
          <cell r="O1013" t="str">
            <v>ｺﾝﾍﾞｱｰ部品･三菱製制御部品　</v>
          </cell>
          <cell r="Q1013" t="str">
            <v xml:space="preserve"> </v>
          </cell>
          <cell r="T1013" t="str">
            <v>ﾂﾊﾞｺｰｶﾅｶﾞﾜﾊﾝﾊﾞｲ</v>
          </cell>
          <cell r="V1013" t="str">
            <v>30</v>
          </cell>
        </row>
        <row r="1014">
          <cell r="B1014" t="str">
            <v>8504</v>
          </cell>
          <cell r="C1014" t="str">
            <v>#</v>
          </cell>
          <cell r="D1014" t="str">
            <v>(株)総研</v>
          </cell>
          <cell r="F1014" t="str">
            <v>代表取締役</v>
          </cell>
          <cell r="G1014" t="str">
            <v>大崎  佐一</v>
          </cell>
          <cell r="H1014">
            <v>20</v>
          </cell>
          <cell r="I1014">
            <v>9</v>
          </cell>
          <cell r="J1014" t="str">
            <v>154</v>
          </cell>
          <cell r="K1014" t="str">
            <v>世田谷区野沢2-34-5</v>
          </cell>
          <cell r="L1014" t="str">
            <v xml:space="preserve"> </v>
          </cell>
          <cell r="M1014" t="str">
            <v>03-3410-6661</v>
          </cell>
          <cell r="N1014" t="str">
            <v>/3410-6718</v>
          </cell>
          <cell r="O1014" t="str">
            <v>FA・物流 精密機械等</v>
          </cell>
          <cell r="Q1014" t="str">
            <v xml:space="preserve"> </v>
          </cell>
          <cell r="T1014" t="str">
            <v>ｿｳｹﾝ</v>
          </cell>
          <cell r="V1014" t="str">
            <v>30</v>
          </cell>
        </row>
        <row r="1015">
          <cell r="B1015" t="str">
            <v>8505</v>
          </cell>
          <cell r="C1015" t="str">
            <v>#</v>
          </cell>
          <cell r="D1015" t="str">
            <v>ｼﾝﾄﾞﾗｰｴﾚﾍﾞｰﾀ(株)</v>
          </cell>
          <cell r="F1015" t="str">
            <v>代表取締役</v>
          </cell>
          <cell r="G1015" t="str">
            <v>市橋  英俊</v>
          </cell>
          <cell r="H1015">
            <v>1200</v>
          </cell>
          <cell r="I1015">
            <v>437</v>
          </cell>
          <cell r="J1015" t="str">
            <v>104</v>
          </cell>
          <cell r="K1015" t="str">
            <v>中央区入船3-7-2</v>
          </cell>
          <cell r="L1015" t="str">
            <v/>
          </cell>
          <cell r="M1015" t="str">
            <v>03-5543-0511</v>
          </cell>
          <cell r="N1015" t="str">
            <v>/</v>
          </cell>
          <cell r="O1015" t="str">
            <v>ｴﾚﾍﾞｰﾀｰ</v>
          </cell>
          <cell r="Q1015" t="str">
            <v xml:space="preserve"> </v>
          </cell>
          <cell r="T1015" t="str">
            <v>ｼﾝﾄﾞﾗｰｴﾚﾍﾞｰﾀ</v>
          </cell>
          <cell r="V1015" t="str">
            <v>30</v>
          </cell>
        </row>
        <row r="1016">
          <cell r="B1016" t="str">
            <v>8505</v>
          </cell>
          <cell r="C1016" t="str">
            <v>A</v>
          </cell>
          <cell r="D1016" t="str">
            <v>ｼﾝﾄﾞﾗｰｴﾚﾍﾞｰﾀ(株)</v>
          </cell>
          <cell r="E1016" t="str">
            <v>東日本事業本部</v>
          </cell>
          <cell r="F1016" t="str">
            <v>取締役本部長</v>
          </cell>
          <cell r="G1016" t="str">
            <v>石渡  勝彦</v>
          </cell>
          <cell r="J1016" t="str">
            <v>104</v>
          </cell>
          <cell r="K1016" t="str">
            <v>中央区入船3-7-2</v>
          </cell>
          <cell r="L1016" t="str">
            <v/>
          </cell>
          <cell r="M1016" t="str">
            <v>03-5543-0511</v>
          </cell>
          <cell r="N1016" t="str">
            <v>/</v>
          </cell>
          <cell r="O1016" t="str">
            <v>ｴﾚﾍﾞｰﾀｰ</v>
          </cell>
          <cell r="Q1016" t="str">
            <v xml:space="preserve"> </v>
          </cell>
          <cell r="T1016" t="str">
            <v>ｼﾝﾄﾞﾗｰｴﾚﾍﾞｰﾀ</v>
          </cell>
          <cell r="V1016" t="str">
            <v>30</v>
          </cell>
        </row>
        <row r="1017">
          <cell r="B1017" t="str">
            <v>8506</v>
          </cell>
          <cell r="C1017" t="str">
            <v>#</v>
          </cell>
          <cell r="D1017" t="str">
            <v>協和産業(株)</v>
          </cell>
          <cell r="F1017" t="str">
            <v>代表取締役</v>
          </cell>
          <cell r="G1017" t="str">
            <v>長崎  哲雄</v>
          </cell>
          <cell r="H1017">
            <v>10</v>
          </cell>
          <cell r="I1017">
            <v>10</v>
          </cell>
          <cell r="J1017" t="str">
            <v>181</v>
          </cell>
          <cell r="K1017" t="str">
            <v>三鷹市牟礼1-14-19</v>
          </cell>
          <cell r="L1017" t="str">
            <v xml:space="preserve"> </v>
          </cell>
          <cell r="M1017" t="str">
            <v>0422-48-8467</v>
          </cell>
          <cell r="N1017" t="str">
            <v>/41-1449</v>
          </cell>
          <cell r="O1017" t="str">
            <v>ｺﾝﾍﾞｱ</v>
          </cell>
          <cell r="Q1017" t="str">
            <v xml:space="preserve"> </v>
          </cell>
          <cell r="S1017" t="str">
            <v>☆</v>
          </cell>
          <cell r="T1017" t="str">
            <v>ｷｮｳﾜｻﾝｷﾞｮｳ</v>
          </cell>
          <cell r="V1017" t="str">
            <v>30</v>
          </cell>
        </row>
        <row r="1018">
          <cell r="B1018" t="str">
            <v>8507</v>
          </cell>
          <cell r="C1018" t="str">
            <v>#</v>
          </cell>
          <cell r="D1018" t="str">
            <v>山村運搬機工業(株)</v>
          </cell>
          <cell r="F1018" t="str">
            <v>代表取締役</v>
          </cell>
          <cell r="G1018" t="str">
            <v>山村　倉一</v>
          </cell>
          <cell r="H1018">
            <v>340</v>
          </cell>
          <cell r="I1018">
            <v>39</v>
          </cell>
          <cell r="J1018" t="str">
            <v>174</v>
          </cell>
          <cell r="K1018" t="str">
            <v>板橋区大原41-11</v>
          </cell>
          <cell r="L1018" t="str">
            <v xml:space="preserve"> </v>
          </cell>
          <cell r="M1018" t="str">
            <v>03-3960-8481</v>
          </cell>
          <cell r="N1018" t="str">
            <v>/3558-0602</v>
          </cell>
          <cell r="O1018" t="str">
            <v>フォークリフト・モータートラック</v>
          </cell>
          <cell r="Q1018" t="str">
            <v>◎</v>
          </cell>
          <cell r="R1018" t="str">
            <v>□</v>
          </cell>
          <cell r="S1018" t="str">
            <v>☆</v>
          </cell>
          <cell r="T1018" t="str">
            <v>ﾔﾏﾑﾗｳﾝﾊﾟﾝｷｺｳｷﾞｮｳ</v>
          </cell>
          <cell r="V1018" t="str">
            <v>30</v>
          </cell>
        </row>
        <row r="1019">
          <cell r="B1019" t="str">
            <v>8507</v>
          </cell>
          <cell r="C1019" t="str">
            <v>A</v>
          </cell>
          <cell r="D1019" t="str">
            <v>山村運搬機工業(株)</v>
          </cell>
          <cell r="E1019" t="str">
            <v>前野工場</v>
          </cell>
          <cell r="J1019" t="str">
            <v>174</v>
          </cell>
          <cell r="K1019" t="str">
            <v>板橋区前野町3-48-10</v>
          </cell>
          <cell r="L1019" t="str">
            <v xml:space="preserve"> </v>
          </cell>
          <cell r="M1019" t="str">
            <v>03-3960-7411</v>
          </cell>
          <cell r="N1019" t="str">
            <v>/</v>
          </cell>
          <cell r="O1019" t="str">
            <v>搬送機器</v>
          </cell>
          <cell r="Q1019" t="str">
            <v xml:space="preserve"> </v>
          </cell>
          <cell r="T1019" t="str">
            <v>ﾔﾏﾑﾗｳﾝﾊﾟﾝｷｺｳｷﾞｮｳ</v>
          </cell>
          <cell r="V1019" t="str">
            <v>30</v>
          </cell>
        </row>
        <row r="1020">
          <cell r="B1020" t="str">
            <v>8510</v>
          </cell>
          <cell r="C1020" t="str">
            <v>#</v>
          </cell>
          <cell r="D1020" t="str">
            <v>カヤバ工業(株)</v>
          </cell>
          <cell r="F1020" t="str">
            <v>取締役社長</v>
          </cell>
          <cell r="G1020" t="str">
            <v>茶野　敬</v>
          </cell>
          <cell r="H1020">
            <v>7111</v>
          </cell>
          <cell r="I1020">
            <v>4453</v>
          </cell>
          <cell r="J1020" t="str">
            <v>105</v>
          </cell>
          <cell r="K1020" t="str">
            <v>港区浜松町2-4-1</v>
          </cell>
          <cell r="L1020" t="str">
            <v>世界貿易センタービル</v>
          </cell>
          <cell r="M1020" t="str">
            <v>03-3435-3562</v>
          </cell>
          <cell r="N1020" t="str">
            <v>/3436-2908</v>
          </cell>
          <cell r="O1020" t="str">
            <v>ｼｮｯｸｱﾌﾞｿｰﾊﾞｰ</v>
          </cell>
          <cell r="Q1020" t="str">
            <v>◎</v>
          </cell>
          <cell r="R1020" t="str">
            <v>□</v>
          </cell>
          <cell r="S1020" t="str">
            <v>☆</v>
          </cell>
          <cell r="T1020" t="str">
            <v>ｶﾔﾊﾞｺｳｷﾞｮｳ</v>
          </cell>
          <cell r="V1020" t="str">
            <v>54</v>
          </cell>
        </row>
        <row r="1021">
          <cell r="B1021" t="str">
            <v>8518</v>
          </cell>
          <cell r="C1021" t="str">
            <v>#</v>
          </cell>
          <cell r="D1021" t="str">
            <v>茨城鋳工(株)</v>
          </cell>
          <cell r="F1021" t="str">
            <v>代表取締役</v>
          </cell>
          <cell r="G1021" t="str">
            <v>松尾　利之</v>
          </cell>
          <cell r="H1021">
            <v>18</v>
          </cell>
          <cell r="I1021">
            <v>98</v>
          </cell>
          <cell r="J1021" t="str">
            <v>306</v>
          </cell>
          <cell r="K1021" t="str">
            <v>古河市下山3-740</v>
          </cell>
          <cell r="L1021" t="str">
            <v xml:space="preserve"> </v>
          </cell>
          <cell r="M1021" t="str">
            <v>0280-32-0023</v>
          </cell>
          <cell r="N1021" t="str">
            <v>/</v>
          </cell>
          <cell r="O1021" t="str">
            <v>鋳物</v>
          </cell>
          <cell r="P1021" t="str">
            <v>▽</v>
          </cell>
          <cell r="Q1021" t="str">
            <v>◎</v>
          </cell>
          <cell r="R1021" t="str">
            <v>□</v>
          </cell>
          <cell r="S1021" t="str">
            <v>☆</v>
          </cell>
          <cell r="T1021" t="str">
            <v>ｲﾊﾞﾗｷﾞﾁｭｳｺｳ</v>
          </cell>
          <cell r="V1021" t="str">
            <v>30</v>
          </cell>
        </row>
        <row r="1022">
          <cell r="B1022" t="str">
            <v>8518</v>
          </cell>
          <cell r="C1022" t="str">
            <v>A</v>
          </cell>
          <cell r="D1022" t="str">
            <v>茨城鋳工(株)</v>
          </cell>
          <cell r="E1022" t="str">
            <v>東京営業所</v>
          </cell>
          <cell r="J1022" t="str">
            <v>141</v>
          </cell>
          <cell r="K1022" t="str">
            <v>品川区大崎1-3-23</v>
          </cell>
          <cell r="L1022" t="str">
            <v xml:space="preserve"> </v>
          </cell>
          <cell r="M1022" t="str">
            <v>03-3491-6176</v>
          </cell>
          <cell r="N1022" t="str">
            <v>/3491-6177</v>
          </cell>
          <cell r="O1022" t="str">
            <v>その他機械加工</v>
          </cell>
          <cell r="P1022" t="str">
            <v>▽</v>
          </cell>
          <cell r="Q1022" t="str">
            <v xml:space="preserve"> </v>
          </cell>
          <cell r="T1022" t="str">
            <v>ｲﾊﾞﾗｷﾞﾁｭｳｺｳ</v>
          </cell>
          <cell r="V1022" t="str">
            <v>30</v>
          </cell>
        </row>
        <row r="1023">
          <cell r="B1023" t="str">
            <v>8524</v>
          </cell>
          <cell r="C1023" t="str">
            <v>#</v>
          </cell>
          <cell r="D1023" t="str">
            <v>富士重工業(株)</v>
          </cell>
          <cell r="F1023" t="str">
            <v>代表取締役社長</v>
          </cell>
          <cell r="G1023" t="str">
            <v>田中  毅</v>
          </cell>
          <cell r="H1023">
            <v>80715</v>
          </cell>
          <cell r="I1023">
            <v>15243</v>
          </cell>
          <cell r="J1023" t="str">
            <v>160</v>
          </cell>
          <cell r="K1023" t="str">
            <v>新宿区西新宿1-7-2</v>
          </cell>
          <cell r="L1023" t="str">
            <v xml:space="preserve"> </v>
          </cell>
          <cell r="M1023" t="str">
            <v>03-3347-2480</v>
          </cell>
          <cell r="N1023" t="str">
            <v>/3347-2475</v>
          </cell>
          <cell r="O1023" t="str">
            <v>バスボディー</v>
          </cell>
          <cell r="Q1023" t="str">
            <v>◎</v>
          </cell>
          <cell r="R1023" t="str">
            <v>□</v>
          </cell>
          <cell r="S1023" t="str">
            <v>☆</v>
          </cell>
          <cell r="T1023" t="str">
            <v>ﾌｼﾞｼﾞｭｳｺｳｷﾞｮｳ</v>
          </cell>
          <cell r="V1023" t="str">
            <v>77</v>
          </cell>
        </row>
        <row r="1024">
          <cell r="B1024" t="str">
            <v>8529</v>
          </cell>
          <cell r="C1024" t="str">
            <v>#</v>
          </cell>
          <cell r="D1024" t="str">
            <v>日本ｴｱｰｺﾝｼﾞｼｮﾅｰｽ(株)</v>
          </cell>
          <cell r="F1024" t="str">
            <v>代表取締役社長</v>
          </cell>
          <cell r="G1024" t="str">
            <v>山田　啓一</v>
          </cell>
          <cell r="H1024">
            <v>15</v>
          </cell>
          <cell r="I1024">
            <v>60</v>
          </cell>
          <cell r="J1024" t="str">
            <v>104</v>
          </cell>
          <cell r="K1024" t="str">
            <v>中央区銀座7-13-6</v>
          </cell>
          <cell r="L1024" t="str">
            <v>サガミビル</v>
          </cell>
          <cell r="M1024" t="str">
            <v>03-3541-4541</v>
          </cell>
          <cell r="N1024" t="str">
            <v>/3541-5877</v>
          </cell>
          <cell r="O1024" t="str">
            <v>冷暖房機器･空調設備</v>
          </cell>
          <cell r="Q1024" t="str">
            <v>◎</v>
          </cell>
          <cell r="R1024" t="str">
            <v>□</v>
          </cell>
          <cell r="S1024" t="str">
            <v>☆</v>
          </cell>
          <cell r="T1024" t="str">
            <v>ﾆﾎﾝｴｱｰｺﾝｼﾞｼｮﾅｰｽ</v>
          </cell>
          <cell r="V1024" t="str">
            <v>30</v>
          </cell>
        </row>
        <row r="1025">
          <cell r="B1025" t="str">
            <v>8532</v>
          </cell>
          <cell r="C1025" t="str">
            <v>#</v>
          </cell>
          <cell r="D1025" t="str">
            <v>中外炉工業(株)</v>
          </cell>
          <cell r="F1025" t="str">
            <v>代表取締役社長</v>
          </cell>
          <cell r="G1025" t="str">
            <v>谷川　正</v>
          </cell>
          <cell r="H1025">
            <v>4158</v>
          </cell>
          <cell r="I1025">
            <v>768</v>
          </cell>
          <cell r="J1025" t="str">
            <v>550</v>
          </cell>
          <cell r="K1025" t="str">
            <v>大阪市西区京町堀2-4-7</v>
          </cell>
          <cell r="L1025" t="str">
            <v xml:space="preserve"> </v>
          </cell>
          <cell r="M1025" t="str">
            <v xml:space="preserve">06-441-8931 </v>
          </cell>
          <cell r="N1025" t="str">
            <v>/</v>
          </cell>
          <cell r="O1025" t="str">
            <v>ｶﾞｽ浸戻炉</v>
          </cell>
          <cell r="Q1025" t="str">
            <v xml:space="preserve"> </v>
          </cell>
          <cell r="R1025" t="str">
            <v>□</v>
          </cell>
          <cell r="T1025" t="str">
            <v>ﾁｭｳｶﾞｲﾛｺｳｷﾞｮｳ</v>
          </cell>
          <cell r="V1025" t="str">
            <v>30</v>
          </cell>
        </row>
        <row r="1026">
          <cell r="B1026" t="str">
            <v>8532</v>
          </cell>
          <cell r="C1026" t="str">
            <v>A</v>
          </cell>
          <cell r="D1026" t="str">
            <v>中外炉工業(株)</v>
          </cell>
          <cell r="E1026" t="str">
            <v>東京支社</v>
          </cell>
          <cell r="J1026" t="str">
            <v>101</v>
          </cell>
          <cell r="K1026" t="str">
            <v>千代田区神田駿河台2-2</v>
          </cell>
          <cell r="L1026" t="str">
            <v>御茶ﾉ水杏雲ビル</v>
          </cell>
          <cell r="M1026" t="str">
            <v>03-3292-3466</v>
          </cell>
          <cell r="N1026" t="str">
            <v>/3292-3474</v>
          </cell>
          <cell r="O1026" t="str">
            <v>PXｶﾞｽ全機 ｵｰﾙｹｰｽ炉</v>
          </cell>
          <cell r="Q1026" t="str">
            <v xml:space="preserve"> </v>
          </cell>
          <cell r="T1026" t="str">
            <v>ﾁｭｳｶﾞｲﾛｺｳｷﾞｮｳ</v>
          </cell>
          <cell r="V1026" t="str">
            <v>30</v>
          </cell>
        </row>
        <row r="1027">
          <cell r="B1027" t="str">
            <v>8533</v>
          </cell>
          <cell r="C1027" t="str">
            <v>#</v>
          </cell>
          <cell r="D1027" t="str">
            <v>大和商工(株)</v>
          </cell>
          <cell r="F1027" t="str">
            <v>代表取締役</v>
          </cell>
          <cell r="G1027" t="str">
            <v>西田　生</v>
          </cell>
          <cell r="H1027">
            <v>12</v>
          </cell>
          <cell r="I1027">
            <v>51</v>
          </cell>
          <cell r="J1027" t="str">
            <v>142</v>
          </cell>
          <cell r="K1027" t="str">
            <v>品川区荏原1-4-1</v>
          </cell>
          <cell r="L1027" t="str">
            <v xml:space="preserve"> </v>
          </cell>
          <cell r="M1027" t="str">
            <v>03-3783-9131</v>
          </cell>
          <cell r="N1027" t="str">
            <v>/3782-1375</v>
          </cell>
          <cell r="O1027" t="str">
            <v>モータートラック</v>
          </cell>
          <cell r="Q1027" t="str">
            <v xml:space="preserve"> </v>
          </cell>
          <cell r="R1027" t="str">
            <v>□</v>
          </cell>
          <cell r="T1027" t="str">
            <v>ﾀﾞｲﾜｼｮｳｺｳ</v>
          </cell>
          <cell r="V1027" t="str">
            <v>30</v>
          </cell>
        </row>
        <row r="1028">
          <cell r="B1028" t="str">
            <v>8536</v>
          </cell>
          <cell r="C1028" t="str">
            <v>#</v>
          </cell>
          <cell r="D1028" t="str">
            <v>(株)トーヨコ理研</v>
          </cell>
          <cell r="F1028" t="str">
            <v>代表取締役社長</v>
          </cell>
          <cell r="G1028" t="str">
            <v>西澤　正雄</v>
          </cell>
          <cell r="H1028">
            <v>3899</v>
          </cell>
          <cell r="I1028">
            <v>1187</v>
          </cell>
          <cell r="J1028" t="str">
            <v>102</v>
          </cell>
          <cell r="K1028" t="str">
            <v>千代田区三番町8-7</v>
          </cell>
          <cell r="L1028" t="str">
            <v>第25興和ビル</v>
          </cell>
          <cell r="M1028" t="str">
            <v>03-3221-3311</v>
          </cell>
          <cell r="N1028" t="str">
            <v>/</v>
          </cell>
          <cell r="O1028" t="str">
            <v>空調衛生設備管工事</v>
          </cell>
          <cell r="Q1028" t="str">
            <v>◎</v>
          </cell>
          <cell r="R1028" t="str">
            <v>□</v>
          </cell>
          <cell r="S1028" t="str">
            <v>☆</v>
          </cell>
          <cell r="T1028" t="str">
            <v>ﾄｰﾖｺﾘｹﾝ</v>
          </cell>
          <cell r="V1028" t="str">
            <v>30</v>
          </cell>
        </row>
        <row r="1029">
          <cell r="B1029" t="str">
            <v>8536</v>
          </cell>
          <cell r="C1029" t="str">
            <v>A</v>
          </cell>
          <cell r="D1029" t="str">
            <v>(株)トーヨコ理研</v>
          </cell>
          <cell r="E1029" t="str">
            <v>ｴﾝｼﾞﾆｱﾘﾝｸﾞ本部</v>
          </cell>
          <cell r="F1029" t="str">
            <v>常務取締役</v>
          </cell>
          <cell r="G1029" t="str">
            <v>木村  政雄</v>
          </cell>
          <cell r="J1029" t="str">
            <v>231</v>
          </cell>
          <cell r="K1029" t="str">
            <v>横浜市中区山下町89-6</v>
          </cell>
          <cell r="L1029" t="str">
            <v xml:space="preserve"> </v>
          </cell>
          <cell r="M1029" t="str">
            <v>045-664-6113</v>
          </cell>
          <cell r="N1029" t="str">
            <v>/664-6109</v>
          </cell>
          <cell r="T1029" t="str">
            <v>ﾄｰﾖｺﾘｹﾝ</v>
          </cell>
          <cell r="V1029" t="str">
            <v>30</v>
          </cell>
        </row>
        <row r="1030">
          <cell r="B1030" t="str">
            <v>8537</v>
          </cell>
          <cell r="C1030" t="str">
            <v>#</v>
          </cell>
          <cell r="D1030" t="str">
            <v>熱機工業(株)</v>
          </cell>
          <cell r="F1030" t="str">
            <v>代表取締役</v>
          </cell>
          <cell r="G1030" t="str">
            <v>比企　克己</v>
          </cell>
          <cell r="H1030">
            <v>10</v>
          </cell>
          <cell r="I1030">
            <v>29</v>
          </cell>
          <cell r="J1030" t="str">
            <v>222</v>
          </cell>
          <cell r="K1030" t="str">
            <v>横浜市港北区師岡町824</v>
          </cell>
          <cell r="L1030" t="str">
            <v xml:space="preserve"> </v>
          </cell>
          <cell r="M1030" t="str">
            <v>045-531-6724</v>
          </cell>
          <cell r="N1030" t="str">
            <v>/546-1459</v>
          </cell>
          <cell r="O1030" t="str">
            <v>製缶・築炉</v>
          </cell>
          <cell r="Q1030" t="str">
            <v>◎</v>
          </cell>
          <cell r="R1030" t="str">
            <v>□</v>
          </cell>
          <cell r="S1030" t="str">
            <v>☆</v>
          </cell>
          <cell r="T1030" t="str">
            <v>ﾈﾂｷｺｳｷﾞｮｳ</v>
          </cell>
          <cell r="V1030" t="str">
            <v>30</v>
          </cell>
        </row>
        <row r="1031">
          <cell r="B1031" t="str">
            <v>8540</v>
          </cell>
          <cell r="C1031" t="str">
            <v>#</v>
          </cell>
          <cell r="D1031" t="str">
            <v>日本ﾊﾟｰｶﾗｲｼﾞﾝｸﾞ(株)</v>
          </cell>
          <cell r="F1031" t="str">
            <v>代表取締役</v>
          </cell>
          <cell r="G1031" t="str">
            <v>里見　豊</v>
          </cell>
          <cell r="H1031">
            <v>2844</v>
          </cell>
          <cell r="I1031">
            <v>835</v>
          </cell>
          <cell r="J1031" t="str">
            <v>103</v>
          </cell>
          <cell r="K1031" t="str">
            <v>中央区日本橋1-15-1</v>
          </cell>
          <cell r="L1031" t="str">
            <v xml:space="preserve"> </v>
          </cell>
          <cell r="M1031" t="str">
            <v>03-3278-4333</v>
          </cell>
          <cell r="N1031" t="str">
            <v>/</v>
          </cell>
          <cell r="O1031" t="str">
            <v>熱処理</v>
          </cell>
          <cell r="R1031" t="str">
            <v>□</v>
          </cell>
          <cell r="S1031" t="str">
            <v>☆</v>
          </cell>
          <cell r="T1031" t="str">
            <v>ﾆﾎﾝﾊﾟｰｶﾗｲｼﾞﾝｸﾞ</v>
          </cell>
          <cell r="V1031" t="str">
            <v>53</v>
          </cell>
        </row>
        <row r="1032">
          <cell r="B1032" t="str">
            <v>8540</v>
          </cell>
          <cell r="C1032" t="str">
            <v>B</v>
          </cell>
          <cell r="D1032" t="str">
            <v>日本ﾊﾟｰｶﾗｲｼﾞﾝｸﾞ(株)</v>
          </cell>
          <cell r="E1032" t="str">
            <v>北関東事業部 古河工場</v>
          </cell>
          <cell r="J1032" t="str">
            <v>306</v>
          </cell>
          <cell r="K1032" t="str">
            <v>茨城県猿島郡総和町大字丘里</v>
          </cell>
          <cell r="L1032" t="str">
            <v>14-3</v>
          </cell>
          <cell r="M1032" t="str">
            <v>02809-8-1240</v>
          </cell>
          <cell r="N1032" t="str">
            <v>/98-5223</v>
          </cell>
          <cell r="O1032" t="str">
            <v>熱処理</v>
          </cell>
          <cell r="Q1032" t="str">
            <v xml:space="preserve"> </v>
          </cell>
          <cell r="T1032" t="str">
            <v>ﾆﾎﾝﾊﾟｰｶﾗｲｼﾞﾝｸﾞ</v>
          </cell>
          <cell r="V1032" t="str">
            <v>53</v>
          </cell>
        </row>
        <row r="1033">
          <cell r="B1033" t="str">
            <v>8545</v>
          </cell>
          <cell r="C1033" t="str">
            <v>#</v>
          </cell>
          <cell r="D1033" t="str">
            <v>三菱商事(株) 重機部</v>
          </cell>
          <cell r="F1033" t="str">
            <v>取締役社長</v>
          </cell>
          <cell r="G1033" t="str">
            <v>諸橋　晋六</v>
          </cell>
          <cell r="H1033">
            <v>100222</v>
          </cell>
          <cell r="I1033">
            <v>9669</v>
          </cell>
          <cell r="J1033" t="str">
            <v>100-91</v>
          </cell>
          <cell r="K1033" t="str">
            <v>千代田区丸の内2-6-3</v>
          </cell>
          <cell r="L1033" t="str">
            <v xml:space="preserve"> </v>
          </cell>
          <cell r="M1033" t="str">
            <v>03-3210-4419</v>
          </cell>
          <cell r="N1033" t="str">
            <v>/</v>
          </cell>
          <cell r="O1033" t="str">
            <v>熱処理炉</v>
          </cell>
          <cell r="Q1033" t="str">
            <v xml:space="preserve"> </v>
          </cell>
          <cell r="T1033" t="str">
            <v>ﾐﾂﾋﾞｼｼｮｳｼﾞ</v>
          </cell>
          <cell r="V1033" t="str">
            <v>30</v>
          </cell>
        </row>
        <row r="1034">
          <cell r="B1034" t="str">
            <v>8554</v>
          </cell>
          <cell r="C1034" t="str">
            <v>#</v>
          </cell>
          <cell r="D1034" t="str">
            <v>兼松(株)</v>
          </cell>
          <cell r="F1034" t="str">
            <v>取締役社長</v>
          </cell>
          <cell r="G1034" t="str">
            <v>四十宮  正男</v>
          </cell>
          <cell r="H1034">
            <v>37683</v>
          </cell>
          <cell r="I1034">
            <v>2976</v>
          </cell>
          <cell r="J1034" t="str">
            <v>105-05</v>
          </cell>
          <cell r="K1034" t="str">
            <v>港区芝浦1-2-1</v>
          </cell>
          <cell r="L1034" t="str">
            <v>シーバンスＮ館　</v>
          </cell>
          <cell r="M1034" t="str">
            <v>03-3459-4211</v>
          </cell>
          <cell r="N1034" t="str">
            <v>/3459-4200</v>
          </cell>
          <cell r="Q1034" t="str">
            <v xml:space="preserve"> </v>
          </cell>
          <cell r="R1034" t="str">
            <v>□</v>
          </cell>
          <cell r="S1034" t="str">
            <v>☆</v>
          </cell>
          <cell r="T1034" t="str">
            <v>ｶﾈﾏﾂ</v>
          </cell>
          <cell r="V1034" t="str">
            <v>30</v>
          </cell>
        </row>
        <row r="1035">
          <cell r="B1035" t="str">
            <v>8559</v>
          </cell>
          <cell r="C1035" t="str">
            <v>#</v>
          </cell>
          <cell r="D1035" t="str">
            <v>(株)リケン</v>
          </cell>
          <cell r="F1035" t="str">
            <v>取締役社長</v>
          </cell>
          <cell r="G1035" t="str">
            <v>小口  邦彦</v>
          </cell>
          <cell r="H1035">
            <v>6192</v>
          </cell>
          <cell r="I1035">
            <v>2027</v>
          </cell>
          <cell r="J1035" t="str">
            <v>102</v>
          </cell>
          <cell r="K1035" t="str">
            <v>千代田区九段北1-13-5</v>
          </cell>
          <cell r="L1035" t="str">
            <v>日本地所第一ビル</v>
          </cell>
          <cell r="M1035" t="str">
            <v>03-3230-3924</v>
          </cell>
          <cell r="N1035" t="str">
            <v>/</v>
          </cell>
          <cell r="O1035" t="str">
            <v>ピストリング</v>
          </cell>
          <cell r="Q1035" t="str">
            <v>◎</v>
          </cell>
          <cell r="R1035" t="str">
            <v>□</v>
          </cell>
          <cell r="S1035" t="str">
            <v>☆</v>
          </cell>
          <cell r="T1035" t="str">
            <v>ﾘｹﾝ</v>
          </cell>
          <cell r="V1035" t="str">
            <v>51</v>
          </cell>
        </row>
        <row r="1036">
          <cell r="B1036" t="str">
            <v>8559</v>
          </cell>
          <cell r="C1036" t="str">
            <v>A</v>
          </cell>
          <cell r="D1036" t="str">
            <v>(株)リケン</v>
          </cell>
          <cell r="E1036" t="str">
            <v>神奈川営業所</v>
          </cell>
          <cell r="F1036" t="str">
            <v>所長</v>
          </cell>
          <cell r="G1036" t="str">
            <v>広瀬  祐久</v>
          </cell>
          <cell r="J1036" t="str">
            <v>243</v>
          </cell>
          <cell r="K1036" t="str">
            <v>厚木市中町3-3-9</v>
          </cell>
          <cell r="L1036" t="str">
            <v>厚木ｱｰﾊﾞﾝﾌﾟﾗｻﾞ5F</v>
          </cell>
          <cell r="M1036" t="str">
            <v>0462-25-7111</v>
          </cell>
          <cell r="N1036" t="str">
            <v>/25-7118</v>
          </cell>
          <cell r="O1036" t="str">
            <v>ピストンリング</v>
          </cell>
          <cell r="Q1036" t="str">
            <v xml:space="preserve"> </v>
          </cell>
          <cell r="T1036" t="str">
            <v>ﾘｹﾝ</v>
          </cell>
          <cell r="V1036" t="str">
            <v>51</v>
          </cell>
        </row>
        <row r="1037">
          <cell r="B1037" t="str">
            <v>8559</v>
          </cell>
          <cell r="C1037" t="str">
            <v>B</v>
          </cell>
          <cell r="D1037" t="str">
            <v>(株)リケン</v>
          </cell>
          <cell r="E1037" t="str">
            <v>柏崎工場</v>
          </cell>
          <cell r="J1037" t="str">
            <v>945</v>
          </cell>
          <cell r="K1037" t="str">
            <v>柏崎市北斗町1-37</v>
          </cell>
          <cell r="L1037" t="str">
            <v xml:space="preserve"> </v>
          </cell>
          <cell r="M1037" t="str">
            <v>02572-3-3110</v>
          </cell>
          <cell r="N1037" t="str">
            <v>/</v>
          </cell>
          <cell r="O1037" t="str">
            <v>ピストンリング</v>
          </cell>
          <cell r="Q1037" t="str">
            <v xml:space="preserve"> </v>
          </cell>
          <cell r="T1037" t="str">
            <v>ﾘｹﾝ</v>
          </cell>
          <cell r="V1037" t="str">
            <v>51</v>
          </cell>
        </row>
        <row r="1038">
          <cell r="B1038" t="str">
            <v>8561</v>
          </cell>
          <cell r="C1038" t="str">
            <v>#</v>
          </cell>
          <cell r="D1038" t="str">
            <v>いすゞ物流(株)</v>
          </cell>
          <cell r="F1038" t="str">
            <v>代表取締役社長</v>
          </cell>
          <cell r="G1038" t="str">
            <v>江尻  律</v>
          </cell>
          <cell r="H1038">
            <v>144</v>
          </cell>
          <cell r="I1038">
            <v>650</v>
          </cell>
          <cell r="J1038" t="str">
            <v>210</v>
          </cell>
          <cell r="K1038" t="str">
            <v>川崎市川崎区東扇島13-3</v>
          </cell>
          <cell r="L1038" t="str">
            <v xml:space="preserve"> </v>
          </cell>
          <cell r="M1038" t="str">
            <v>044-287-7142</v>
          </cell>
          <cell r="N1038" t="str">
            <v>/287-7149</v>
          </cell>
          <cell r="O1038" t="str">
            <v>梱包</v>
          </cell>
          <cell r="Q1038" t="str">
            <v>◎</v>
          </cell>
          <cell r="R1038" t="str">
            <v>□</v>
          </cell>
          <cell r="S1038" t="str">
            <v>☆</v>
          </cell>
          <cell r="T1038" t="str">
            <v>ｲｽｽﾞﾌﾞﾂﾘｭｳ</v>
          </cell>
          <cell r="V1038" t="str">
            <v>15</v>
          </cell>
        </row>
        <row r="1039">
          <cell r="B1039" t="str">
            <v>8561</v>
          </cell>
          <cell r="C1039" t="str">
            <v>A</v>
          </cell>
          <cell r="D1039" t="str">
            <v>いすゞ物流(株)</v>
          </cell>
          <cell r="E1039" t="str">
            <v>京浜物流ｾﾝﾀｰ</v>
          </cell>
          <cell r="J1039" t="str">
            <v>210</v>
          </cell>
          <cell r="K1039" t="str">
            <v>川崎市川崎区東扇島13-3</v>
          </cell>
          <cell r="L1039" t="str">
            <v xml:space="preserve"> </v>
          </cell>
          <cell r="M1039" t="str">
            <v>044-299-2731</v>
          </cell>
          <cell r="N1039" t="str">
            <v>/</v>
          </cell>
          <cell r="O1039" t="str">
            <v>梱包</v>
          </cell>
          <cell r="Q1039" t="str">
            <v xml:space="preserve"> </v>
          </cell>
          <cell r="T1039" t="str">
            <v>ｲｽｽﾞﾌﾞﾂﾘｭｳ</v>
          </cell>
          <cell r="V1039" t="str">
            <v>15</v>
          </cell>
        </row>
        <row r="1040">
          <cell r="B1040" t="str">
            <v>8562</v>
          </cell>
          <cell r="C1040" t="str">
            <v>#</v>
          </cell>
          <cell r="D1040" t="str">
            <v>川崎設備工業(株)</v>
          </cell>
          <cell r="F1040" t="str">
            <v>取締役社長</v>
          </cell>
          <cell r="G1040" t="str">
            <v>河田　通彦</v>
          </cell>
          <cell r="H1040">
            <v>240</v>
          </cell>
          <cell r="I1040">
            <v>462</v>
          </cell>
          <cell r="J1040" t="str">
            <v>460</v>
          </cell>
          <cell r="K1040" t="str">
            <v>名古屋市中区大須1-21-8</v>
          </cell>
          <cell r="L1040" t="str">
            <v xml:space="preserve"> </v>
          </cell>
          <cell r="M1040" t="str">
            <v>052-231-7766</v>
          </cell>
          <cell r="N1040" t="str">
            <v>/</v>
          </cell>
          <cell r="O1040" t="str">
            <v>動力配管工事</v>
          </cell>
          <cell r="Q1040" t="str">
            <v xml:space="preserve"> </v>
          </cell>
          <cell r="T1040" t="str">
            <v>ｶﾜｻｷｾﾂﾋﾞｺｳｷﾞｮｳ</v>
          </cell>
          <cell r="V1040" t="str">
            <v>30</v>
          </cell>
        </row>
        <row r="1041">
          <cell r="B1041" t="str">
            <v>8562</v>
          </cell>
          <cell r="C1041" t="str">
            <v>A</v>
          </cell>
          <cell r="D1041" t="str">
            <v>川崎設備工業(株)</v>
          </cell>
          <cell r="E1041" t="str">
            <v>東京支店</v>
          </cell>
          <cell r="F1041" t="str">
            <v>専務取締役</v>
          </cell>
          <cell r="G1041" t="str">
            <v>藤原　公平</v>
          </cell>
          <cell r="J1041" t="str">
            <v>151</v>
          </cell>
          <cell r="K1041" t="str">
            <v>渋谷区千駄ヶ谷4-28-4</v>
          </cell>
          <cell r="L1041" t="str">
            <v xml:space="preserve"> </v>
          </cell>
          <cell r="M1041" t="str">
            <v>03-3402-6331</v>
          </cell>
          <cell r="N1041" t="str">
            <v>/</v>
          </cell>
          <cell r="O1041" t="str">
            <v>動力配管工事</v>
          </cell>
          <cell r="Q1041" t="str">
            <v xml:space="preserve"> </v>
          </cell>
          <cell r="T1041" t="str">
            <v>ｶﾜｻｷｾﾂﾋﾞｺｳｷﾞｮｳ</v>
          </cell>
          <cell r="V1041" t="str">
            <v>30</v>
          </cell>
        </row>
        <row r="1042">
          <cell r="B1042" t="str">
            <v>8566</v>
          </cell>
          <cell r="C1042" t="str">
            <v>#</v>
          </cell>
          <cell r="D1042" t="str">
            <v>(株)フジマック</v>
          </cell>
          <cell r="F1042" t="str">
            <v>代表取締役</v>
          </cell>
          <cell r="G1042" t="str">
            <v>熊谷　俊範</v>
          </cell>
          <cell r="H1042">
            <v>507.4</v>
          </cell>
          <cell r="I1042">
            <v>1121</v>
          </cell>
          <cell r="J1042" t="str">
            <v>105</v>
          </cell>
          <cell r="K1042" t="str">
            <v>港区新橋5-14-5</v>
          </cell>
          <cell r="L1042" t="str">
            <v xml:space="preserve"> </v>
          </cell>
          <cell r="M1042" t="str">
            <v>03-3434-7791</v>
          </cell>
          <cell r="N1042" t="str">
            <v>/</v>
          </cell>
          <cell r="O1042" t="str">
            <v>厨房機械器具</v>
          </cell>
          <cell r="Q1042" t="str">
            <v xml:space="preserve"> </v>
          </cell>
          <cell r="T1042" t="str">
            <v>ﾌｼﾞﾏｯｸ</v>
          </cell>
          <cell r="V1042" t="str">
            <v>30</v>
          </cell>
        </row>
        <row r="1043">
          <cell r="B1043" t="str">
            <v>8572</v>
          </cell>
          <cell r="C1043" t="str">
            <v>#</v>
          </cell>
          <cell r="D1043" t="str">
            <v>富士電機(株)</v>
          </cell>
          <cell r="F1043" t="str">
            <v>取締役社長</v>
          </cell>
          <cell r="G1043" t="str">
            <v>中里　良彦</v>
          </cell>
          <cell r="H1043">
            <v>27381</v>
          </cell>
          <cell r="I1043">
            <v>13389</v>
          </cell>
          <cell r="J1043" t="str">
            <v>100</v>
          </cell>
          <cell r="K1043" t="str">
            <v>千代田区有楽町1-12-1</v>
          </cell>
          <cell r="L1043" t="str">
            <v>新有楽町ビル</v>
          </cell>
          <cell r="M1043" t="str">
            <v>03-3211-9182</v>
          </cell>
          <cell r="N1043" t="str">
            <v>/3211-7966</v>
          </cell>
          <cell r="O1043" t="str">
            <v>振動機器 変電設備</v>
          </cell>
          <cell r="Q1043" t="str">
            <v xml:space="preserve"> </v>
          </cell>
          <cell r="T1043" t="str">
            <v>ﾌｼﾞﾃﾞﾝｷ</v>
          </cell>
          <cell r="V1043" t="str">
            <v>30</v>
          </cell>
        </row>
        <row r="1044">
          <cell r="B1044" t="str">
            <v>8573</v>
          </cell>
          <cell r="C1044" t="str">
            <v>#</v>
          </cell>
          <cell r="D1044" t="str">
            <v>神鋼電機(株)</v>
          </cell>
          <cell r="F1044" t="str">
            <v>取締役社長</v>
          </cell>
          <cell r="G1044" t="str">
            <v>鈴木　昭男</v>
          </cell>
          <cell r="H1044">
            <v>6000</v>
          </cell>
          <cell r="I1044">
            <v>4253</v>
          </cell>
          <cell r="J1044" t="str">
            <v>135</v>
          </cell>
          <cell r="K1044" t="str">
            <v>江東区東陽7-2-14</v>
          </cell>
          <cell r="L1044" t="str">
            <v>東陽ＭＫビル</v>
          </cell>
          <cell r="M1044" t="str">
            <v>03-5683-1100</v>
          </cell>
          <cell r="N1044" t="str">
            <v>/5683-1170</v>
          </cell>
          <cell r="O1044" t="str">
            <v>振動機器 運搬機器</v>
          </cell>
          <cell r="Q1044" t="str">
            <v xml:space="preserve"> </v>
          </cell>
          <cell r="T1044" t="str">
            <v>ｼﾝｺｳﾃﾞﾝｷ</v>
          </cell>
          <cell r="V1044" t="str">
            <v>30</v>
          </cell>
        </row>
        <row r="1045">
          <cell r="B1045" t="str">
            <v>8577</v>
          </cell>
          <cell r="C1045" t="str">
            <v>#</v>
          </cell>
          <cell r="D1045" t="str">
            <v>三機工業(株)</v>
          </cell>
          <cell r="F1045" t="str">
            <v>代表取締役社長</v>
          </cell>
          <cell r="G1045" t="str">
            <v>大島　剛</v>
          </cell>
          <cell r="H1045">
            <v>8105</v>
          </cell>
          <cell r="I1045">
            <v>2441</v>
          </cell>
          <cell r="J1045" t="str">
            <v>100</v>
          </cell>
          <cell r="K1045" t="str">
            <v>千代田区有楽町1-4-1</v>
          </cell>
          <cell r="L1045" t="str">
            <v>三信ビル</v>
          </cell>
          <cell r="M1045" t="str">
            <v>03-3502-6970</v>
          </cell>
          <cell r="N1045" t="str">
            <v>/3508-9658</v>
          </cell>
          <cell r="O1045" t="str">
            <v>搬送設備</v>
          </cell>
          <cell r="Q1045" t="str">
            <v xml:space="preserve"> </v>
          </cell>
          <cell r="T1045" t="str">
            <v>ｻﾝｷｺｳｷﾞｮｳ</v>
          </cell>
          <cell r="V1045" t="str">
            <v>30</v>
          </cell>
        </row>
        <row r="1046">
          <cell r="B1046" t="str">
            <v>8579</v>
          </cell>
          <cell r="C1046" t="str">
            <v>#</v>
          </cell>
          <cell r="D1046" t="str">
            <v>日立精工(株)</v>
          </cell>
          <cell r="F1046" t="str">
            <v>代表取締役</v>
          </cell>
          <cell r="G1046" t="str">
            <v>山口  武</v>
          </cell>
          <cell r="H1046">
            <v>750</v>
          </cell>
          <cell r="I1046">
            <v>690</v>
          </cell>
          <cell r="J1046" t="str">
            <v>101</v>
          </cell>
          <cell r="K1046" t="str">
            <v>千代田区内神田3-11-7</v>
          </cell>
          <cell r="L1046" t="str">
            <v>日立神田別館3F</v>
          </cell>
          <cell r="M1046" t="str">
            <v>03-3251-6110</v>
          </cell>
          <cell r="N1046" t="str">
            <v>/3592-5975</v>
          </cell>
          <cell r="O1046" t="str">
            <v>工作機械</v>
          </cell>
          <cell r="Q1046" t="str">
            <v xml:space="preserve"> </v>
          </cell>
          <cell r="T1046" t="str">
            <v>ﾋﾀﾁｾｲｺｳ</v>
          </cell>
          <cell r="V1046" t="str">
            <v>30</v>
          </cell>
        </row>
        <row r="1047">
          <cell r="B1047" t="str">
            <v>8581</v>
          </cell>
          <cell r="C1047" t="str">
            <v>#</v>
          </cell>
          <cell r="D1047" t="str">
            <v>神奈川小松ﾌｫｰｸﾘﾌﾄ(株)</v>
          </cell>
          <cell r="F1047" t="str">
            <v>取締役社長</v>
          </cell>
          <cell r="G1047" t="str">
            <v>松山　哲夫</v>
          </cell>
          <cell r="H1047">
            <v>15</v>
          </cell>
          <cell r="I1047">
            <v>83</v>
          </cell>
          <cell r="J1047" t="str">
            <v>231</v>
          </cell>
          <cell r="K1047" t="str">
            <v>横浜市中区海岸通2-8</v>
          </cell>
          <cell r="L1047" t="str">
            <v>第二吉本ビル</v>
          </cell>
          <cell r="M1047" t="str">
            <v>045-211-1741</v>
          </cell>
          <cell r="N1047" t="str">
            <v>/</v>
          </cell>
          <cell r="O1047" t="str">
            <v>フォークリフト</v>
          </cell>
          <cell r="Q1047" t="str">
            <v xml:space="preserve"> </v>
          </cell>
          <cell r="T1047" t="str">
            <v>ｶﾅｶﾞﾜｺﾏﾂﾌｫｰｸﾘﾌﾄ</v>
          </cell>
          <cell r="V1047" t="str">
            <v>30</v>
          </cell>
        </row>
        <row r="1048">
          <cell r="B1048" t="str">
            <v>8581</v>
          </cell>
          <cell r="C1048" t="str">
            <v>A</v>
          </cell>
          <cell r="D1048" t="str">
            <v>神奈川小松フォークリフト(株)</v>
          </cell>
          <cell r="E1048" t="str">
            <v>川崎営業所</v>
          </cell>
          <cell r="J1048" t="str">
            <v>210</v>
          </cell>
          <cell r="K1048" t="str">
            <v>川崎市川崎区塩浜2-7-21</v>
          </cell>
          <cell r="L1048" t="str">
            <v xml:space="preserve"> </v>
          </cell>
          <cell r="M1048" t="str">
            <v>044-299-1461</v>
          </cell>
          <cell r="N1048" t="str">
            <v>/</v>
          </cell>
          <cell r="O1048" t="str">
            <v>フォークリフト</v>
          </cell>
          <cell r="Q1048" t="str">
            <v xml:space="preserve"> </v>
          </cell>
          <cell r="T1048" t="str">
            <v>ｶﾅｶﾞﾜｺﾏﾂﾌｫｰｸﾘﾌﾄ</v>
          </cell>
          <cell r="V1048" t="str">
            <v>30</v>
          </cell>
        </row>
        <row r="1049">
          <cell r="B1049" t="str">
            <v>8583</v>
          </cell>
          <cell r="C1049" t="str">
            <v>#</v>
          </cell>
          <cell r="D1049" t="str">
            <v>高千穂交易(株)</v>
          </cell>
          <cell r="F1049" t="str">
            <v>代表取締役社長</v>
          </cell>
          <cell r="G1049" t="str">
            <v>佐々木　豊実</v>
          </cell>
          <cell r="H1049">
            <v>40</v>
          </cell>
          <cell r="I1049">
            <v>400</v>
          </cell>
          <cell r="J1049" t="str">
            <v>160</v>
          </cell>
          <cell r="K1049" t="str">
            <v>新宿区四谷1-2-8</v>
          </cell>
          <cell r="L1049" t="str">
            <v>中村ビル</v>
          </cell>
          <cell r="M1049" t="str">
            <v>03-3355-0430</v>
          </cell>
          <cell r="N1049" t="str">
            <v>/3357-0932</v>
          </cell>
          <cell r="O1049" t="str">
            <v>バランス・ホイスト</v>
          </cell>
          <cell r="Q1049" t="str">
            <v xml:space="preserve"> </v>
          </cell>
          <cell r="R1049" t="str">
            <v>□</v>
          </cell>
          <cell r="T1049" t="str">
            <v>ﾀｶﾁﾎｺｳｴｷ</v>
          </cell>
          <cell r="V1049" t="str">
            <v>30</v>
          </cell>
        </row>
        <row r="1050">
          <cell r="B1050" t="str">
            <v>8584</v>
          </cell>
          <cell r="C1050" t="str">
            <v>#</v>
          </cell>
          <cell r="D1050" t="str">
            <v>(株)日立ビルシステム</v>
          </cell>
          <cell r="F1050" t="str">
            <v>代表取締役</v>
          </cell>
          <cell r="G1050" t="str">
            <v>深山　俊彦</v>
          </cell>
          <cell r="H1050">
            <v>510</v>
          </cell>
          <cell r="I1050">
            <v>5500</v>
          </cell>
          <cell r="J1050" t="str">
            <v>101</v>
          </cell>
          <cell r="K1050" t="str">
            <v>千代田区神田錦町1-6</v>
          </cell>
          <cell r="L1050" t="str">
            <v>日立錦町別館</v>
          </cell>
          <cell r="M1050" t="str">
            <v>03-3295-1211</v>
          </cell>
          <cell r="N1050" t="str">
            <v>/3219-9197</v>
          </cell>
          <cell r="O1050" t="str">
            <v>ｴﾚﾍﾞｰﾀｰ販売及び</v>
          </cell>
          <cell r="Q1050" t="str">
            <v xml:space="preserve"> </v>
          </cell>
          <cell r="T1050" t="str">
            <v>ﾋﾀﾁﾋﾞﾙｼｽﾃﾑ</v>
          </cell>
          <cell r="V1050" t="str">
            <v>30</v>
          </cell>
        </row>
        <row r="1051">
          <cell r="B1051" t="str">
            <v>8584</v>
          </cell>
          <cell r="C1051" t="str">
            <v>A</v>
          </cell>
          <cell r="D1051" t="str">
            <v>(株)日立ビルシステムサービス</v>
          </cell>
          <cell r="E1051" t="str">
            <v>横浜支社</v>
          </cell>
          <cell r="F1051" t="str">
            <v>支社長</v>
          </cell>
          <cell r="G1051" t="str">
            <v>菊地  成美</v>
          </cell>
          <cell r="J1051" t="str">
            <v>231</v>
          </cell>
          <cell r="K1051" t="str">
            <v>横浜市中区住吉町4-45-1</v>
          </cell>
          <cell r="L1051" t="str">
            <v xml:space="preserve"> </v>
          </cell>
          <cell r="M1051" t="str">
            <v>045-651-1211</v>
          </cell>
          <cell r="N1051" t="str">
            <v>/651-1529</v>
          </cell>
          <cell r="O1051" t="str">
            <v>据え付け保守</v>
          </cell>
          <cell r="Q1051" t="str">
            <v xml:space="preserve"> </v>
          </cell>
          <cell r="T1051" t="str">
            <v>ﾋﾀﾁﾋﾞﾙｼｽﾃﾑ</v>
          </cell>
          <cell r="V1051" t="str">
            <v>30</v>
          </cell>
        </row>
        <row r="1052">
          <cell r="B1052" t="str">
            <v>8585</v>
          </cell>
          <cell r="C1052" t="str">
            <v>#</v>
          </cell>
          <cell r="D1052" t="str">
            <v>(株)ｱｲ･ｴｲﾁ･ｱｲ･ﾄﾚｰﾃﾞｨﾝｸﾞ</v>
          </cell>
          <cell r="F1052" t="str">
            <v>代表取締役社長</v>
          </cell>
          <cell r="G1052" t="str">
            <v>野坂  孝市</v>
          </cell>
          <cell r="H1052">
            <v>200</v>
          </cell>
          <cell r="I1052">
            <v>70</v>
          </cell>
          <cell r="J1052" t="str">
            <v>104</v>
          </cell>
          <cell r="K1052" t="str">
            <v>中央区八重洲2-9-7</v>
          </cell>
          <cell r="L1052" t="str">
            <v>石興ビル4F</v>
          </cell>
          <cell r="M1052" t="str">
            <v>03-3281-0201</v>
          </cell>
          <cell r="N1052" t="str">
            <v>/3281-2088</v>
          </cell>
          <cell r="O1052" t="str">
            <v>建設機械・産業設備</v>
          </cell>
          <cell r="Q1052" t="str">
            <v xml:space="preserve"> </v>
          </cell>
          <cell r="R1052" t="str">
            <v>□</v>
          </cell>
          <cell r="T1052" t="str">
            <v>ｱｲ･ｴｲﾁ･ｱｲ･ﾄﾚｰﾃﾞｨﾝｸﾞ</v>
          </cell>
          <cell r="V1052" t="str">
            <v>30</v>
          </cell>
        </row>
        <row r="1053">
          <cell r="B1053" t="str">
            <v>8586</v>
          </cell>
          <cell r="C1053" t="str">
            <v>#</v>
          </cell>
          <cell r="D1053" t="str">
            <v>大同工業(株)</v>
          </cell>
          <cell r="F1053" t="str">
            <v>取締役社長</v>
          </cell>
          <cell r="G1053" t="str">
            <v>新家　章市</v>
          </cell>
          <cell r="H1053">
            <v>2221</v>
          </cell>
          <cell r="I1053">
            <v>1562</v>
          </cell>
          <cell r="J1053" t="str">
            <v>922</v>
          </cell>
          <cell r="K1053" t="str">
            <v>加賀市熊坂町イ197</v>
          </cell>
          <cell r="L1053" t="str">
            <v xml:space="preserve"> </v>
          </cell>
          <cell r="M1053" t="str">
            <v>03-3808-0781</v>
          </cell>
          <cell r="N1053" t="str">
            <v>/</v>
          </cell>
          <cell r="O1053" t="str">
            <v>ﾁｪｰﾝｺﾝﾍﾞｱ省力機器</v>
          </cell>
          <cell r="Q1053" t="str">
            <v xml:space="preserve"> </v>
          </cell>
          <cell r="T1053" t="str">
            <v>ﾀﾞｲﾄﾞｳｺｳｷﾞｮｳ</v>
          </cell>
          <cell r="V1053" t="str">
            <v>30</v>
          </cell>
        </row>
        <row r="1054">
          <cell r="B1054" t="str">
            <v>8587</v>
          </cell>
          <cell r="C1054" t="str">
            <v>#</v>
          </cell>
          <cell r="D1054" t="str">
            <v>伊藤機電(株)</v>
          </cell>
          <cell r="F1054" t="str">
            <v>代表取締役社長</v>
          </cell>
          <cell r="G1054" t="str">
            <v>伊藤　隆</v>
          </cell>
          <cell r="H1054">
            <v>30</v>
          </cell>
          <cell r="I1054">
            <v>68</v>
          </cell>
          <cell r="J1054" t="str">
            <v>103</v>
          </cell>
          <cell r="K1054" t="str">
            <v>中央区日本橋茅場町2-7-5</v>
          </cell>
          <cell r="L1054" t="str">
            <v xml:space="preserve"> </v>
          </cell>
          <cell r="M1054" t="str">
            <v>03-3669-7311</v>
          </cell>
          <cell r="N1054" t="str">
            <v>/3669-7310</v>
          </cell>
          <cell r="O1054" t="str">
            <v>ローラーコンベヤー</v>
          </cell>
          <cell r="Q1054" t="str">
            <v xml:space="preserve"> </v>
          </cell>
          <cell r="R1054" t="str">
            <v>□</v>
          </cell>
          <cell r="T1054" t="str">
            <v>ｲﾄｳｷﾃﾞﾝ</v>
          </cell>
          <cell r="V1054" t="str">
            <v>30</v>
          </cell>
        </row>
        <row r="1055">
          <cell r="B1055" t="str">
            <v>8588</v>
          </cell>
          <cell r="C1055" t="str">
            <v>#</v>
          </cell>
          <cell r="D1055" t="str">
            <v>村田機械(株)</v>
          </cell>
          <cell r="F1055" t="str">
            <v>代表取締役</v>
          </cell>
          <cell r="G1055" t="str">
            <v>村田　純一</v>
          </cell>
          <cell r="H1055">
            <v>450</v>
          </cell>
          <cell r="I1055">
            <v>1621</v>
          </cell>
          <cell r="J1055" t="str">
            <v>601</v>
          </cell>
          <cell r="K1055" t="str">
            <v>京都市南区吉祥院南落合町3</v>
          </cell>
          <cell r="L1055" t="str">
            <v xml:space="preserve"> </v>
          </cell>
          <cell r="M1055" t="str">
            <v>075-681-9141</v>
          </cell>
          <cell r="N1055" t="str">
            <v>/</v>
          </cell>
          <cell r="O1055" t="str">
            <v>物流システム機器</v>
          </cell>
          <cell r="Q1055" t="str">
            <v xml:space="preserve"> </v>
          </cell>
          <cell r="T1055" t="str">
            <v>ﾑﾗﾀｷｶｲ</v>
          </cell>
          <cell r="V1055" t="str">
            <v>30</v>
          </cell>
        </row>
        <row r="1056">
          <cell r="B1056" t="str">
            <v>8588</v>
          </cell>
          <cell r="C1056" t="str">
            <v>A</v>
          </cell>
          <cell r="D1056" t="str">
            <v>村田機械(株)</v>
          </cell>
          <cell r="E1056" t="str">
            <v>物流事業部</v>
          </cell>
          <cell r="F1056" t="str">
            <v>販売部長</v>
          </cell>
          <cell r="G1056" t="str">
            <v>田島　正彦</v>
          </cell>
          <cell r="J1056" t="str">
            <v>105</v>
          </cell>
          <cell r="K1056" t="str">
            <v>港区虎ノ門1-9-2</v>
          </cell>
          <cell r="L1056" t="str">
            <v>虎ノ門東相ビル</v>
          </cell>
          <cell r="M1056" t="str">
            <v>03-3503-4671</v>
          </cell>
          <cell r="N1056" t="str">
            <v>/3595-2493</v>
          </cell>
          <cell r="O1056" t="str">
            <v>物流システム機器</v>
          </cell>
          <cell r="Q1056" t="str">
            <v xml:space="preserve"> </v>
          </cell>
          <cell r="T1056" t="str">
            <v>ﾑﾗﾀｷｶｲ</v>
          </cell>
          <cell r="V1056" t="str">
            <v>30</v>
          </cell>
        </row>
        <row r="1057">
          <cell r="B1057" t="str">
            <v>8588</v>
          </cell>
          <cell r="C1057" t="str">
            <v>B</v>
          </cell>
          <cell r="D1057" t="str">
            <v>村田機械(株)</v>
          </cell>
          <cell r="E1057" t="str">
            <v>東京営業所</v>
          </cell>
          <cell r="K1057" t="str">
            <v xml:space="preserve"> </v>
          </cell>
          <cell r="L1057" t="str">
            <v xml:space="preserve"> </v>
          </cell>
          <cell r="N1057" t="str">
            <v>/</v>
          </cell>
          <cell r="Q1057" t="str">
            <v xml:space="preserve"> </v>
          </cell>
          <cell r="T1057" t="str">
            <v>ﾑﾗﾀｷｶｲ</v>
          </cell>
          <cell r="V1057" t="str">
            <v>30</v>
          </cell>
        </row>
        <row r="1058">
          <cell r="B1058" t="str">
            <v>8589</v>
          </cell>
          <cell r="C1058" t="str">
            <v>#</v>
          </cell>
          <cell r="D1058" t="str">
            <v>三興商事(株)</v>
          </cell>
          <cell r="F1058" t="str">
            <v>取締役社長</v>
          </cell>
          <cell r="G1058" t="str">
            <v>亀井　克己</v>
          </cell>
          <cell r="H1058">
            <v>43</v>
          </cell>
          <cell r="I1058">
            <v>41</v>
          </cell>
          <cell r="J1058" t="str">
            <v>541</v>
          </cell>
          <cell r="K1058" t="str">
            <v>大阪市東区道修町4-6-1</v>
          </cell>
          <cell r="L1058" t="str">
            <v>新芝川ビル</v>
          </cell>
          <cell r="M1058" t="str">
            <v xml:space="preserve">06-203-2831 </v>
          </cell>
          <cell r="N1058" t="str">
            <v>/</v>
          </cell>
          <cell r="O1058" t="str">
            <v>集塵装置</v>
          </cell>
          <cell r="Q1058" t="str">
            <v xml:space="preserve"> </v>
          </cell>
          <cell r="T1058" t="str">
            <v>ｻﾝｺｳｼｮｳｼﾞ</v>
          </cell>
          <cell r="V1058" t="str">
            <v>30</v>
          </cell>
        </row>
        <row r="1059">
          <cell r="B1059" t="str">
            <v>8589</v>
          </cell>
          <cell r="C1059" t="str">
            <v>A</v>
          </cell>
          <cell r="D1059" t="str">
            <v>三興商事(株)</v>
          </cell>
          <cell r="E1059" t="str">
            <v>東京支店</v>
          </cell>
          <cell r="F1059" t="str">
            <v>専務取締役</v>
          </cell>
          <cell r="G1059" t="str">
            <v>亀井　隆雄</v>
          </cell>
          <cell r="J1059" t="str">
            <v>103</v>
          </cell>
          <cell r="K1059" t="str">
            <v>中央区日本橋3-3-3</v>
          </cell>
          <cell r="L1059" t="str">
            <v>八重洲山川ビル</v>
          </cell>
          <cell r="M1059" t="str">
            <v>03-3281-0836</v>
          </cell>
          <cell r="N1059" t="str">
            <v>/</v>
          </cell>
          <cell r="O1059" t="str">
            <v>集塵装置</v>
          </cell>
          <cell r="Q1059" t="str">
            <v xml:space="preserve"> </v>
          </cell>
          <cell r="T1059" t="str">
            <v>ｻﾝｺｳｼｮｳｼﾞ</v>
          </cell>
          <cell r="V1059" t="str">
            <v>30</v>
          </cell>
        </row>
        <row r="1060">
          <cell r="B1060" t="str">
            <v>8590</v>
          </cell>
          <cell r="C1060" t="str">
            <v>#</v>
          </cell>
          <cell r="D1060" t="str">
            <v>(株)ﾜｰﾙﾄﾞ･ﾜｲﾄﾞ商会</v>
          </cell>
          <cell r="F1060" t="str">
            <v>代表取締役</v>
          </cell>
          <cell r="G1060" t="str">
            <v>宮川　建男</v>
          </cell>
          <cell r="H1060">
            <v>12</v>
          </cell>
          <cell r="I1060">
            <v>6</v>
          </cell>
          <cell r="J1060" t="str">
            <v>108</v>
          </cell>
          <cell r="K1060" t="str">
            <v>港区高輪2-21-41</v>
          </cell>
          <cell r="L1060" t="str">
            <v>高輪第一ビル</v>
          </cell>
          <cell r="M1060" t="str">
            <v>03-3445-5512</v>
          </cell>
          <cell r="N1060" t="str">
            <v>/3447-7410</v>
          </cell>
          <cell r="O1060" t="str">
            <v>ｼｰﾗｰ塗布装置､ｻｲﾄﾞﾓｰﾙ接着装置</v>
          </cell>
          <cell r="Q1060" t="str">
            <v xml:space="preserve"> </v>
          </cell>
          <cell r="R1060" t="str">
            <v>□</v>
          </cell>
          <cell r="T1060" t="str">
            <v>ﾜｰﾙﾄﾞﾜｲﾄﾞｼｮｳｶｲ</v>
          </cell>
          <cell r="V1060" t="str">
            <v>30</v>
          </cell>
        </row>
        <row r="1061">
          <cell r="B1061" t="str">
            <v>8591</v>
          </cell>
          <cell r="C1061" t="str">
            <v>#</v>
          </cell>
          <cell r="D1061" t="str">
            <v>共和産業(株)</v>
          </cell>
          <cell r="F1061" t="str">
            <v>代表取締役社長</v>
          </cell>
          <cell r="G1061" t="str">
            <v>鈴木　泰而</v>
          </cell>
          <cell r="H1061">
            <v>40</v>
          </cell>
          <cell r="I1061">
            <v>153</v>
          </cell>
          <cell r="J1061" t="str">
            <v>370</v>
          </cell>
          <cell r="K1061" t="str">
            <v>高崎市島野町890</v>
          </cell>
          <cell r="L1061" t="str">
            <v xml:space="preserve"> </v>
          </cell>
          <cell r="M1061" t="str">
            <v>0273-52-1631</v>
          </cell>
          <cell r="N1061" t="str">
            <v>/</v>
          </cell>
          <cell r="O1061" t="str">
            <v>工作機械</v>
          </cell>
          <cell r="Q1061" t="str">
            <v xml:space="preserve"> </v>
          </cell>
          <cell r="T1061" t="str">
            <v>ｷｮｳﾜｻﾝｷﾞｮｳ</v>
          </cell>
          <cell r="V1061" t="str">
            <v>30</v>
          </cell>
        </row>
        <row r="1062">
          <cell r="B1062" t="str">
            <v>8591</v>
          </cell>
          <cell r="C1062" t="str">
            <v>A</v>
          </cell>
          <cell r="D1062" t="str">
            <v>共和産業(株)</v>
          </cell>
          <cell r="E1062" t="str">
            <v>東京営業所</v>
          </cell>
          <cell r="F1062" t="str">
            <v>取締役営業所長</v>
          </cell>
          <cell r="G1062" t="str">
            <v>小原　清</v>
          </cell>
          <cell r="J1062" t="str">
            <v>107</v>
          </cell>
          <cell r="K1062" t="str">
            <v>港区南青山2-26-34</v>
          </cell>
          <cell r="L1062" t="str">
            <v>キタヤビル6F</v>
          </cell>
          <cell r="M1062" t="str">
            <v>03-3479-3491</v>
          </cell>
          <cell r="N1062" t="str">
            <v>/</v>
          </cell>
          <cell r="O1062" t="str">
            <v>工作機械</v>
          </cell>
          <cell r="Q1062" t="str">
            <v xml:space="preserve"> </v>
          </cell>
          <cell r="T1062" t="str">
            <v>ｷｮｳﾜｻﾝｷﾞｮｳ</v>
          </cell>
          <cell r="V1062" t="str">
            <v>30</v>
          </cell>
        </row>
        <row r="1063">
          <cell r="B1063" t="str">
            <v>8592</v>
          </cell>
          <cell r="C1063" t="str">
            <v>#</v>
          </cell>
          <cell r="D1063" t="str">
            <v>池田煖房工業(株)</v>
          </cell>
          <cell r="F1063" t="str">
            <v>代表取締役</v>
          </cell>
          <cell r="G1063" t="str">
            <v>池田　輝雄</v>
          </cell>
          <cell r="H1063">
            <v>98</v>
          </cell>
          <cell r="I1063">
            <v>179</v>
          </cell>
          <cell r="J1063" t="str">
            <v>001</v>
          </cell>
          <cell r="K1063" t="str">
            <v>札幌市北区北12条西3丁目8</v>
          </cell>
          <cell r="L1063" t="str">
            <v xml:space="preserve"> </v>
          </cell>
          <cell r="M1063" t="str">
            <v>011-721-1151</v>
          </cell>
          <cell r="N1063" t="str">
            <v>/</v>
          </cell>
          <cell r="O1063" t="str">
            <v>動力設備工事</v>
          </cell>
          <cell r="Q1063" t="str">
            <v xml:space="preserve"> </v>
          </cell>
          <cell r="T1063" t="str">
            <v>ｲｹﾀﾞﾀﾞﾝﾎﾞｳｺｳｷﾞｮｳ</v>
          </cell>
          <cell r="V1063" t="str">
            <v>30</v>
          </cell>
        </row>
        <row r="1064">
          <cell r="B1064" t="str">
            <v>8593</v>
          </cell>
          <cell r="C1064" t="str">
            <v>#</v>
          </cell>
          <cell r="D1064" t="str">
            <v>(株)朝日工業社</v>
          </cell>
          <cell r="F1064" t="str">
            <v>取締役社長</v>
          </cell>
          <cell r="G1064" t="str">
            <v>高須　康有</v>
          </cell>
          <cell r="H1064">
            <v>1640</v>
          </cell>
          <cell r="I1064">
            <v>809</v>
          </cell>
          <cell r="J1064" t="str">
            <v>105</v>
          </cell>
          <cell r="K1064" t="str">
            <v>港区浜松町1-25-7</v>
          </cell>
          <cell r="L1064" t="str">
            <v xml:space="preserve"> </v>
          </cell>
          <cell r="M1064" t="str">
            <v>03-3432-5826</v>
          </cell>
          <cell r="N1064" t="str">
            <v>/</v>
          </cell>
          <cell r="O1064" t="str">
            <v>空調設備工事</v>
          </cell>
          <cell r="Q1064" t="str">
            <v xml:space="preserve"> </v>
          </cell>
          <cell r="T1064" t="str">
            <v>ｱｻﾋｺｳｷﾞｮｳｼｬ</v>
          </cell>
          <cell r="V1064" t="str">
            <v>30</v>
          </cell>
        </row>
        <row r="1065">
          <cell r="B1065" t="str">
            <v>8594</v>
          </cell>
          <cell r="C1065" t="str">
            <v>#</v>
          </cell>
          <cell r="D1065" t="str">
            <v>(株)栗林商会</v>
          </cell>
          <cell r="F1065" t="str">
            <v>代表取締役</v>
          </cell>
          <cell r="G1065" t="str">
            <v>栗林　和徳</v>
          </cell>
          <cell r="H1065">
            <v>150</v>
          </cell>
          <cell r="I1065">
            <v>603</v>
          </cell>
          <cell r="J1065" t="str">
            <v>051</v>
          </cell>
          <cell r="K1065" t="str">
            <v>室蘭市海岸町1-22</v>
          </cell>
          <cell r="L1065" t="str">
            <v xml:space="preserve"> </v>
          </cell>
          <cell r="M1065" t="str">
            <v>0143-24-7011</v>
          </cell>
          <cell r="N1065" t="str">
            <v>/</v>
          </cell>
          <cell r="O1065" t="str">
            <v>トラクター・フォークリフト</v>
          </cell>
          <cell r="Q1065" t="str">
            <v xml:space="preserve"> </v>
          </cell>
          <cell r="T1065" t="str">
            <v>ｸﾘﾊﾞﾔｼｼｮｳｶｲ</v>
          </cell>
          <cell r="V1065" t="str">
            <v>30</v>
          </cell>
        </row>
        <row r="1066">
          <cell r="B1066" t="str">
            <v>8594</v>
          </cell>
          <cell r="C1066" t="str">
            <v>A</v>
          </cell>
          <cell r="D1066" t="str">
            <v>(株)栗林商会</v>
          </cell>
          <cell r="E1066" t="str">
            <v>東京支社</v>
          </cell>
          <cell r="F1066" t="str">
            <v>支社長</v>
          </cell>
          <cell r="G1066" t="str">
            <v>蚊野　有三</v>
          </cell>
          <cell r="J1066" t="str">
            <v>100</v>
          </cell>
          <cell r="K1066" t="str">
            <v>千代田区丸の内3-4-1</v>
          </cell>
          <cell r="L1066" t="str">
            <v>新国際ビル8F819区</v>
          </cell>
          <cell r="M1066" t="str">
            <v>03-3216-4021</v>
          </cell>
          <cell r="N1066" t="str">
            <v>/3216-0085</v>
          </cell>
          <cell r="O1066" t="str">
            <v>ｼｮﾍﾞﾙﾛｰﾀﾞｰ</v>
          </cell>
          <cell r="Q1066" t="str">
            <v xml:space="preserve"> </v>
          </cell>
          <cell r="T1066" t="str">
            <v>ｸﾘﾊﾞﾔｼｼｮｳｶｲ</v>
          </cell>
          <cell r="V1066" t="str">
            <v>30</v>
          </cell>
        </row>
        <row r="1067">
          <cell r="B1067" t="str">
            <v>8595</v>
          </cell>
          <cell r="C1067" t="str">
            <v>#</v>
          </cell>
          <cell r="D1067" t="str">
            <v>北海道小松フォークリフト(株)</v>
          </cell>
          <cell r="F1067" t="str">
            <v>代表取締役</v>
          </cell>
          <cell r="G1067" t="str">
            <v>倉　　福蔵</v>
          </cell>
          <cell r="H1067">
            <v>30</v>
          </cell>
          <cell r="I1067">
            <v>76</v>
          </cell>
          <cell r="J1067" t="str">
            <v>003</v>
          </cell>
          <cell r="K1067" t="str">
            <v>札幌市白石区大谷地561-1</v>
          </cell>
          <cell r="L1067" t="str">
            <v xml:space="preserve"> </v>
          </cell>
          <cell r="M1067" t="str">
            <v>011-862-2541</v>
          </cell>
          <cell r="N1067" t="str">
            <v>/</v>
          </cell>
          <cell r="O1067" t="str">
            <v>フォークリフト</v>
          </cell>
          <cell r="Q1067" t="str">
            <v xml:space="preserve"> </v>
          </cell>
          <cell r="T1067" t="str">
            <v>ﾎｯｶｲﾄﾞｳｺﾏﾂﾌｫｰｸﾘﾌﾄ</v>
          </cell>
          <cell r="V1067" t="str">
            <v>30</v>
          </cell>
        </row>
        <row r="1068">
          <cell r="B1068" t="str">
            <v>8595</v>
          </cell>
          <cell r="C1068" t="str">
            <v>A</v>
          </cell>
          <cell r="D1068" t="str">
            <v>北海道小松フォークリフト(株)</v>
          </cell>
          <cell r="E1068" t="str">
            <v>苫小牧支店</v>
          </cell>
          <cell r="J1068" t="str">
            <v>053</v>
          </cell>
          <cell r="K1068" t="str">
            <v>苫小牧市あけぼの町3-5-10</v>
          </cell>
          <cell r="L1068" t="str">
            <v/>
          </cell>
          <cell r="M1068" t="str">
            <v>0144-55-3352</v>
          </cell>
          <cell r="N1068" t="str">
            <v>/55-3354</v>
          </cell>
        </row>
        <row r="1069">
          <cell r="B1069" t="str">
            <v>8596</v>
          </cell>
          <cell r="C1069" t="str">
            <v>#</v>
          </cell>
          <cell r="D1069" t="str">
            <v>日本真空技術(株)</v>
          </cell>
          <cell r="F1069" t="str">
            <v>取締役社長</v>
          </cell>
          <cell r="G1069" t="str">
            <v>林　　主税</v>
          </cell>
          <cell r="H1069">
            <v>1210</v>
          </cell>
          <cell r="I1069">
            <v>840</v>
          </cell>
          <cell r="J1069" t="str">
            <v>253</v>
          </cell>
          <cell r="K1069" t="str">
            <v>茅ケ崎市萩園2500</v>
          </cell>
          <cell r="L1069" t="str">
            <v xml:space="preserve"> </v>
          </cell>
          <cell r="M1069" t="str">
            <v>0467-83-1151</v>
          </cell>
          <cell r="N1069" t="str">
            <v>/</v>
          </cell>
          <cell r="O1069" t="str">
            <v>真空ポンプ・真空バルブ</v>
          </cell>
          <cell r="Q1069" t="str">
            <v xml:space="preserve"> </v>
          </cell>
          <cell r="T1069" t="str">
            <v>ﾆﾎﾝｼﾝｸｳｷﾞｼﾞｭﾂ</v>
          </cell>
          <cell r="V1069" t="str">
            <v>30</v>
          </cell>
        </row>
        <row r="1070">
          <cell r="B1070" t="str">
            <v>8598</v>
          </cell>
          <cell r="C1070" t="str">
            <v>#</v>
          </cell>
          <cell r="D1070" t="str">
            <v>カマクラ商販(株)</v>
          </cell>
          <cell r="F1070" t="str">
            <v>代表取締役</v>
          </cell>
          <cell r="G1070" t="str">
            <v>古口　弘</v>
          </cell>
          <cell r="H1070">
            <v>15</v>
          </cell>
          <cell r="I1070">
            <v>7</v>
          </cell>
          <cell r="J1070" t="str">
            <v>107</v>
          </cell>
          <cell r="K1070" t="str">
            <v>港区北青山2-7-11</v>
          </cell>
          <cell r="L1070" t="str">
            <v>カマクラセンタービル</v>
          </cell>
          <cell r="M1070" t="str">
            <v>03-3403-0881</v>
          </cell>
          <cell r="N1070" t="str">
            <v>/</v>
          </cell>
          <cell r="O1070" t="str">
            <v>ルーフファン・エアーカーテン</v>
          </cell>
          <cell r="Q1070" t="str">
            <v xml:space="preserve"> </v>
          </cell>
          <cell r="T1070" t="str">
            <v>ｶﾏｸﾗｼｮｳﾊﾝ</v>
          </cell>
          <cell r="V1070" t="str">
            <v>30</v>
          </cell>
        </row>
        <row r="1071">
          <cell r="B1071" t="str">
            <v>8603</v>
          </cell>
          <cell r="C1071" t="str">
            <v>#</v>
          </cell>
          <cell r="D1071" t="str">
            <v>(株)勝栄電業社</v>
          </cell>
          <cell r="F1071" t="str">
            <v>代表取締役</v>
          </cell>
          <cell r="G1071" t="str">
            <v>佐々木　幸夫</v>
          </cell>
          <cell r="H1071">
            <v>20</v>
          </cell>
          <cell r="I1071">
            <v>42</v>
          </cell>
          <cell r="J1071" t="str">
            <v>144</v>
          </cell>
          <cell r="K1071" t="str">
            <v>大田区東糀谷4-9-11</v>
          </cell>
          <cell r="L1071" t="str">
            <v xml:space="preserve"> </v>
          </cell>
          <cell r="M1071" t="str">
            <v>03-3741-0386</v>
          </cell>
          <cell r="N1071" t="str">
            <v>/3741-6230</v>
          </cell>
          <cell r="O1071" t="str">
            <v>モーター修理</v>
          </cell>
          <cell r="Q1071" t="str">
            <v xml:space="preserve"> </v>
          </cell>
          <cell r="R1071" t="str">
            <v>□</v>
          </cell>
          <cell r="T1071" t="str">
            <v>ｼｮｳｴｲﾃﾞﾝｷﾞｮｳｼｬ</v>
          </cell>
          <cell r="V1071" t="str">
            <v>30</v>
          </cell>
        </row>
        <row r="1072">
          <cell r="B1072" t="str">
            <v>8604</v>
          </cell>
          <cell r="C1072" t="str">
            <v>#</v>
          </cell>
          <cell r="D1072" t="str">
            <v>扶桑電通(株)</v>
          </cell>
          <cell r="F1072" t="str">
            <v>代表取締役社長</v>
          </cell>
          <cell r="G1072" t="str">
            <v>太田　栄三</v>
          </cell>
          <cell r="H1072">
            <v>320</v>
          </cell>
          <cell r="I1072">
            <v>1363</v>
          </cell>
          <cell r="J1072" t="str">
            <v>104</v>
          </cell>
          <cell r="K1072" t="str">
            <v>中央区八重洲2-10-14</v>
          </cell>
          <cell r="L1072" t="str">
            <v xml:space="preserve"> </v>
          </cell>
          <cell r="M1072" t="str">
            <v>03-5202-0783</v>
          </cell>
          <cell r="N1072" t="str">
            <v>/5202-0786</v>
          </cell>
          <cell r="O1072" t="str">
            <v>自動電話交換機 弱電設備工事</v>
          </cell>
          <cell r="Q1072" t="str">
            <v xml:space="preserve"> </v>
          </cell>
          <cell r="T1072" t="str">
            <v>ﾌｿｳﾃﾞﾝﾂｳ</v>
          </cell>
          <cell r="V1072" t="str">
            <v>30</v>
          </cell>
        </row>
        <row r="1073">
          <cell r="B1073" t="str">
            <v>8605</v>
          </cell>
          <cell r="C1073" t="str">
            <v>#</v>
          </cell>
          <cell r="D1073" t="str">
            <v>(株)京電社</v>
          </cell>
          <cell r="F1073" t="str">
            <v>代表取締役社長</v>
          </cell>
          <cell r="G1073" t="str">
            <v>石嶋  清仁　</v>
          </cell>
          <cell r="H1073">
            <v>45</v>
          </cell>
          <cell r="I1073">
            <v>210</v>
          </cell>
          <cell r="J1073" t="str">
            <v>210</v>
          </cell>
          <cell r="K1073" t="str">
            <v>川崎市川崎区四谷上町25-17</v>
          </cell>
          <cell r="L1073" t="str">
            <v xml:space="preserve"> </v>
          </cell>
          <cell r="M1073" t="str">
            <v>044-266-1111</v>
          </cell>
          <cell r="N1073" t="str">
            <v>/266-5110</v>
          </cell>
          <cell r="O1073" t="str">
            <v>電気設備</v>
          </cell>
          <cell r="Q1073" t="str">
            <v>◎</v>
          </cell>
          <cell r="R1073" t="str">
            <v>□</v>
          </cell>
          <cell r="S1073" t="str">
            <v>☆</v>
          </cell>
          <cell r="T1073" t="str">
            <v>ｷｮｳﾃﾞﾝｼｬ</v>
          </cell>
          <cell r="V1073" t="str">
            <v>30</v>
          </cell>
        </row>
        <row r="1074">
          <cell r="B1074" t="str">
            <v>8607</v>
          </cell>
          <cell r="C1074" t="str">
            <v>#</v>
          </cell>
          <cell r="D1074" t="str">
            <v xml:space="preserve">トキコ油器(株) </v>
          </cell>
          <cell r="F1074" t="str">
            <v>取締役社長</v>
          </cell>
          <cell r="G1074" t="str">
            <v>小林　碚二</v>
          </cell>
          <cell r="H1074">
            <v>200</v>
          </cell>
          <cell r="I1074">
            <v>260</v>
          </cell>
          <cell r="J1074" t="str">
            <v>230</v>
          </cell>
          <cell r="K1074" t="str">
            <v>横浜市鶴見区鶴見中央3-9-27</v>
          </cell>
          <cell r="L1074" t="str">
            <v xml:space="preserve"> </v>
          </cell>
          <cell r="M1074" t="str">
            <v>045-504-6681</v>
          </cell>
          <cell r="N1074" t="str">
            <v>/</v>
          </cell>
          <cell r="O1074" t="str">
            <v>量器・地上下槽</v>
          </cell>
          <cell r="Q1074" t="str">
            <v xml:space="preserve"> </v>
          </cell>
          <cell r="T1074" t="str">
            <v>ﾄｷｺﾕｷ</v>
          </cell>
          <cell r="V1074" t="str">
            <v>30</v>
          </cell>
        </row>
        <row r="1075">
          <cell r="B1075" t="str">
            <v>8613</v>
          </cell>
          <cell r="C1075" t="str">
            <v>#</v>
          </cell>
          <cell r="D1075" t="str">
            <v>ガデリウス(株)</v>
          </cell>
          <cell r="F1075" t="str">
            <v>代表取締役社長</v>
          </cell>
          <cell r="G1075" t="str">
            <v>椎名　活夫</v>
          </cell>
          <cell r="H1075">
            <v>2500</v>
          </cell>
          <cell r="I1075">
            <v>1080</v>
          </cell>
          <cell r="J1075" t="str">
            <v>107</v>
          </cell>
          <cell r="K1075" t="str">
            <v>港区赤坂5-2-39</v>
          </cell>
          <cell r="L1075" t="str">
            <v xml:space="preserve"> </v>
          </cell>
          <cell r="M1075" t="str">
            <v>03-3584-1411</v>
          </cell>
          <cell r="N1075" t="str">
            <v>/</v>
          </cell>
          <cell r="O1075" t="str">
            <v>輸入炉</v>
          </cell>
          <cell r="Q1075" t="str">
            <v xml:space="preserve"> </v>
          </cell>
          <cell r="T1075" t="str">
            <v>ｶﾞﾃﾞﾘｳｽ</v>
          </cell>
          <cell r="V1075" t="str">
            <v>30</v>
          </cell>
        </row>
        <row r="1076">
          <cell r="B1076" t="str">
            <v>8616</v>
          </cell>
          <cell r="C1076" t="str">
            <v>#</v>
          </cell>
          <cell r="D1076" t="str">
            <v>日立電線(株)</v>
          </cell>
          <cell r="F1076" t="str">
            <v>取締役社長</v>
          </cell>
          <cell r="G1076" t="str">
            <v xml:space="preserve"> 原   精二</v>
          </cell>
          <cell r="H1076">
            <v>25700</v>
          </cell>
          <cell r="I1076">
            <v>6200</v>
          </cell>
          <cell r="J1076" t="str">
            <v>100</v>
          </cell>
          <cell r="K1076" t="str">
            <v>千代田区丸の内2-2-1</v>
          </cell>
          <cell r="L1076" t="str">
            <v>岸本ビル4F</v>
          </cell>
          <cell r="M1076" t="str">
            <v>03-5252-3178</v>
          </cell>
          <cell r="N1076" t="str">
            <v>/3216-2383</v>
          </cell>
          <cell r="O1076" t="str">
            <v>ﾌﾞﾚｰｷﾎｰｽ</v>
          </cell>
          <cell r="Q1076" t="str">
            <v>◎</v>
          </cell>
          <cell r="R1076" t="str">
            <v>□</v>
          </cell>
          <cell r="S1076" t="str">
            <v>☆</v>
          </cell>
          <cell r="T1076" t="str">
            <v>ﾋﾀﾁﾃﾞﾝｾﾝ</v>
          </cell>
          <cell r="V1076" t="str">
            <v>62</v>
          </cell>
        </row>
        <row r="1077">
          <cell r="B1077" t="str">
            <v>8619</v>
          </cell>
          <cell r="C1077" t="str">
            <v>#</v>
          </cell>
          <cell r="D1077" t="str">
            <v>ＮＥＣ三栄(株)</v>
          </cell>
          <cell r="F1077" t="str">
            <v>代表取締役社長</v>
          </cell>
          <cell r="G1077" t="str">
            <v>真鍋  和夫</v>
          </cell>
          <cell r="H1077">
            <v>480</v>
          </cell>
          <cell r="I1077">
            <v>354</v>
          </cell>
          <cell r="J1077" t="str">
            <v>187</v>
          </cell>
          <cell r="K1077" t="str">
            <v>小平市天神町1-57</v>
          </cell>
          <cell r="L1077" t="str">
            <v xml:space="preserve"> </v>
          </cell>
          <cell r="M1077" t="str">
            <v>0423-42-6710</v>
          </cell>
          <cell r="N1077" t="str">
            <v>/42-6741</v>
          </cell>
          <cell r="O1077" t="str">
            <v>電気計測器</v>
          </cell>
          <cell r="Q1077" t="str">
            <v xml:space="preserve"> </v>
          </cell>
          <cell r="R1077" t="str">
            <v>□</v>
          </cell>
          <cell r="T1077" t="str">
            <v>ｴﾇｲｰｼｰｻﾝｴｲ</v>
          </cell>
          <cell r="V1077" t="str">
            <v>30</v>
          </cell>
        </row>
        <row r="1078">
          <cell r="B1078" t="str">
            <v>8619</v>
          </cell>
          <cell r="C1078" t="str">
            <v>A</v>
          </cell>
          <cell r="D1078" t="str">
            <v>ＮＥＣ三栄(株)</v>
          </cell>
          <cell r="E1078" t="str">
            <v>横浜営業所</v>
          </cell>
          <cell r="F1078" t="str">
            <v>横浜営業所長</v>
          </cell>
          <cell r="G1078" t="str">
            <v>尾藤  安紀</v>
          </cell>
          <cell r="J1078" t="str">
            <v>222</v>
          </cell>
          <cell r="K1078" t="str">
            <v>横浜市港北区新横浜2-12-12</v>
          </cell>
          <cell r="L1078" t="str">
            <v>IKビル2F</v>
          </cell>
          <cell r="M1078" t="str">
            <v>045-473-4338</v>
          </cell>
          <cell r="N1078" t="str">
            <v>/472-6972</v>
          </cell>
          <cell r="T1078" t="str">
            <v>ｴﾇｲｰｼｰｻﾝｴｲ</v>
          </cell>
          <cell r="V1078" t="str">
            <v>30</v>
          </cell>
        </row>
        <row r="1079">
          <cell r="B1079" t="str">
            <v>8622</v>
          </cell>
          <cell r="C1079" t="str">
            <v>#</v>
          </cell>
          <cell r="D1079" t="str">
            <v>(株)共和電業</v>
          </cell>
          <cell r="F1079" t="str">
            <v>代表取締役社長</v>
          </cell>
          <cell r="G1079" t="str">
            <v>寺野  健夫</v>
          </cell>
          <cell r="H1079">
            <v>1309</v>
          </cell>
          <cell r="I1079">
            <v>58</v>
          </cell>
          <cell r="J1079" t="str">
            <v>182</v>
          </cell>
          <cell r="K1079" t="str">
            <v>調布市調布ケ丘3-5-1</v>
          </cell>
          <cell r="L1079" t="str">
            <v xml:space="preserve"> </v>
          </cell>
          <cell r="M1079" t="str">
            <v>0424-88-1111</v>
          </cell>
          <cell r="N1079" t="str">
            <v>/</v>
          </cell>
          <cell r="O1079" t="str">
            <v>静動ひずみ測定器</v>
          </cell>
          <cell r="Q1079" t="str">
            <v xml:space="preserve"> </v>
          </cell>
          <cell r="R1079" t="str">
            <v>□</v>
          </cell>
          <cell r="T1079" t="str">
            <v>ｷｮｳﾜﾃﾞﾝｷﾞｮｳ</v>
          </cell>
          <cell r="V1079" t="str">
            <v>30</v>
          </cell>
        </row>
        <row r="1080">
          <cell r="B1080" t="str">
            <v>8622</v>
          </cell>
          <cell r="C1080" t="str">
            <v>A</v>
          </cell>
          <cell r="D1080" t="str">
            <v>(株)共和電業</v>
          </cell>
          <cell r="E1080" t="str">
            <v>湘南営業所</v>
          </cell>
          <cell r="F1080" t="str">
            <v>所長</v>
          </cell>
          <cell r="G1080" t="str">
            <v>弥永  隆</v>
          </cell>
          <cell r="J1080" t="str">
            <v>251</v>
          </cell>
          <cell r="K1080" t="str">
            <v>藤沢市南藤沢23-6-202</v>
          </cell>
          <cell r="L1080" t="str">
            <v xml:space="preserve"> </v>
          </cell>
          <cell r="M1080" t="str">
            <v>0466-25-8966</v>
          </cell>
          <cell r="N1080" t="str">
            <v>/25-8968</v>
          </cell>
          <cell r="O1080" t="str">
            <v>電磁オッシログラフ・ゲージ</v>
          </cell>
          <cell r="Q1080" t="str">
            <v xml:space="preserve"> </v>
          </cell>
          <cell r="T1080" t="str">
            <v>ｷｮｳﾜﾃﾞﾝｷﾞｮｳ</v>
          </cell>
          <cell r="V1080" t="str">
            <v>30</v>
          </cell>
        </row>
        <row r="1081">
          <cell r="B1081" t="str">
            <v>8628</v>
          </cell>
          <cell r="C1081" t="str">
            <v>#</v>
          </cell>
          <cell r="D1081" t="str">
            <v>(株)小野測器</v>
          </cell>
          <cell r="F1081" t="str">
            <v>取締役社長</v>
          </cell>
          <cell r="G1081" t="str">
            <v>小野　隆彦</v>
          </cell>
          <cell r="H1081">
            <v>7134</v>
          </cell>
          <cell r="I1081">
            <v>663</v>
          </cell>
          <cell r="J1081" t="str">
            <v>226</v>
          </cell>
          <cell r="K1081" t="str">
            <v>横浜市緑区白山1-16-1</v>
          </cell>
          <cell r="L1081" t="str">
            <v/>
          </cell>
          <cell r="M1081" t="str">
            <v>045-935-3888</v>
          </cell>
          <cell r="N1081" t="str">
            <v>/</v>
          </cell>
          <cell r="O1081" t="str">
            <v>精密測定器具</v>
          </cell>
          <cell r="Q1081" t="str">
            <v xml:space="preserve"> </v>
          </cell>
          <cell r="R1081" t="str">
            <v>□</v>
          </cell>
          <cell r="T1081" t="str">
            <v>ｵﾉｿｯｷ</v>
          </cell>
          <cell r="V1081" t="str">
            <v>30</v>
          </cell>
        </row>
        <row r="1082">
          <cell r="B1082" t="str">
            <v>8630</v>
          </cell>
          <cell r="C1082" t="str">
            <v>#</v>
          </cell>
          <cell r="D1082" t="str">
            <v>日松商事(株)</v>
          </cell>
          <cell r="F1082" t="str">
            <v>代表取締役社長</v>
          </cell>
          <cell r="G1082" t="str">
            <v>高柳　暸三</v>
          </cell>
          <cell r="H1082">
            <v>30</v>
          </cell>
          <cell r="I1082">
            <v>21</v>
          </cell>
          <cell r="J1082" t="str">
            <v>113</v>
          </cell>
          <cell r="K1082" t="str">
            <v>文京区本郷2-18-1</v>
          </cell>
          <cell r="L1082" t="str">
            <v xml:space="preserve"> </v>
          </cell>
          <cell r="M1082" t="str">
            <v>03-3814-8111</v>
          </cell>
          <cell r="N1082" t="str">
            <v>/3814-3951</v>
          </cell>
          <cell r="O1082" t="str">
            <v>ｹｰﾌﾞﾙ､電線</v>
          </cell>
          <cell r="Q1082" t="str">
            <v>◎</v>
          </cell>
          <cell r="R1082" t="str">
            <v>□</v>
          </cell>
          <cell r="S1082" t="str">
            <v>☆</v>
          </cell>
          <cell r="T1082" t="str">
            <v>ﾆｯｼｮｳｼｮｳｼﾞ</v>
          </cell>
          <cell r="V1082" t="str">
            <v>30</v>
          </cell>
        </row>
        <row r="1083">
          <cell r="B1083" t="str">
            <v>8636</v>
          </cell>
          <cell r="C1083" t="str">
            <v>#</v>
          </cell>
          <cell r="D1083" t="str">
            <v>沖電気工業(株)</v>
          </cell>
          <cell r="F1083" t="str">
            <v>取締役社長</v>
          </cell>
          <cell r="G1083" t="str">
            <v>澤村  紫光</v>
          </cell>
          <cell r="H1083">
            <v>67849</v>
          </cell>
          <cell r="I1083">
            <v>12207</v>
          </cell>
          <cell r="J1083" t="str">
            <v>105</v>
          </cell>
          <cell r="K1083" t="str">
            <v>港区虎ノ門1-7-12</v>
          </cell>
          <cell r="L1083" t="str">
            <v>新虎ﾉ門ビル</v>
          </cell>
          <cell r="M1083" t="str">
            <v>03-3501-3111</v>
          </cell>
          <cell r="N1083" t="str">
            <v>/</v>
          </cell>
          <cell r="O1083" t="str">
            <v>電子事務機</v>
          </cell>
          <cell r="Q1083" t="str">
            <v xml:space="preserve"> </v>
          </cell>
          <cell r="T1083" t="str">
            <v>ｵｷﾃﾞﾝｷｺｳｷﾞｮｳ</v>
          </cell>
          <cell r="V1083" t="str">
            <v>30</v>
          </cell>
        </row>
        <row r="1084">
          <cell r="B1084" t="str">
            <v>8636</v>
          </cell>
          <cell r="C1084" t="str">
            <v>A</v>
          </cell>
          <cell r="D1084" t="str">
            <v>沖電気工業(株)</v>
          </cell>
          <cell r="E1084" t="str">
            <v>神奈川支店</v>
          </cell>
          <cell r="F1084" t="str">
            <v>支店長</v>
          </cell>
          <cell r="G1084" t="str">
            <v>大日方  進</v>
          </cell>
          <cell r="J1084" t="str">
            <v>221</v>
          </cell>
          <cell r="K1084" t="str">
            <v>神奈川区鶴屋町2-26-4</v>
          </cell>
          <cell r="L1084" t="str">
            <v>第三安田ビル</v>
          </cell>
          <cell r="M1084" t="str">
            <v>045-323-4421</v>
          </cell>
          <cell r="N1084" t="str">
            <v>/323-4424</v>
          </cell>
          <cell r="O1084" t="str">
            <v>電子事務機</v>
          </cell>
          <cell r="T1084" t="str">
            <v>ｵｷﾃﾞﾝｷｺｳｷﾞｮｳ</v>
          </cell>
          <cell r="V1084" t="str">
            <v>30</v>
          </cell>
        </row>
        <row r="1085">
          <cell r="B1085" t="str">
            <v>8641</v>
          </cell>
          <cell r="C1085" t="str">
            <v>#</v>
          </cell>
          <cell r="D1085" t="str">
            <v>富士通(株)</v>
          </cell>
          <cell r="F1085" t="str">
            <v>代表取締役社長</v>
          </cell>
          <cell r="G1085" t="str">
            <v>関澤  義</v>
          </cell>
          <cell r="H1085">
            <v>65130</v>
          </cell>
          <cell r="I1085">
            <v>39915</v>
          </cell>
          <cell r="J1085" t="str">
            <v>100</v>
          </cell>
          <cell r="K1085" t="str">
            <v>千代田区丸の内1-6-1</v>
          </cell>
          <cell r="L1085" t="str">
            <v>丸の内センタービル</v>
          </cell>
          <cell r="M1085" t="str">
            <v>03-3216-9252</v>
          </cell>
          <cell r="N1085" t="str">
            <v>/3216-8194</v>
          </cell>
          <cell r="O1085" t="str">
            <v>電子計算機</v>
          </cell>
          <cell r="Q1085" t="str">
            <v xml:space="preserve"> </v>
          </cell>
          <cell r="R1085" t="str">
            <v>□</v>
          </cell>
          <cell r="T1085" t="str">
            <v>ﾌｼﾞﾂｳ</v>
          </cell>
          <cell r="V1085" t="str">
            <v>30</v>
          </cell>
        </row>
        <row r="1086">
          <cell r="B1086" t="str">
            <v>8643</v>
          </cell>
          <cell r="C1086" t="str">
            <v>#</v>
          </cell>
          <cell r="D1086" t="str">
            <v>(株)関電工</v>
          </cell>
          <cell r="F1086" t="str">
            <v>取締役社長</v>
          </cell>
          <cell r="G1086" t="str">
            <v>星野  聰史</v>
          </cell>
          <cell r="H1086">
            <v>9331</v>
          </cell>
          <cell r="I1086">
            <v>10510</v>
          </cell>
          <cell r="J1086" t="str">
            <v>108</v>
          </cell>
          <cell r="K1086" t="str">
            <v>港区芝浦4-8-33</v>
          </cell>
          <cell r="L1086" t="str">
            <v xml:space="preserve"> </v>
          </cell>
          <cell r="M1086" t="str">
            <v>03-5476-3508</v>
          </cell>
          <cell r="N1086" t="str">
            <v>/5476-3579</v>
          </cell>
          <cell r="O1086" t="str">
            <v>電気工事</v>
          </cell>
          <cell r="Q1086" t="str">
            <v xml:space="preserve"> </v>
          </cell>
          <cell r="T1086" t="str">
            <v>ｶﾝﾃﾞﾝｺｳ</v>
          </cell>
          <cell r="V1086" t="str">
            <v>30</v>
          </cell>
        </row>
        <row r="1087">
          <cell r="B1087" t="str">
            <v>8649</v>
          </cell>
          <cell r="C1087" t="str">
            <v>#</v>
          </cell>
          <cell r="D1087" t="str">
            <v>(株)神内電機製作所</v>
          </cell>
          <cell r="F1087" t="str">
            <v>取締役社長</v>
          </cell>
          <cell r="G1087" t="str">
            <v>神内　権治</v>
          </cell>
          <cell r="H1087">
            <v>260</v>
          </cell>
          <cell r="I1087">
            <v>200</v>
          </cell>
          <cell r="J1087" t="str">
            <v>532</v>
          </cell>
          <cell r="K1087" t="str">
            <v>大阪市淀川区田川2-5-31</v>
          </cell>
          <cell r="L1087" t="str">
            <v xml:space="preserve"> </v>
          </cell>
          <cell r="M1087" t="str">
            <v xml:space="preserve">06-301-6751 </v>
          </cell>
          <cell r="N1087" t="str">
            <v>/</v>
          </cell>
          <cell r="O1087" t="str">
            <v>電気ホイスト</v>
          </cell>
          <cell r="Q1087" t="str">
            <v xml:space="preserve"> </v>
          </cell>
          <cell r="R1087" t="str">
            <v>□</v>
          </cell>
          <cell r="T1087" t="str">
            <v>ｶﾐｳﾁﾃﾞﾝｷｾｲｻｸｼｮ</v>
          </cell>
          <cell r="V1087" t="str">
            <v>30</v>
          </cell>
        </row>
        <row r="1088">
          <cell r="B1088" t="str">
            <v>8649</v>
          </cell>
          <cell r="C1088" t="str">
            <v>A</v>
          </cell>
          <cell r="D1088" t="str">
            <v>(株)神内電機製作所</v>
          </cell>
          <cell r="E1088" t="str">
            <v>東京支店</v>
          </cell>
          <cell r="J1088" t="str">
            <v>106</v>
          </cell>
          <cell r="K1088" t="str">
            <v>港区麻布台2-3-8</v>
          </cell>
          <cell r="L1088" t="str">
            <v xml:space="preserve"> </v>
          </cell>
          <cell r="M1088" t="str">
            <v>03-3585-0255</v>
          </cell>
          <cell r="N1088" t="str">
            <v>/</v>
          </cell>
          <cell r="O1088" t="str">
            <v>ホイストクレーン</v>
          </cell>
          <cell r="Q1088" t="str">
            <v xml:space="preserve"> </v>
          </cell>
          <cell r="T1088" t="str">
            <v>ｶﾐｳﾁﾃﾞﾝｷｾｲｻｸｼｮ</v>
          </cell>
          <cell r="V1088" t="str">
            <v>30</v>
          </cell>
        </row>
        <row r="1089">
          <cell r="B1089" t="str">
            <v>8651</v>
          </cell>
          <cell r="C1089" t="str">
            <v>#</v>
          </cell>
          <cell r="D1089" t="str">
            <v xml:space="preserve">(株)立花商会 </v>
          </cell>
          <cell r="F1089" t="str">
            <v>専務取締役</v>
          </cell>
          <cell r="G1089" t="str">
            <v>藤田  明</v>
          </cell>
          <cell r="H1089">
            <v>120</v>
          </cell>
          <cell r="I1089">
            <v>450</v>
          </cell>
          <cell r="J1089" t="str">
            <v>105</v>
          </cell>
          <cell r="K1089" t="str">
            <v>港区芝公園2-4-1</v>
          </cell>
          <cell r="L1089" t="str">
            <v>秀和芝ﾊﾟｰｸﾋﾞﾙA館5F</v>
          </cell>
          <cell r="M1089" t="str">
            <v>03-5400-2505</v>
          </cell>
          <cell r="N1089" t="str">
            <v>/3459-1639</v>
          </cell>
          <cell r="O1089" t="str">
            <v>電機部品モーター</v>
          </cell>
          <cell r="Q1089" t="str">
            <v xml:space="preserve"> </v>
          </cell>
          <cell r="R1089" t="str">
            <v>□</v>
          </cell>
          <cell r="T1089" t="str">
            <v>ﾀﾁﾊﾞﾅｼｮｳｶｲ</v>
          </cell>
          <cell r="V1089" t="str">
            <v>30</v>
          </cell>
        </row>
        <row r="1090">
          <cell r="B1090" t="str">
            <v>8653</v>
          </cell>
          <cell r="C1090" t="str">
            <v>#</v>
          </cell>
          <cell r="D1090" t="str">
            <v>大栄電子(株)</v>
          </cell>
          <cell r="F1090" t="str">
            <v>代表取締役</v>
          </cell>
          <cell r="G1090" t="str">
            <v>小野　悦滋</v>
          </cell>
          <cell r="H1090">
            <v>10</v>
          </cell>
          <cell r="I1090">
            <v>13</v>
          </cell>
          <cell r="J1090" t="str">
            <v>221</v>
          </cell>
          <cell r="K1090" t="str">
            <v>横浜市神奈川区西神奈川町</v>
          </cell>
          <cell r="L1090" t="str">
            <v>1-13-15</v>
          </cell>
          <cell r="M1090" t="str">
            <v>045-321-8461</v>
          </cell>
          <cell r="N1090" t="str">
            <v>/321-8472</v>
          </cell>
          <cell r="O1090" t="str">
            <v>電話交換設備機器 インターホン装置</v>
          </cell>
          <cell r="Q1090" t="str">
            <v xml:space="preserve"> </v>
          </cell>
          <cell r="R1090" t="str">
            <v>□</v>
          </cell>
          <cell r="T1090" t="str">
            <v>ﾀﾞｲｴｲﾃﾞﾝｼ</v>
          </cell>
          <cell r="V1090" t="str">
            <v>30</v>
          </cell>
        </row>
        <row r="1091">
          <cell r="B1091" t="str">
            <v>8654</v>
          </cell>
          <cell r="C1091" t="str">
            <v>#</v>
          </cell>
          <cell r="D1091" t="str">
            <v>岩崎通信機(株)</v>
          </cell>
          <cell r="F1091" t="str">
            <v>代表取締役社長</v>
          </cell>
          <cell r="G1091" t="str">
            <v>寺西  昇</v>
          </cell>
          <cell r="H1091">
            <v>6025</v>
          </cell>
          <cell r="I1091">
            <v>1630</v>
          </cell>
          <cell r="J1091" t="str">
            <v>168</v>
          </cell>
          <cell r="K1091" t="str">
            <v>杉並区久我山1-7-41</v>
          </cell>
          <cell r="L1091" t="str">
            <v xml:space="preserve"> </v>
          </cell>
          <cell r="M1091" t="str">
            <v>03-5370-5479</v>
          </cell>
          <cell r="N1091" t="str">
            <v>/5370-5496</v>
          </cell>
          <cell r="O1091" t="str">
            <v>通信機器</v>
          </cell>
          <cell r="Q1091" t="str">
            <v xml:space="preserve"> </v>
          </cell>
          <cell r="T1091" t="str">
            <v>ｲﾜｻｷﾂｳｼﾝｷ</v>
          </cell>
          <cell r="V1091" t="str">
            <v>30</v>
          </cell>
        </row>
        <row r="1092">
          <cell r="B1092" t="str">
            <v>8656</v>
          </cell>
          <cell r="C1092" t="str">
            <v>#</v>
          </cell>
          <cell r="D1092" t="str">
            <v>日本ユニシス(株)</v>
          </cell>
          <cell r="F1092" t="str">
            <v>代表取締役</v>
          </cell>
          <cell r="G1092" t="str">
            <v>石栗  一民</v>
          </cell>
          <cell r="H1092">
            <v>3685</v>
          </cell>
          <cell r="I1092">
            <v>7375</v>
          </cell>
          <cell r="J1092" t="str">
            <v>135</v>
          </cell>
          <cell r="K1092" t="str">
            <v>江東区豊洲1-1-1</v>
          </cell>
          <cell r="L1092" t="str">
            <v xml:space="preserve"> </v>
          </cell>
          <cell r="M1092" t="str">
            <v>03-5546-5183</v>
          </cell>
          <cell r="N1092" t="str">
            <v>/5546-7813</v>
          </cell>
          <cell r="O1092" t="str">
            <v>電子計算機</v>
          </cell>
          <cell r="Q1092" t="str">
            <v xml:space="preserve"> </v>
          </cell>
          <cell r="T1092" t="str">
            <v>ﾆﾎﾝﾕﾆｼｽ</v>
          </cell>
          <cell r="V1092" t="str">
            <v>30</v>
          </cell>
        </row>
        <row r="1093">
          <cell r="B1093" t="str">
            <v>8657</v>
          </cell>
          <cell r="C1093" t="str">
            <v>#</v>
          </cell>
          <cell r="D1093" t="str">
            <v>北日本通信建設(株)</v>
          </cell>
          <cell r="F1093" t="str">
            <v>取締役社長</v>
          </cell>
          <cell r="G1093" t="str">
            <v>山崎　要</v>
          </cell>
          <cell r="H1093">
            <v>735</v>
          </cell>
          <cell r="I1093">
            <v>762</v>
          </cell>
          <cell r="J1093" t="str">
            <v>063</v>
          </cell>
          <cell r="K1093" t="str">
            <v>札幌市西区二十四軒3条</v>
          </cell>
          <cell r="L1093" t="str">
            <v>7-2-19</v>
          </cell>
          <cell r="M1093" t="str">
            <v>011-621-1161</v>
          </cell>
          <cell r="N1093" t="str">
            <v>/</v>
          </cell>
          <cell r="O1093" t="str">
            <v>弱電設備工事</v>
          </cell>
          <cell r="Q1093" t="str">
            <v xml:space="preserve"> </v>
          </cell>
          <cell r="T1093" t="str">
            <v>ｷﾀﾆﾎﾝﾂｳｼﾝｹﾝｾﾂ</v>
          </cell>
          <cell r="V1093" t="str">
            <v>30</v>
          </cell>
        </row>
        <row r="1094">
          <cell r="B1094" t="str">
            <v>8658</v>
          </cell>
          <cell r="C1094" t="str">
            <v>#</v>
          </cell>
          <cell r="D1094" t="str">
            <v>(株)テクセル</v>
          </cell>
          <cell r="F1094" t="str">
            <v>取締役社長</v>
          </cell>
          <cell r="G1094" t="str">
            <v>佐崎　幸雄</v>
          </cell>
          <cell r="H1094">
            <v>244</v>
          </cell>
          <cell r="I1094">
            <v>676</v>
          </cell>
          <cell r="J1094" t="str">
            <v>063</v>
          </cell>
          <cell r="K1094" t="str">
            <v>札幌市西区発寒14条4-3-10</v>
          </cell>
          <cell r="L1094" t="str">
            <v xml:space="preserve"> </v>
          </cell>
          <cell r="M1094" t="str">
            <v>011-661-2271</v>
          </cell>
          <cell r="N1094" t="str">
            <v>/</v>
          </cell>
          <cell r="O1094" t="str">
            <v>電気通信工事</v>
          </cell>
          <cell r="Q1094" t="str">
            <v xml:space="preserve"> </v>
          </cell>
          <cell r="T1094" t="str">
            <v>ﾃｸｾﾙ</v>
          </cell>
          <cell r="V1094" t="str">
            <v>30</v>
          </cell>
        </row>
        <row r="1095">
          <cell r="B1095" t="str">
            <v>8659</v>
          </cell>
          <cell r="C1095" t="str">
            <v>#</v>
          </cell>
          <cell r="D1095" t="str">
            <v>(株)山口電気機械工務所</v>
          </cell>
          <cell r="F1095" t="str">
            <v>代表取締役</v>
          </cell>
          <cell r="G1095" t="str">
            <v>山口　勉</v>
          </cell>
          <cell r="H1095">
            <v>20</v>
          </cell>
          <cell r="I1095">
            <v>84</v>
          </cell>
          <cell r="J1095" t="str">
            <v>003</v>
          </cell>
          <cell r="K1095" t="str">
            <v>札幌市白石区米里2420-61</v>
          </cell>
          <cell r="L1095" t="str">
            <v xml:space="preserve"> </v>
          </cell>
          <cell r="M1095" t="str">
            <v>011-875-1771</v>
          </cell>
          <cell r="N1095" t="str">
            <v>/</v>
          </cell>
          <cell r="O1095" t="str">
            <v>電気計装工事</v>
          </cell>
          <cell r="Q1095" t="str">
            <v xml:space="preserve"> </v>
          </cell>
          <cell r="T1095" t="str">
            <v>ﾔﾏｸﾞﾁﾃﾞﾝｷｷｶｲｺｳﾑｼｮ</v>
          </cell>
          <cell r="V1095" t="str">
            <v>30</v>
          </cell>
        </row>
        <row r="1096">
          <cell r="B1096" t="str">
            <v>8659</v>
          </cell>
          <cell r="C1096" t="str">
            <v>A</v>
          </cell>
          <cell r="D1096" t="str">
            <v>(株)山口電気機械工務所</v>
          </cell>
          <cell r="E1096" t="str">
            <v>苫小牧支店</v>
          </cell>
          <cell r="F1096" t="str">
            <v>取締役支店長</v>
          </cell>
          <cell r="G1096" t="str">
            <v>鯛治　行雄</v>
          </cell>
          <cell r="J1096" t="str">
            <v>053</v>
          </cell>
          <cell r="K1096" t="str">
            <v>苫小牧市一本松町8-2</v>
          </cell>
          <cell r="L1096" t="str">
            <v xml:space="preserve"> </v>
          </cell>
          <cell r="M1096" t="str">
            <v>0144-55-3860</v>
          </cell>
          <cell r="N1096" t="str">
            <v>/</v>
          </cell>
          <cell r="O1096" t="str">
            <v>電気計装工事</v>
          </cell>
          <cell r="Q1096" t="str">
            <v xml:space="preserve"> </v>
          </cell>
          <cell r="T1096" t="str">
            <v>ﾔﾏｸﾞﾁﾃﾞﾝｷｷｶｲｺｳﾑｼｮ</v>
          </cell>
          <cell r="V1096" t="str">
            <v>30</v>
          </cell>
        </row>
        <row r="1097">
          <cell r="B1097" t="str">
            <v>8660</v>
          </cell>
          <cell r="C1097" t="str">
            <v>#</v>
          </cell>
          <cell r="D1097" t="str">
            <v>日本電設工業(株)</v>
          </cell>
          <cell r="F1097" t="str">
            <v>取締役社長</v>
          </cell>
          <cell r="G1097" t="str">
            <v>湯川　龍二</v>
          </cell>
          <cell r="H1097">
            <v>2349</v>
          </cell>
          <cell r="I1097">
            <v>3550</v>
          </cell>
          <cell r="J1097" t="str">
            <v>110</v>
          </cell>
          <cell r="K1097" t="str">
            <v>台東区上野2-12-20</v>
          </cell>
          <cell r="L1097" t="str">
            <v xml:space="preserve"> </v>
          </cell>
          <cell r="M1097" t="str">
            <v>03-3833-2311</v>
          </cell>
          <cell r="N1097" t="str">
            <v>/</v>
          </cell>
          <cell r="O1097" t="str">
            <v>電気工事</v>
          </cell>
          <cell r="Q1097" t="str">
            <v xml:space="preserve"> </v>
          </cell>
          <cell r="T1097" t="str">
            <v>ﾆﾎﾝﾃﾞﾝｾﾂｺｳｷﾞｮｳ</v>
          </cell>
          <cell r="V1097" t="str">
            <v>30</v>
          </cell>
        </row>
        <row r="1098">
          <cell r="B1098" t="str">
            <v>8661</v>
          </cell>
          <cell r="C1098" t="str">
            <v>#</v>
          </cell>
          <cell r="D1098" t="str">
            <v>(株)北海道日立ﾋﾞｼﾞﾈｽ機器</v>
          </cell>
          <cell r="F1098" t="str">
            <v>代表取締役</v>
          </cell>
          <cell r="G1098" t="str">
            <v>古椎　貞夫</v>
          </cell>
          <cell r="H1098">
            <v>30</v>
          </cell>
          <cell r="I1098">
            <v>150</v>
          </cell>
          <cell r="J1098" t="str">
            <v>060</v>
          </cell>
          <cell r="K1098" t="str">
            <v>札幌市東区北6条東4-8</v>
          </cell>
          <cell r="L1098" t="str">
            <v xml:space="preserve"> </v>
          </cell>
          <cell r="M1098" t="str">
            <v>011-753-2631</v>
          </cell>
          <cell r="N1098" t="str">
            <v>/</v>
          </cell>
          <cell r="O1098" t="str">
            <v>FAX･OA機器</v>
          </cell>
          <cell r="Q1098" t="str">
            <v xml:space="preserve"> </v>
          </cell>
          <cell r="T1098" t="str">
            <v>ﾎｯｶｲﾄﾞｳﾋﾀﾁﾋﾞｼﾞﾈｽｷｷ</v>
          </cell>
          <cell r="V1098" t="str">
            <v>30</v>
          </cell>
        </row>
        <row r="1099">
          <cell r="B1099" t="str">
            <v>8662</v>
          </cell>
          <cell r="C1099" t="str">
            <v>#</v>
          </cell>
          <cell r="D1099" t="str">
            <v>北都電機(株)</v>
          </cell>
          <cell r="F1099" t="str">
            <v>代表取締役</v>
          </cell>
          <cell r="G1099" t="str">
            <v>本多　通宏</v>
          </cell>
          <cell r="H1099">
            <v>125</v>
          </cell>
          <cell r="I1099">
            <v>470</v>
          </cell>
          <cell r="J1099" t="str">
            <v>063</v>
          </cell>
          <cell r="K1099" t="str">
            <v>札幌市西区琴似三条1-1-23</v>
          </cell>
          <cell r="L1099" t="str">
            <v xml:space="preserve"> </v>
          </cell>
          <cell r="M1099" t="str">
            <v>011-641-4131</v>
          </cell>
          <cell r="N1099" t="str">
            <v>/</v>
          </cell>
          <cell r="O1099" t="str">
            <v>配電制御盤製作</v>
          </cell>
          <cell r="Q1099" t="str">
            <v xml:space="preserve"> </v>
          </cell>
          <cell r="T1099" t="str">
            <v>ﾎｸﾄﾃﾞﾝｷ</v>
          </cell>
          <cell r="V1099" t="str">
            <v>30</v>
          </cell>
        </row>
        <row r="1100">
          <cell r="B1100" t="str">
            <v>8664</v>
          </cell>
          <cell r="C1100" t="str">
            <v>#</v>
          </cell>
          <cell r="D1100" t="str">
            <v>(株)いすゞテクノ</v>
          </cell>
          <cell r="F1100" t="str">
            <v>代表取締役社長</v>
          </cell>
          <cell r="G1100" t="str">
            <v>杉本  將榮</v>
          </cell>
          <cell r="H1100">
            <v>50</v>
          </cell>
          <cell r="I1100">
            <v>47</v>
          </cell>
          <cell r="J1100" t="str">
            <v>252</v>
          </cell>
          <cell r="K1100" t="str">
            <v>藤沢市土棚8番地</v>
          </cell>
          <cell r="L1100" t="str">
            <v xml:space="preserve"> </v>
          </cell>
          <cell r="M1100" t="str">
            <v>0466-45-2730</v>
          </cell>
          <cell r="N1100" t="str">
            <v>/45-2725</v>
          </cell>
          <cell r="O1100" t="str">
            <v>電気工事</v>
          </cell>
          <cell r="Q1100" t="str">
            <v xml:space="preserve"> </v>
          </cell>
          <cell r="R1100" t="str">
            <v>□</v>
          </cell>
          <cell r="T1100" t="str">
            <v>ｲｽｽﾞﾃｸﾉ</v>
          </cell>
          <cell r="V1100" t="str">
            <v>30</v>
          </cell>
        </row>
        <row r="1101">
          <cell r="B1101" t="str">
            <v>8665</v>
          </cell>
          <cell r="C1101" t="str">
            <v>#</v>
          </cell>
          <cell r="D1101" t="str">
            <v>(株)カネショー</v>
          </cell>
          <cell r="F1101" t="str">
            <v>代表取締役</v>
          </cell>
          <cell r="G1101" t="str">
            <v>猪股　忠男</v>
          </cell>
          <cell r="H1101">
            <v>50</v>
          </cell>
          <cell r="I1101">
            <v>39</v>
          </cell>
          <cell r="J1101" t="str">
            <v>220</v>
          </cell>
          <cell r="K1101" t="str">
            <v>横浜市西区戸部本町50-29</v>
          </cell>
          <cell r="L1101" t="str">
            <v xml:space="preserve"> </v>
          </cell>
          <cell r="M1101" t="str">
            <v>045-321-3371</v>
          </cell>
          <cell r="N1101" t="str">
            <v>/</v>
          </cell>
          <cell r="O1101" t="str">
            <v>熔接機械</v>
          </cell>
          <cell r="Q1101" t="str">
            <v xml:space="preserve"> </v>
          </cell>
          <cell r="R1101" t="str">
            <v>□</v>
          </cell>
          <cell r="T1101" t="str">
            <v>ｶﾈｼｮｳ</v>
          </cell>
          <cell r="V1101" t="str">
            <v>30</v>
          </cell>
        </row>
        <row r="1102">
          <cell r="B1102" t="str">
            <v>8666</v>
          </cell>
          <cell r="C1102" t="str">
            <v>#</v>
          </cell>
          <cell r="D1102" t="str">
            <v>鋼管機械工業(株)</v>
          </cell>
          <cell r="F1102" t="str">
            <v>代表取締役社長</v>
          </cell>
          <cell r="G1102" t="str">
            <v>緒方　公明</v>
          </cell>
          <cell r="H1102">
            <v>99</v>
          </cell>
          <cell r="I1102">
            <v>350</v>
          </cell>
          <cell r="J1102" t="str">
            <v>210</v>
          </cell>
          <cell r="K1102" t="str">
            <v>川崎市川崎区池上新町3-4-3</v>
          </cell>
          <cell r="L1102" t="str">
            <v xml:space="preserve"> </v>
          </cell>
          <cell r="M1102" t="str">
            <v>044-299-5408</v>
          </cell>
          <cell r="N1102" t="str">
            <v>/287-9100</v>
          </cell>
          <cell r="O1102" t="str">
            <v>機械補修工事</v>
          </cell>
          <cell r="Q1102" t="str">
            <v xml:space="preserve"> </v>
          </cell>
          <cell r="R1102" t="str">
            <v>□</v>
          </cell>
          <cell r="T1102" t="str">
            <v>ｺｳｶﾝｷｶｲｺｳｷﾞｮｳ</v>
          </cell>
          <cell r="V1102" t="str">
            <v>30</v>
          </cell>
        </row>
        <row r="1103">
          <cell r="B1103" t="str">
            <v>8667</v>
          </cell>
          <cell r="C1103" t="str">
            <v>#</v>
          </cell>
          <cell r="D1103" t="str">
            <v>鋼管電設工業(株)</v>
          </cell>
          <cell r="F1103" t="str">
            <v>代表取締役社長</v>
          </cell>
          <cell r="G1103" t="str">
            <v>飯島　穂積</v>
          </cell>
          <cell r="J1103" t="str">
            <v>230</v>
          </cell>
          <cell r="K1103" t="str">
            <v>横浜市鶴見区小野町1</v>
          </cell>
          <cell r="L1103" t="str">
            <v xml:space="preserve"> </v>
          </cell>
          <cell r="M1103" t="str">
            <v>045-501-4300</v>
          </cell>
          <cell r="N1103" t="str">
            <v>/</v>
          </cell>
          <cell r="O1103" t="str">
            <v>電気工事</v>
          </cell>
          <cell r="Q1103" t="str">
            <v xml:space="preserve"> </v>
          </cell>
          <cell r="T1103" t="str">
            <v>ｺｳｶﾝﾃﾞﾝｾﾂｺｳｷﾞｮｳ</v>
          </cell>
          <cell r="V1103" t="str">
            <v>30</v>
          </cell>
        </row>
        <row r="1104">
          <cell r="B1104" t="str">
            <v>8668</v>
          </cell>
          <cell r="C1104" t="str">
            <v>#</v>
          </cell>
          <cell r="D1104" t="str">
            <v>明電ｴﾝｼﾞﾆｱﾘﾝｸﾞ(株)</v>
          </cell>
          <cell r="F1104" t="str">
            <v>取締役社長</v>
          </cell>
          <cell r="G1104" t="str">
            <v>倉員  昌一郎</v>
          </cell>
          <cell r="H1104">
            <v>2360</v>
          </cell>
          <cell r="I1104">
            <v>890</v>
          </cell>
          <cell r="J1104" t="str">
            <v>141</v>
          </cell>
          <cell r="K1104" t="str">
            <v>品川区大崎3-7-9</v>
          </cell>
          <cell r="L1104" t="str">
            <v xml:space="preserve"> </v>
          </cell>
          <cell r="M1104" t="str">
            <v>03-3490-7201</v>
          </cell>
          <cell r="N1104" t="str">
            <v>/</v>
          </cell>
          <cell r="O1104" t="str">
            <v>ﾀﾞｲﾅﾓ</v>
          </cell>
          <cell r="Q1104" t="str">
            <v xml:space="preserve"> </v>
          </cell>
          <cell r="R1104" t="str">
            <v>□</v>
          </cell>
          <cell r="T1104" t="str">
            <v>ﾒｲﾃﾞﾝｴﾝｼﾞﾆｱﾘﾝｸﾞ</v>
          </cell>
          <cell r="V1104" t="str">
            <v>30</v>
          </cell>
        </row>
        <row r="1105">
          <cell r="B1105" t="str">
            <v>8669</v>
          </cell>
          <cell r="C1105" t="str">
            <v>#</v>
          </cell>
          <cell r="D1105" t="str">
            <v>真保炉材工業(株)</v>
          </cell>
          <cell r="F1105" t="str">
            <v>取締役社長</v>
          </cell>
          <cell r="G1105" t="str">
            <v>真保　宏郎</v>
          </cell>
          <cell r="H1105">
            <v>30</v>
          </cell>
          <cell r="I1105">
            <v>50</v>
          </cell>
          <cell r="J1105" t="str">
            <v>210</v>
          </cell>
          <cell r="K1105" t="str">
            <v>川崎市川崎区桜本2-31-9</v>
          </cell>
          <cell r="L1105" t="str">
            <v xml:space="preserve"> </v>
          </cell>
          <cell r="M1105" t="str">
            <v>044-276-4501</v>
          </cell>
          <cell r="N1105" t="str">
            <v>/287-0147</v>
          </cell>
          <cell r="O1105" t="str">
            <v>築炉工事</v>
          </cell>
          <cell r="Q1105" t="str">
            <v xml:space="preserve"> </v>
          </cell>
          <cell r="R1105" t="str">
            <v>□</v>
          </cell>
          <cell r="T1105" t="str">
            <v>ｼﾝﾎﾟﾛｻﾞｲｺｳｷﾞｮｳ</v>
          </cell>
          <cell r="V1105" t="str">
            <v>30</v>
          </cell>
        </row>
        <row r="1106">
          <cell r="B1106" t="str">
            <v>8670</v>
          </cell>
          <cell r="C1106" t="str">
            <v>#</v>
          </cell>
          <cell r="D1106" t="str">
            <v>タクマ汎用機械(株)</v>
          </cell>
          <cell r="F1106" t="str">
            <v>取締役東京支社長</v>
          </cell>
          <cell r="G1106" t="str">
            <v>阿出川  昌司</v>
          </cell>
          <cell r="H1106">
            <v>80</v>
          </cell>
          <cell r="J1106" t="str">
            <v>169</v>
          </cell>
          <cell r="K1106" t="str">
            <v>新宿区高田馬場1-28-10</v>
          </cell>
          <cell r="L1106" t="str">
            <v>三慶ビル</v>
          </cell>
          <cell r="M1106" t="str">
            <v>03-3209-8281</v>
          </cell>
          <cell r="N1106" t="str">
            <v>/3207-3117</v>
          </cell>
          <cell r="O1106" t="str">
            <v>ﾎﾞｲﾗ､空調設備</v>
          </cell>
          <cell r="Q1106" t="str">
            <v xml:space="preserve"> </v>
          </cell>
          <cell r="T1106" t="str">
            <v>ﾀｸﾏﾊﾝﾖｳｷｶｲ</v>
          </cell>
          <cell r="V1106" t="str">
            <v>30</v>
          </cell>
        </row>
        <row r="1107">
          <cell r="B1107" t="str">
            <v>8671</v>
          </cell>
          <cell r="C1107" t="str">
            <v>#</v>
          </cell>
          <cell r="D1107" t="str">
            <v>関口電設(株)</v>
          </cell>
          <cell r="F1107" t="str">
            <v>代表取締役</v>
          </cell>
          <cell r="G1107" t="str">
            <v>関口  二郎</v>
          </cell>
          <cell r="H1107">
            <v>100</v>
          </cell>
          <cell r="I1107">
            <v>120</v>
          </cell>
          <cell r="J1107" t="str">
            <v>210</v>
          </cell>
          <cell r="K1107" t="str">
            <v>川崎市川崎区駅前本町23-6</v>
          </cell>
          <cell r="L1107" t="str">
            <v xml:space="preserve"> </v>
          </cell>
          <cell r="M1107" t="str">
            <v>044-233-8362</v>
          </cell>
          <cell r="N1107" t="str">
            <v>/244-3843</v>
          </cell>
          <cell r="O1107" t="str">
            <v>電気工事･電気設備</v>
          </cell>
          <cell r="Q1107" t="str">
            <v xml:space="preserve"> </v>
          </cell>
          <cell r="R1107" t="str">
            <v>□</v>
          </cell>
          <cell r="S1107" t="str">
            <v>☆</v>
          </cell>
          <cell r="T1107" t="str">
            <v>ｾｷｸﾞﾁﾃﾞﾝｾﾂ</v>
          </cell>
          <cell r="V1107" t="str">
            <v>30</v>
          </cell>
        </row>
        <row r="1108">
          <cell r="B1108" t="str">
            <v>8672</v>
          </cell>
          <cell r="C1108" t="str">
            <v>#</v>
          </cell>
          <cell r="D1108" t="str">
            <v>(株)横山工業所</v>
          </cell>
          <cell r="F1108" t="str">
            <v>代表取締役</v>
          </cell>
          <cell r="G1108" t="str">
            <v>横山  清</v>
          </cell>
          <cell r="H1108">
            <v>10</v>
          </cell>
          <cell r="I1108">
            <v>13</v>
          </cell>
          <cell r="J1108" t="str">
            <v>244</v>
          </cell>
          <cell r="K1108" t="str">
            <v>横浜市戸塚区上倉田町981</v>
          </cell>
          <cell r="L1108" t="str">
            <v xml:space="preserve"> </v>
          </cell>
          <cell r="M1108" t="str">
            <v>045-881-1981</v>
          </cell>
          <cell r="N1108" t="str">
            <v>/881-1983</v>
          </cell>
          <cell r="O1108" t="str">
            <v>配管工事･ﾎﾞｲﾗｰ設置</v>
          </cell>
          <cell r="Q1108" t="str">
            <v xml:space="preserve"> </v>
          </cell>
          <cell r="T1108" t="str">
            <v>ﾖｺﾔﾏｺｳｷﾞｮｳｼｮ</v>
          </cell>
          <cell r="V1108" t="str">
            <v>30</v>
          </cell>
        </row>
        <row r="1109">
          <cell r="B1109" t="str">
            <v>8673</v>
          </cell>
          <cell r="C1109" t="str">
            <v>#</v>
          </cell>
          <cell r="D1109" t="str">
            <v>(有)共栄産業</v>
          </cell>
          <cell r="F1109" t="str">
            <v>取締役社長</v>
          </cell>
          <cell r="G1109" t="str">
            <v>間宮  義雄</v>
          </cell>
          <cell r="H1109">
            <v>3</v>
          </cell>
          <cell r="I1109">
            <v>6</v>
          </cell>
          <cell r="J1109" t="str">
            <v>144</v>
          </cell>
          <cell r="K1109" t="str">
            <v>大田区新蒲田1-14-18</v>
          </cell>
          <cell r="L1109" t="str">
            <v>サンピア新蒲田101号</v>
          </cell>
          <cell r="M1109" t="str">
            <v>03-3732-6231</v>
          </cell>
          <cell r="N1109" t="str">
            <v>/3732-6335</v>
          </cell>
          <cell r="O1109" t="str">
            <v>消防設備･消化器</v>
          </cell>
          <cell r="Q1109" t="str">
            <v xml:space="preserve"> </v>
          </cell>
          <cell r="T1109" t="str">
            <v>ｷｮｳｴｲｻﾝｷﾞｮｳ</v>
          </cell>
          <cell r="V1109" t="str">
            <v>30</v>
          </cell>
        </row>
        <row r="1110">
          <cell r="B1110" t="str">
            <v>8674</v>
          </cell>
          <cell r="C1110" t="str">
            <v>#</v>
          </cell>
          <cell r="D1110" t="str">
            <v>京浜日立情報機器(株)</v>
          </cell>
          <cell r="F1110" t="str">
            <v>代表取締役</v>
          </cell>
          <cell r="G1110" t="str">
            <v>木内  佳幸</v>
          </cell>
          <cell r="H1110">
            <v>32</v>
          </cell>
          <cell r="I1110">
            <v>73</v>
          </cell>
          <cell r="J1110" t="str">
            <v>221</v>
          </cell>
          <cell r="K1110" t="str">
            <v>横浜市神奈川区立町23</v>
          </cell>
          <cell r="L1110" t="str">
            <v xml:space="preserve"> </v>
          </cell>
          <cell r="M1110" t="str">
            <v>045-312-9000</v>
          </cell>
          <cell r="N1110" t="str">
            <v>/312-9211</v>
          </cell>
          <cell r="O1110" t="str">
            <v>電話配線設備</v>
          </cell>
          <cell r="Q1110" t="str">
            <v xml:space="preserve"> </v>
          </cell>
          <cell r="T1110" t="str">
            <v>ｹｲﾋﾝﾋﾀﾁｼﾞｮｳﾎｳｷｷ</v>
          </cell>
          <cell r="V1110" t="str">
            <v>30</v>
          </cell>
        </row>
        <row r="1111">
          <cell r="B1111" t="str">
            <v>8675</v>
          </cell>
          <cell r="C1111" t="str">
            <v>#</v>
          </cell>
          <cell r="D1111" t="str">
            <v>野口電設(株)</v>
          </cell>
          <cell r="F1111" t="str">
            <v>代表取締役</v>
          </cell>
          <cell r="G1111" t="str">
            <v>野口  栄三郎</v>
          </cell>
          <cell r="H1111">
            <v>30</v>
          </cell>
          <cell r="I1111">
            <v>22</v>
          </cell>
          <cell r="J1111" t="str">
            <v>242</v>
          </cell>
          <cell r="K1111" t="str">
            <v>大和市深見台1-11-31</v>
          </cell>
          <cell r="L1111" t="str">
            <v xml:space="preserve"> </v>
          </cell>
          <cell r="M1111" t="str">
            <v>0462-61-0896</v>
          </cell>
          <cell r="N1111" t="str">
            <v>/64-3161</v>
          </cell>
          <cell r="O1111" t="str">
            <v>電気工事･設備</v>
          </cell>
          <cell r="Q1111" t="str">
            <v xml:space="preserve"> </v>
          </cell>
          <cell r="T1111" t="str">
            <v>ﾉｸﾞﾁﾃﾞﾝｾﾂ</v>
          </cell>
          <cell r="V1111" t="str">
            <v>30</v>
          </cell>
        </row>
        <row r="1112">
          <cell r="B1112" t="str">
            <v>8676</v>
          </cell>
          <cell r="C1112" t="str">
            <v>#</v>
          </cell>
          <cell r="D1112" t="str">
            <v>椿本興業(株)</v>
          </cell>
          <cell r="F1112" t="str">
            <v>代表取締役社長</v>
          </cell>
          <cell r="G1112" t="str">
            <v>椿本  照夫</v>
          </cell>
          <cell r="H1112">
            <v>2945</v>
          </cell>
          <cell r="I1112">
            <v>444</v>
          </cell>
          <cell r="J1112" t="str">
            <v>530</v>
          </cell>
          <cell r="K1112" t="str">
            <v>大阪市北区小松原町2-4</v>
          </cell>
          <cell r="L1112" t="str">
            <v xml:space="preserve"> </v>
          </cell>
          <cell r="M1112" t="str">
            <v>03-5442-9363</v>
          </cell>
          <cell r="N1112" t="str">
            <v>/5442-9403</v>
          </cell>
          <cell r="O1112" t="str">
            <v>輸送装置</v>
          </cell>
          <cell r="Q1112" t="str">
            <v xml:space="preserve"> </v>
          </cell>
          <cell r="S1112" t="str">
            <v>☆</v>
          </cell>
          <cell r="T1112" t="str">
            <v>ﾂﾊﾞｷﾓﾄｺｳｷﾞｮｳ</v>
          </cell>
          <cell r="V1112" t="str">
            <v>30</v>
          </cell>
        </row>
        <row r="1113">
          <cell r="B1113" t="str">
            <v>8677</v>
          </cell>
          <cell r="C1113" t="str">
            <v>#</v>
          </cell>
          <cell r="D1113" t="str">
            <v>ｱｲ･ｼｰ･ｴﾝｼﾞﾆｱﾘﾝｸﾞ(株)</v>
          </cell>
          <cell r="F1113" t="str">
            <v>代表取締役専務</v>
          </cell>
          <cell r="G1113" t="str">
            <v>筒井  宏昌</v>
          </cell>
          <cell r="H1113">
            <v>300</v>
          </cell>
          <cell r="I1113">
            <v>66</v>
          </cell>
          <cell r="J1113" t="str">
            <v>210</v>
          </cell>
          <cell r="K1113" t="str">
            <v>川崎市川崎区藤崎3-5-1</v>
          </cell>
          <cell r="L1113" t="str">
            <v>ﾄｰｸﾋﾟｱ川崎1階</v>
          </cell>
          <cell r="M1113" t="str">
            <v>044-287-7015</v>
          </cell>
          <cell r="N1113" t="str">
            <v>/</v>
          </cell>
          <cell r="O1113" t="str">
            <v xml:space="preserve">自動車生産設備の企画 </v>
          </cell>
          <cell r="Q1113" t="str">
            <v xml:space="preserve"> </v>
          </cell>
          <cell r="T1113" t="str">
            <v>ｱｲｼｰｴﾝｼﾞﾆｱﾘﾝｸﾞ</v>
          </cell>
          <cell r="V1113" t="str">
            <v>30</v>
          </cell>
        </row>
        <row r="1114">
          <cell r="B1114" t="str">
            <v>8700</v>
          </cell>
          <cell r="C1114" t="str">
            <v>#</v>
          </cell>
          <cell r="D1114" t="str">
            <v>(株)堀野工務店</v>
          </cell>
          <cell r="F1114" t="str">
            <v>取締役社長</v>
          </cell>
          <cell r="G1114" t="str">
            <v>堀野  弘文</v>
          </cell>
          <cell r="H1114" t="str">
            <v>10</v>
          </cell>
          <cell r="I1114" t="str">
            <v>14</v>
          </cell>
          <cell r="J1114" t="str">
            <v>230</v>
          </cell>
          <cell r="K1114" t="str">
            <v>横浜市鶴見区市場下町8-7</v>
          </cell>
          <cell r="L1114" t="str">
            <v xml:space="preserve"> </v>
          </cell>
          <cell r="M1114" t="str">
            <v>045-511-5134</v>
          </cell>
          <cell r="N1114" t="str">
            <v>/511-3986</v>
          </cell>
          <cell r="O1114" t="str">
            <v>営繕工事</v>
          </cell>
          <cell r="Q1114" t="str">
            <v xml:space="preserve"> </v>
          </cell>
          <cell r="T1114" t="str">
            <v>ﾎﾘﾉｺｳﾑﾃﾝ</v>
          </cell>
          <cell r="V1114" t="str">
            <v>30</v>
          </cell>
        </row>
        <row r="1115">
          <cell r="B1115" t="str">
            <v>8701</v>
          </cell>
          <cell r="C1115" t="str">
            <v>#</v>
          </cell>
          <cell r="D1115" t="str">
            <v>(株)小泉工務店</v>
          </cell>
          <cell r="F1115" t="str">
            <v>代表取締役</v>
          </cell>
          <cell r="G1115" t="str">
            <v>小泉　啓太郎</v>
          </cell>
          <cell r="H1115">
            <v>12</v>
          </cell>
          <cell r="I1115">
            <v>11</v>
          </cell>
          <cell r="J1115" t="str">
            <v>230</v>
          </cell>
          <cell r="K1115" t="str">
            <v>横浜市鶴見区岸谷1-23-2</v>
          </cell>
          <cell r="L1115" t="str">
            <v xml:space="preserve"> </v>
          </cell>
          <cell r="M1115" t="str">
            <v>045-581-5885</v>
          </cell>
          <cell r="N1115" t="str">
            <v>/581-8546</v>
          </cell>
          <cell r="O1115" t="str">
            <v>土木工事 建築営繕工事</v>
          </cell>
          <cell r="Q1115" t="str">
            <v>◎</v>
          </cell>
          <cell r="R1115" t="str">
            <v>□</v>
          </cell>
          <cell r="S1115" t="str">
            <v>☆</v>
          </cell>
          <cell r="T1115" t="str">
            <v>ｺｲｽﾞﾐｺｳﾑﾃﾝ</v>
          </cell>
          <cell r="V1115" t="str">
            <v>30</v>
          </cell>
        </row>
        <row r="1116">
          <cell r="B1116" t="str">
            <v>8703</v>
          </cell>
          <cell r="C1116" t="str">
            <v>#</v>
          </cell>
          <cell r="D1116" t="str">
            <v>(株)佐野工務所</v>
          </cell>
          <cell r="F1116" t="str">
            <v>代表取締役</v>
          </cell>
          <cell r="G1116" t="str">
            <v>佐野　雅子</v>
          </cell>
          <cell r="H1116">
            <v>2</v>
          </cell>
          <cell r="I1116">
            <v>9</v>
          </cell>
          <cell r="J1116" t="str">
            <v>221</v>
          </cell>
          <cell r="K1116" t="str">
            <v>横浜市神奈川区斎藤分町64</v>
          </cell>
          <cell r="L1116" t="str">
            <v xml:space="preserve"> </v>
          </cell>
          <cell r="M1116" t="str">
            <v>045-491-8878</v>
          </cell>
          <cell r="N1116" t="str">
            <v>/491-8879</v>
          </cell>
          <cell r="O1116" t="str">
            <v>木製品</v>
          </cell>
          <cell r="P1116" t="str">
            <v>▽</v>
          </cell>
          <cell r="Q1116" t="str">
            <v xml:space="preserve"> </v>
          </cell>
          <cell r="R1116" t="str">
            <v>□</v>
          </cell>
          <cell r="T1116" t="str">
            <v>ｻﾉｺｳﾑｼｮ</v>
          </cell>
          <cell r="V1116" t="str">
            <v>30</v>
          </cell>
        </row>
        <row r="1117">
          <cell r="B1117" t="str">
            <v>8704</v>
          </cell>
          <cell r="C1117" t="str">
            <v>#</v>
          </cell>
          <cell r="D1117" t="str">
            <v>羽田興業(株)</v>
          </cell>
          <cell r="F1117" t="str">
            <v>代表取締役</v>
          </cell>
          <cell r="G1117" t="str">
            <v>村石　庄作</v>
          </cell>
          <cell r="H1117">
            <v>10</v>
          </cell>
          <cell r="I1117">
            <v>38</v>
          </cell>
          <cell r="J1117" t="str">
            <v>210</v>
          </cell>
          <cell r="K1117" t="str">
            <v>川崎市川崎区殿町2-3-6</v>
          </cell>
          <cell r="L1117" t="str">
            <v xml:space="preserve"> </v>
          </cell>
          <cell r="M1117" t="str">
            <v>044-277-2821</v>
          </cell>
          <cell r="N1117" t="str">
            <v>/244-9597</v>
          </cell>
          <cell r="O1117" t="str">
            <v>機械据付工事</v>
          </cell>
          <cell r="Q1117" t="str">
            <v>◎</v>
          </cell>
          <cell r="R1117" t="str">
            <v>□</v>
          </cell>
          <cell r="S1117" t="str">
            <v>☆</v>
          </cell>
          <cell r="T1117" t="str">
            <v>ﾊﾈﾀﾞｺｳｷﾞｮｳ</v>
          </cell>
          <cell r="V1117" t="str">
            <v>30</v>
          </cell>
        </row>
        <row r="1118">
          <cell r="B1118" t="str">
            <v>8705</v>
          </cell>
          <cell r="C1118" t="str">
            <v>#</v>
          </cell>
          <cell r="D1118" t="str">
            <v>(株)ムラヤマ</v>
          </cell>
          <cell r="F1118" t="str">
            <v>代表取締役</v>
          </cell>
          <cell r="G1118" t="str">
            <v>駒込　昭</v>
          </cell>
          <cell r="H1118">
            <v>20</v>
          </cell>
          <cell r="I1118">
            <v>39</v>
          </cell>
          <cell r="J1118" t="str">
            <v>221</v>
          </cell>
          <cell r="K1118" t="str">
            <v>横浜市神奈川区羽沢町525</v>
          </cell>
          <cell r="L1118" t="str">
            <v xml:space="preserve"> </v>
          </cell>
          <cell r="M1118" t="str">
            <v>045-383-2933</v>
          </cell>
          <cell r="N1118" t="str">
            <v>/383-2817</v>
          </cell>
          <cell r="O1118" t="str">
            <v>機械運搬据付</v>
          </cell>
          <cell r="Q1118" t="str">
            <v>◎</v>
          </cell>
          <cell r="R1118" t="str">
            <v>□</v>
          </cell>
          <cell r="S1118" t="str">
            <v>☆</v>
          </cell>
          <cell r="T1118" t="str">
            <v>ﾑﾗﾔﾏ</v>
          </cell>
          <cell r="V1118" t="str">
            <v>30</v>
          </cell>
        </row>
        <row r="1119">
          <cell r="B1119" t="str">
            <v>8710</v>
          </cell>
          <cell r="C1119" t="str">
            <v>#</v>
          </cell>
          <cell r="D1119" t="str">
            <v>協和建興(株)</v>
          </cell>
          <cell r="F1119" t="str">
            <v>代表取締役社長</v>
          </cell>
          <cell r="G1119" t="str">
            <v>北原  勝美</v>
          </cell>
          <cell r="H1119">
            <v>400</v>
          </cell>
          <cell r="I1119">
            <v>804</v>
          </cell>
          <cell r="J1119" t="str">
            <v>150</v>
          </cell>
          <cell r="K1119" t="str">
            <v>渋谷区神南1-8-10</v>
          </cell>
          <cell r="L1119" t="str">
            <v xml:space="preserve"> </v>
          </cell>
          <cell r="M1119" t="str">
            <v>03-3464-0121</v>
          </cell>
          <cell r="N1119" t="str">
            <v>/3464-0137</v>
          </cell>
          <cell r="O1119" t="str">
            <v>配管工事</v>
          </cell>
          <cell r="Q1119" t="str">
            <v>◎</v>
          </cell>
          <cell r="R1119" t="str">
            <v>□</v>
          </cell>
          <cell r="S1119" t="str">
            <v>☆</v>
          </cell>
          <cell r="T1119" t="str">
            <v>ｷｮｳﾜｹﾝｺｳ</v>
          </cell>
          <cell r="V1119" t="str">
            <v>30</v>
          </cell>
        </row>
        <row r="1120">
          <cell r="B1120" t="str">
            <v>8710</v>
          </cell>
          <cell r="C1120" t="str">
            <v>A</v>
          </cell>
          <cell r="D1120" t="str">
            <v>協和建興(株)</v>
          </cell>
          <cell r="E1120" t="str">
            <v>神奈川支店</v>
          </cell>
          <cell r="F1120" t="str">
            <v>支店長</v>
          </cell>
          <cell r="G1120" t="str">
            <v>関沢  公雄</v>
          </cell>
          <cell r="J1120" t="str">
            <v>210</v>
          </cell>
          <cell r="K1120" t="str">
            <v>川崎市川崎区榎町8-8</v>
          </cell>
          <cell r="L1120" t="str">
            <v xml:space="preserve"> </v>
          </cell>
          <cell r="M1120" t="str">
            <v>044-244-5751</v>
          </cell>
          <cell r="N1120" t="str">
            <v>/211-1720</v>
          </cell>
          <cell r="O1120" t="str">
            <v>空調衛生設備</v>
          </cell>
          <cell r="Q1120" t="str">
            <v xml:space="preserve"> </v>
          </cell>
          <cell r="T1120" t="str">
            <v>ｷｮｳﾜｹﾝｺｳ</v>
          </cell>
          <cell r="V1120" t="str">
            <v>30</v>
          </cell>
        </row>
        <row r="1121">
          <cell r="B1121" t="str">
            <v>8711</v>
          </cell>
          <cell r="C1121" t="str">
            <v>#</v>
          </cell>
          <cell r="D1121" t="str">
            <v>清水建設(株)</v>
          </cell>
          <cell r="F1121" t="str">
            <v>代表取締役社長</v>
          </cell>
          <cell r="G1121" t="str">
            <v>今村　治輔</v>
          </cell>
          <cell r="H1121">
            <v>74341</v>
          </cell>
          <cell r="I1121">
            <v>12000</v>
          </cell>
          <cell r="J1121" t="str">
            <v>105-07</v>
          </cell>
          <cell r="K1121" t="str">
            <v>港区芝浦1-2-3</v>
          </cell>
          <cell r="L1121" t="str">
            <v>シーバンスS館　</v>
          </cell>
          <cell r="M1121" t="str">
            <v>03-5441-1111</v>
          </cell>
          <cell r="N1121" t="str">
            <v>/</v>
          </cell>
          <cell r="O1121" t="str">
            <v>建築工事</v>
          </cell>
          <cell r="Q1121" t="str">
            <v xml:space="preserve"> </v>
          </cell>
          <cell r="T1121" t="str">
            <v>ｼﾐｽﾞｹﾝｾﾂ</v>
          </cell>
          <cell r="V1121" t="str">
            <v>30</v>
          </cell>
        </row>
        <row r="1122">
          <cell r="B1122" t="str">
            <v>8711</v>
          </cell>
          <cell r="C1122" t="str">
            <v>A</v>
          </cell>
          <cell r="D1122" t="str">
            <v>清水建設(株)</v>
          </cell>
          <cell r="E1122" t="str">
            <v>川崎営業所</v>
          </cell>
          <cell r="J1122" t="str">
            <v>210</v>
          </cell>
          <cell r="K1122" t="str">
            <v>川崎市川崎区砂子1-1-14</v>
          </cell>
          <cell r="L1122" t="str">
            <v>JTB川崎ビル</v>
          </cell>
          <cell r="M1122" t="str">
            <v>044-244-8550</v>
          </cell>
          <cell r="N1122" t="str">
            <v>/244-9597</v>
          </cell>
          <cell r="O1122" t="str">
            <v>建築工事</v>
          </cell>
          <cell r="T1122" t="str">
            <v>ｼﾐｽﾞｹﾝｾﾂ</v>
          </cell>
          <cell r="V1122" t="str">
            <v>30</v>
          </cell>
        </row>
        <row r="1123">
          <cell r="B1123" t="str">
            <v>8713</v>
          </cell>
          <cell r="C1123" t="str">
            <v>#</v>
          </cell>
          <cell r="D1123" t="str">
            <v>鹿島建設(株)</v>
          </cell>
          <cell r="F1123" t="str">
            <v>代表取締役社長</v>
          </cell>
          <cell r="G1123" t="str">
            <v>宮崎　明</v>
          </cell>
          <cell r="H1123">
            <v>38812</v>
          </cell>
          <cell r="I1123">
            <v>13008</v>
          </cell>
          <cell r="J1123" t="str">
            <v>107</v>
          </cell>
          <cell r="K1123" t="str">
            <v>港区元赤坂1-2-7</v>
          </cell>
          <cell r="L1123" t="str">
            <v xml:space="preserve"> </v>
          </cell>
          <cell r="M1123" t="str">
            <v>03-3404-3311</v>
          </cell>
          <cell r="N1123" t="str">
            <v>/3746-7201</v>
          </cell>
          <cell r="O1123" t="str">
            <v>建築工事</v>
          </cell>
          <cell r="Q1123" t="str">
            <v xml:space="preserve"> </v>
          </cell>
          <cell r="T1123" t="str">
            <v>ｶｼﾞﾏｹﾝｾﾂ</v>
          </cell>
          <cell r="V1123" t="str">
            <v>30</v>
          </cell>
        </row>
        <row r="1124">
          <cell r="B1124" t="str">
            <v>8713</v>
          </cell>
          <cell r="C1124" t="str">
            <v>A</v>
          </cell>
          <cell r="D1124" t="str">
            <v>鹿島建設(株)</v>
          </cell>
          <cell r="E1124" t="str">
            <v>横浜支店</v>
          </cell>
          <cell r="F1124" t="str">
            <v>支店長</v>
          </cell>
          <cell r="G1124" t="str">
            <v>永山　岸夫</v>
          </cell>
          <cell r="J1124" t="str">
            <v>231</v>
          </cell>
          <cell r="K1124" t="str">
            <v>横浜市中区太田町4-51</v>
          </cell>
          <cell r="L1124" t="str">
            <v xml:space="preserve"> </v>
          </cell>
          <cell r="M1124" t="str">
            <v>045-651-1751</v>
          </cell>
          <cell r="N1124" t="str">
            <v>/</v>
          </cell>
          <cell r="O1124" t="str">
            <v>建築工事</v>
          </cell>
          <cell r="Q1124" t="str">
            <v xml:space="preserve"> </v>
          </cell>
          <cell r="T1124" t="str">
            <v>ｶｼﾞﾏｹﾝｾﾂ</v>
          </cell>
          <cell r="V1124" t="str">
            <v>30</v>
          </cell>
        </row>
        <row r="1125">
          <cell r="B1125" t="str">
            <v>8725</v>
          </cell>
          <cell r="C1125" t="str">
            <v>#</v>
          </cell>
          <cell r="D1125" t="str">
            <v>東京瓦斯(株)</v>
          </cell>
          <cell r="F1125" t="str">
            <v>常務取締役本部長</v>
          </cell>
          <cell r="G1125" t="str">
            <v>窪谷　二彦</v>
          </cell>
          <cell r="H1125">
            <v>141811</v>
          </cell>
          <cell r="I1125">
            <v>12519</v>
          </cell>
          <cell r="J1125" t="str">
            <v>231</v>
          </cell>
          <cell r="K1125" t="str">
            <v>横浜市中区羽衣町1-2-1</v>
          </cell>
          <cell r="L1125" t="str">
            <v xml:space="preserve"> </v>
          </cell>
          <cell r="M1125" t="str">
            <v>045-251-1911</v>
          </cell>
          <cell r="N1125" t="str">
            <v>/</v>
          </cell>
          <cell r="O1125" t="str">
            <v>ｶﾞｽ工事一式</v>
          </cell>
          <cell r="Q1125" t="str">
            <v xml:space="preserve"> </v>
          </cell>
          <cell r="T1125" t="str">
            <v>ﾄｳｷｮｳｶﾞｽ</v>
          </cell>
          <cell r="V1125" t="str">
            <v>30</v>
          </cell>
        </row>
        <row r="1126">
          <cell r="B1126" t="str">
            <v>8725</v>
          </cell>
          <cell r="C1126" t="str">
            <v>##</v>
          </cell>
          <cell r="D1126" t="str">
            <v>東京瓦斯(株)</v>
          </cell>
          <cell r="E1126" t="str">
            <v>川崎支店</v>
          </cell>
          <cell r="J1126" t="str">
            <v>222</v>
          </cell>
          <cell r="K1126" t="str">
            <v>川崎市川崎区小川町6-1</v>
          </cell>
          <cell r="L1126" t="str">
            <v xml:space="preserve"> </v>
          </cell>
          <cell r="M1126" t="str">
            <v>044-245-2211</v>
          </cell>
          <cell r="N1126" t="str">
            <v>/</v>
          </cell>
          <cell r="Q1126" t="str">
            <v xml:space="preserve"> </v>
          </cell>
          <cell r="T1126" t="str">
            <v>ﾄｳｷｮｳｶﾞｽ</v>
          </cell>
          <cell r="V1126" t="str">
            <v>30</v>
          </cell>
        </row>
        <row r="1127">
          <cell r="B1127" t="str">
            <v>8735</v>
          </cell>
          <cell r="C1127" t="str">
            <v>#</v>
          </cell>
          <cell r="D1127" t="str">
            <v>大和ハウス工業(株)</v>
          </cell>
          <cell r="F1127" t="str">
            <v>代表取締役社長</v>
          </cell>
          <cell r="G1127" t="str">
            <v>上村  圭一</v>
          </cell>
          <cell r="H1127">
            <v>19924</v>
          </cell>
          <cell r="I1127">
            <v>5672</v>
          </cell>
          <cell r="J1127" t="str">
            <v>550</v>
          </cell>
          <cell r="K1127" t="str">
            <v>大阪市西区阿波座1-5-16</v>
          </cell>
          <cell r="L1127" t="str">
            <v xml:space="preserve"> </v>
          </cell>
          <cell r="M1127" t="str">
            <v xml:space="preserve">06-532-6351 </v>
          </cell>
          <cell r="N1127" t="str">
            <v>/</v>
          </cell>
          <cell r="O1127" t="str">
            <v>建築工事・仮設ハウス</v>
          </cell>
          <cell r="Q1127" t="str">
            <v xml:space="preserve"> </v>
          </cell>
          <cell r="T1127" t="str">
            <v>ﾀﾞｲﾜﾊｳｽｺｳｷﾞｮｳ</v>
          </cell>
          <cell r="V1127" t="str">
            <v>30</v>
          </cell>
        </row>
        <row r="1128">
          <cell r="B1128" t="str">
            <v>8735</v>
          </cell>
          <cell r="C1128" t="str">
            <v>A</v>
          </cell>
          <cell r="D1128" t="str">
            <v>大和ハウス工業(株)</v>
          </cell>
          <cell r="E1128" t="str">
            <v>東京支社</v>
          </cell>
          <cell r="F1128" t="str">
            <v>専務取締役</v>
          </cell>
          <cell r="G1128" t="str">
            <v>早矢仕  秀幸</v>
          </cell>
          <cell r="J1128" t="str">
            <v>103</v>
          </cell>
          <cell r="K1128" t="str">
            <v>中央区日本橋通1-3-13</v>
          </cell>
          <cell r="L1128" t="str">
            <v>大和ビル</v>
          </cell>
          <cell r="M1128" t="str">
            <v>03-3274-0311</v>
          </cell>
          <cell r="N1128" t="str">
            <v>/5690-7699</v>
          </cell>
          <cell r="O1128" t="str">
            <v>プレハブ住宅</v>
          </cell>
          <cell r="Q1128" t="str">
            <v xml:space="preserve"> </v>
          </cell>
          <cell r="T1128" t="str">
            <v>ﾀﾞｲﾜﾊｳｽｺｳｷﾞｮｳ</v>
          </cell>
          <cell r="V1128" t="str">
            <v>30</v>
          </cell>
        </row>
        <row r="1129">
          <cell r="B1129" t="str">
            <v>8735</v>
          </cell>
          <cell r="C1129" t="str">
            <v>B</v>
          </cell>
          <cell r="D1129" t="str">
            <v>大和ハウス工業(株)</v>
          </cell>
          <cell r="E1129" t="str">
            <v>横浜支店</v>
          </cell>
          <cell r="F1129" t="str">
            <v>支店長</v>
          </cell>
          <cell r="G1129" t="str">
            <v>片山　哲男</v>
          </cell>
          <cell r="J1129" t="str">
            <v>231</v>
          </cell>
          <cell r="K1129" t="str">
            <v>横浜市中区弁天通6-85</v>
          </cell>
          <cell r="L1129" t="str">
            <v>宇徳ビル</v>
          </cell>
          <cell r="M1129" t="str">
            <v>045-201-7233</v>
          </cell>
          <cell r="N1129" t="str">
            <v>/</v>
          </cell>
          <cell r="Q1129" t="str">
            <v xml:space="preserve"> </v>
          </cell>
          <cell r="T1129" t="str">
            <v>ﾀﾞｲﾜﾊｳｽｺｳｷﾞｮｳ</v>
          </cell>
          <cell r="V1129" t="str">
            <v>30</v>
          </cell>
        </row>
        <row r="1130">
          <cell r="B1130" t="str">
            <v>8737</v>
          </cell>
          <cell r="C1130" t="str">
            <v>#</v>
          </cell>
          <cell r="D1130" t="str">
            <v>大成建設(株)</v>
          </cell>
          <cell r="F1130" t="str">
            <v>代表取締役社長</v>
          </cell>
          <cell r="G1130" t="str">
            <v>山本  兵藏</v>
          </cell>
          <cell r="H1130">
            <v>38924</v>
          </cell>
          <cell r="I1130">
            <v>12325</v>
          </cell>
          <cell r="J1130" t="str">
            <v>160-91</v>
          </cell>
          <cell r="K1130" t="str">
            <v>新宿区西新宿1-25-1</v>
          </cell>
          <cell r="L1130" t="str">
            <v xml:space="preserve"> </v>
          </cell>
          <cell r="M1130" t="str">
            <v>03-3348-1111</v>
          </cell>
          <cell r="N1130" t="str">
            <v>/3348-8471</v>
          </cell>
          <cell r="O1130" t="str">
            <v>建築工事</v>
          </cell>
          <cell r="Q1130" t="str">
            <v xml:space="preserve"> </v>
          </cell>
          <cell r="T1130" t="str">
            <v>ﾀｲｾｲｹﾝｾﾂ</v>
          </cell>
          <cell r="V1130" t="str">
            <v>30</v>
          </cell>
        </row>
        <row r="1131">
          <cell r="C1131" t="str">
            <v>A</v>
          </cell>
          <cell r="D1131" t="str">
            <v>大成建設(株)</v>
          </cell>
          <cell r="E1131" t="str">
            <v>横浜支店</v>
          </cell>
          <cell r="F1131" t="str">
            <v>支店長</v>
          </cell>
          <cell r="G1131" t="str">
            <v>池の谷　一彦</v>
          </cell>
          <cell r="J1131" t="str">
            <v>231</v>
          </cell>
          <cell r="K1131" t="str">
            <v>横浜市中区長者町6-96-2</v>
          </cell>
          <cell r="L1131" t="str">
            <v>第2有楽ビル</v>
          </cell>
          <cell r="M1131" t="str">
            <v>045-252-1401</v>
          </cell>
          <cell r="N1131" t="str">
            <v>/</v>
          </cell>
          <cell r="O1131" t="str">
            <v>建築工事</v>
          </cell>
          <cell r="Q1131" t="str">
            <v xml:space="preserve"> </v>
          </cell>
          <cell r="T1131" t="str">
            <v>ﾀｲｾｲｹﾝｾﾂ</v>
          </cell>
          <cell r="V1131" t="str">
            <v>30</v>
          </cell>
        </row>
        <row r="1132">
          <cell r="B1132" t="str">
            <v>8739</v>
          </cell>
          <cell r="C1132" t="str">
            <v>#</v>
          </cell>
          <cell r="D1132" t="str">
            <v>フジタ工業(株)</v>
          </cell>
          <cell r="F1132" t="str">
            <v>取締役社長</v>
          </cell>
          <cell r="G1132" t="str">
            <v>藤田　一暁</v>
          </cell>
          <cell r="H1132">
            <v>15910</v>
          </cell>
          <cell r="I1132">
            <v>5359</v>
          </cell>
          <cell r="J1132" t="str">
            <v>151</v>
          </cell>
          <cell r="K1132" t="str">
            <v>渋谷区千駄ヶ谷4-6-15</v>
          </cell>
          <cell r="L1132" t="str">
            <v xml:space="preserve"> </v>
          </cell>
          <cell r="M1132" t="str">
            <v>03-3402-1911</v>
          </cell>
          <cell r="N1132" t="str">
            <v>/</v>
          </cell>
          <cell r="O1132" t="str">
            <v>建築工事</v>
          </cell>
          <cell r="Q1132" t="str">
            <v xml:space="preserve"> </v>
          </cell>
          <cell r="T1132" t="str">
            <v>ﾌｼﾞﾀｺｳｷﾞｮｳ</v>
          </cell>
          <cell r="V1132" t="str">
            <v>30</v>
          </cell>
        </row>
        <row r="1133">
          <cell r="B1133" t="str">
            <v>8739</v>
          </cell>
          <cell r="C1133" t="str">
            <v>A</v>
          </cell>
          <cell r="D1133" t="str">
            <v>フジタ工業(株)</v>
          </cell>
          <cell r="E1133" t="str">
            <v>横浜支店</v>
          </cell>
          <cell r="F1133" t="str">
            <v>支店長</v>
          </cell>
          <cell r="G1133" t="str">
            <v>福間　一美</v>
          </cell>
          <cell r="J1133" t="str">
            <v>231</v>
          </cell>
          <cell r="K1133" t="str">
            <v>横浜市中区不老町1-1-5</v>
          </cell>
          <cell r="L1133" t="str">
            <v xml:space="preserve"> </v>
          </cell>
          <cell r="M1133" t="str">
            <v>045-641-2161</v>
          </cell>
          <cell r="N1133" t="str">
            <v>/</v>
          </cell>
          <cell r="O1133" t="str">
            <v>建築工事</v>
          </cell>
          <cell r="Q1133" t="str">
            <v xml:space="preserve"> </v>
          </cell>
          <cell r="T1133" t="str">
            <v>ﾌｼﾞﾀｺｳｷﾞｮｳ</v>
          </cell>
          <cell r="V1133" t="str">
            <v>30</v>
          </cell>
        </row>
        <row r="1134">
          <cell r="B1134" t="str">
            <v>8742</v>
          </cell>
          <cell r="C1134" t="str">
            <v>#</v>
          </cell>
          <cell r="D1134" t="str">
            <v>(株)大林組</v>
          </cell>
          <cell r="F1134" t="str">
            <v>取締役社長</v>
          </cell>
          <cell r="G1134" t="str">
            <v>津室　隆夫</v>
          </cell>
          <cell r="H1134">
            <v>57734</v>
          </cell>
          <cell r="I1134">
            <v>12210</v>
          </cell>
          <cell r="J1134" t="str">
            <v>540</v>
          </cell>
          <cell r="K1134" t="str">
            <v>大阪市中央区北浜東4-33</v>
          </cell>
          <cell r="L1134" t="str">
            <v xml:space="preserve"> </v>
          </cell>
          <cell r="M1134" t="str">
            <v>06-946-4568</v>
          </cell>
          <cell r="N1134" t="str">
            <v>/</v>
          </cell>
          <cell r="O1134" t="str">
            <v>建築工事</v>
          </cell>
          <cell r="Q1134" t="str">
            <v xml:space="preserve"> </v>
          </cell>
          <cell r="T1134" t="str">
            <v>ｵｵﾊﾞﾔｼｸﾞﾐ</v>
          </cell>
          <cell r="V1134" t="str">
            <v>30</v>
          </cell>
        </row>
        <row r="1135">
          <cell r="B1135" t="str">
            <v>8742</v>
          </cell>
          <cell r="C1135" t="str">
            <v>A</v>
          </cell>
          <cell r="D1135" t="str">
            <v>(株)大林組</v>
          </cell>
          <cell r="E1135" t="str">
            <v>東京本社</v>
          </cell>
          <cell r="F1135" t="str">
            <v>取締役副社長</v>
          </cell>
          <cell r="G1135" t="str">
            <v>篠原　良男</v>
          </cell>
          <cell r="J1135" t="str">
            <v>101</v>
          </cell>
          <cell r="K1135" t="str">
            <v>千代田区神田司町2-3</v>
          </cell>
          <cell r="L1135" t="str">
            <v xml:space="preserve"> </v>
          </cell>
          <cell r="M1135" t="str">
            <v>03-3292-1111</v>
          </cell>
          <cell r="N1135" t="str">
            <v>/3219-9433</v>
          </cell>
          <cell r="O1135" t="str">
            <v>建築工事</v>
          </cell>
          <cell r="Q1135" t="str">
            <v xml:space="preserve"> </v>
          </cell>
          <cell r="T1135" t="str">
            <v>ｵｵﾊﾞﾔｼｸﾞﾐ</v>
          </cell>
          <cell r="V1135" t="str">
            <v>30</v>
          </cell>
        </row>
        <row r="1136">
          <cell r="B1136" t="str">
            <v>8742</v>
          </cell>
          <cell r="C1136" t="str">
            <v>B</v>
          </cell>
          <cell r="D1136" t="str">
            <v>(株)大林組</v>
          </cell>
          <cell r="E1136" t="str">
            <v>横浜支店</v>
          </cell>
          <cell r="F1136" t="str">
            <v>取締役支店長</v>
          </cell>
          <cell r="G1136" t="str">
            <v>中嶋　俊明</v>
          </cell>
          <cell r="J1136" t="str">
            <v>231</v>
          </cell>
          <cell r="K1136" t="str">
            <v>横浜市中区弁天通2-22</v>
          </cell>
          <cell r="L1136" t="str">
            <v>横浜大林ビル</v>
          </cell>
          <cell r="M1136" t="str">
            <v>045-201-4131</v>
          </cell>
          <cell r="N1136" t="str">
            <v>/212-2875</v>
          </cell>
          <cell r="O1136" t="str">
            <v>建築工事</v>
          </cell>
          <cell r="Q1136" t="str">
            <v xml:space="preserve"> </v>
          </cell>
          <cell r="T1136" t="str">
            <v>ｵｵﾊﾞﾔｼｸﾞﾐ</v>
          </cell>
          <cell r="V1136" t="str">
            <v>30</v>
          </cell>
        </row>
        <row r="1137">
          <cell r="B1137" t="str">
            <v>8744</v>
          </cell>
          <cell r="C1137" t="str">
            <v>#</v>
          </cell>
          <cell r="D1137" t="str">
            <v xml:space="preserve">戸田建設(株) </v>
          </cell>
          <cell r="F1137" t="str">
            <v>支店長</v>
          </cell>
          <cell r="G1137" t="str">
            <v>田嶋　道正</v>
          </cell>
          <cell r="H1137">
            <v>9572</v>
          </cell>
          <cell r="I1137">
            <v>5180</v>
          </cell>
          <cell r="J1137">
            <v>220</v>
          </cell>
          <cell r="K1137" t="str">
            <v>横浜市西区北幸1-11-15</v>
          </cell>
          <cell r="L1137" t="str">
            <v>横浜STビル15F</v>
          </cell>
          <cell r="M1137" t="str">
            <v>045-325-1122</v>
          </cell>
          <cell r="N1137" t="str">
            <v>/325-2252</v>
          </cell>
          <cell r="O1137" t="str">
            <v>建築工事</v>
          </cell>
          <cell r="Q1137" t="str">
            <v xml:space="preserve"> </v>
          </cell>
          <cell r="T1137" t="str">
            <v>ﾄﾀﾞｹﾝｾﾂ</v>
          </cell>
          <cell r="V1137" t="str">
            <v>30</v>
          </cell>
        </row>
        <row r="1138">
          <cell r="B1138" t="str">
            <v>8753</v>
          </cell>
          <cell r="C1138" t="str">
            <v>#</v>
          </cell>
          <cell r="D1138" t="str">
            <v>いすゞ不動産(株)</v>
          </cell>
          <cell r="F1138" t="str">
            <v>代表取締役社長</v>
          </cell>
          <cell r="G1138" t="str">
            <v>吉田  尚叶</v>
          </cell>
          <cell r="H1138">
            <v>2160</v>
          </cell>
          <cell r="I1138">
            <v>34</v>
          </cell>
          <cell r="J1138" t="str">
            <v>140</v>
          </cell>
          <cell r="K1138" t="str">
            <v>品川区南大井6-26-3</v>
          </cell>
          <cell r="L1138" t="str">
            <v>大森ﾍﾞﾙﾎﾟｰﾄD館4F</v>
          </cell>
          <cell r="M1138" t="str">
            <v>03-3761-7211</v>
          </cell>
          <cell r="N1138" t="str">
            <v>/3761-7397</v>
          </cell>
          <cell r="O1138" t="str">
            <v>不動産の賃貸 管理運営</v>
          </cell>
          <cell r="Q1138" t="str">
            <v xml:space="preserve"> </v>
          </cell>
          <cell r="T1138" t="str">
            <v>ｲｽｽﾞﾌﾄﾞｳｻﾝ</v>
          </cell>
          <cell r="V1138" t="str">
            <v>30</v>
          </cell>
        </row>
        <row r="1139">
          <cell r="B1139" t="str">
            <v>8756</v>
          </cell>
          <cell r="C1139" t="str">
            <v>#</v>
          </cell>
          <cell r="D1139" t="str">
            <v>(株)久米建築事務所</v>
          </cell>
          <cell r="F1139" t="str">
            <v>取締役社長</v>
          </cell>
          <cell r="G1139" t="str">
            <v>桜井　清</v>
          </cell>
          <cell r="H1139">
            <v>90</v>
          </cell>
          <cell r="I1139">
            <v>535</v>
          </cell>
          <cell r="J1139" t="str">
            <v>106</v>
          </cell>
          <cell r="K1139" t="str">
            <v>港区西麻布1-13-11</v>
          </cell>
          <cell r="L1139" t="str">
            <v xml:space="preserve"> </v>
          </cell>
          <cell r="M1139" t="str">
            <v>03-3403-0251</v>
          </cell>
          <cell r="N1139" t="str">
            <v>/</v>
          </cell>
          <cell r="O1139" t="str">
            <v>建築物設計</v>
          </cell>
          <cell r="Q1139" t="str">
            <v xml:space="preserve"> </v>
          </cell>
          <cell r="T1139" t="str">
            <v>ｸﾒｹﾝﾁｸｼﾞﾑｼｮ</v>
          </cell>
          <cell r="V1139" t="str">
            <v>30</v>
          </cell>
        </row>
        <row r="1140">
          <cell r="B1140" t="str">
            <v>8758</v>
          </cell>
          <cell r="C1140" t="str">
            <v>#</v>
          </cell>
          <cell r="D1140" t="str">
            <v>伊藤忠建機(株)</v>
          </cell>
          <cell r="F1140" t="str">
            <v>代表取締役社長</v>
          </cell>
          <cell r="G1140" t="str">
            <v>大西　昭二</v>
          </cell>
          <cell r="H1140">
            <v>100</v>
          </cell>
          <cell r="I1140">
            <v>134</v>
          </cell>
          <cell r="J1140" t="str">
            <v>103</v>
          </cell>
          <cell r="K1140" t="str">
            <v>中央区日本橋本町1-6-5</v>
          </cell>
          <cell r="L1140" t="str">
            <v xml:space="preserve"> </v>
          </cell>
          <cell r="M1140" t="str">
            <v>03-3242-5021</v>
          </cell>
          <cell r="N1140" t="str">
            <v>/3245-0710</v>
          </cell>
          <cell r="O1140" t="str">
            <v>荷物用エレベーター</v>
          </cell>
          <cell r="Q1140" t="str">
            <v xml:space="preserve"> </v>
          </cell>
          <cell r="R1140" t="str">
            <v>□</v>
          </cell>
          <cell r="T1140" t="str">
            <v>ｲﾄｳﾁｭｳｹﾝｷ</v>
          </cell>
          <cell r="V1140" t="str">
            <v>30</v>
          </cell>
        </row>
        <row r="1141">
          <cell r="B1141" t="str">
            <v>8759</v>
          </cell>
          <cell r="C1141" t="str">
            <v>#</v>
          </cell>
          <cell r="D1141" t="str">
            <v>飛島建設(株)</v>
          </cell>
          <cell r="F1141" t="str">
            <v>代表取締役社長</v>
          </cell>
          <cell r="G1141" t="str">
            <v>石原  昭一郎</v>
          </cell>
          <cell r="H1141">
            <v>8162</v>
          </cell>
          <cell r="I1141">
            <v>4156</v>
          </cell>
          <cell r="J1141" t="str">
            <v>102</v>
          </cell>
          <cell r="K1141" t="str">
            <v>千代田区三番町2</v>
          </cell>
          <cell r="L1141" t="str">
            <v xml:space="preserve"> </v>
          </cell>
          <cell r="M1141" t="str">
            <v>03-3263-3151</v>
          </cell>
          <cell r="N1141" t="str">
            <v>/3265-2780</v>
          </cell>
          <cell r="O1141" t="str">
            <v>土木建築工事</v>
          </cell>
          <cell r="Q1141" t="str">
            <v xml:space="preserve"> </v>
          </cell>
          <cell r="T1141" t="str">
            <v>ﾄﾋﾞｼﾏｹﾝｾﾂ</v>
          </cell>
          <cell r="V1141" t="str">
            <v>30</v>
          </cell>
        </row>
        <row r="1142">
          <cell r="B1142" t="str">
            <v>8761</v>
          </cell>
          <cell r="C1142" t="str">
            <v>#</v>
          </cell>
          <cell r="D1142" t="str">
            <v>楠原興運(株)</v>
          </cell>
          <cell r="F1142" t="str">
            <v>取締役社長</v>
          </cell>
          <cell r="G1142" t="str">
            <v>楠原　正雄</v>
          </cell>
          <cell r="H1142">
            <v>30</v>
          </cell>
          <cell r="I1142">
            <v>230</v>
          </cell>
          <cell r="J1142" t="str">
            <v>230</v>
          </cell>
          <cell r="K1142" t="str">
            <v>横浜市鶴見区浜町1-6-9</v>
          </cell>
          <cell r="L1142" t="str">
            <v xml:space="preserve"> </v>
          </cell>
          <cell r="M1142" t="str">
            <v>045-521-9281</v>
          </cell>
          <cell r="N1142" t="str">
            <v>/</v>
          </cell>
          <cell r="O1142" t="str">
            <v>機械組立て移設据付</v>
          </cell>
          <cell r="Q1142" t="str">
            <v xml:space="preserve"> </v>
          </cell>
          <cell r="T1142" t="str">
            <v>ｸｽﾊﾗｺｳｳﾝ</v>
          </cell>
          <cell r="V1142" t="str">
            <v>30</v>
          </cell>
        </row>
        <row r="1143">
          <cell r="B1143" t="str">
            <v>8762</v>
          </cell>
          <cell r="C1143" t="str">
            <v>#</v>
          </cell>
          <cell r="D1143" t="str">
            <v>鴻池運輸(株)</v>
          </cell>
          <cell r="F1143" t="str">
            <v>取締役社長</v>
          </cell>
          <cell r="G1143" t="str">
            <v>辻    卓史</v>
          </cell>
          <cell r="H1143">
            <v>1608</v>
          </cell>
          <cell r="I1143">
            <v>7213</v>
          </cell>
          <cell r="J1143" t="str">
            <v>541</v>
          </cell>
          <cell r="K1143" t="str">
            <v>大阪市東区北久宝寺町4-27-1</v>
          </cell>
          <cell r="L1143" t="str">
            <v xml:space="preserve"> </v>
          </cell>
          <cell r="M1143" t="str">
            <v xml:space="preserve">06-244-4511 </v>
          </cell>
          <cell r="N1143" t="str">
            <v>/</v>
          </cell>
          <cell r="O1143" t="str">
            <v>浄油装置</v>
          </cell>
          <cell r="Q1143" t="str">
            <v xml:space="preserve"> </v>
          </cell>
          <cell r="T1143" t="str">
            <v>ｺｳﾉｲｹｳﾝﾕ</v>
          </cell>
          <cell r="V1143" t="str">
            <v>30</v>
          </cell>
        </row>
        <row r="1144">
          <cell r="B1144" t="str">
            <v>8763</v>
          </cell>
          <cell r="C1144" t="str">
            <v>#</v>
          </cell>
          <cell r="D1144" t="str">
            <v>伊藤組土建(株)</v>
          </cell>
          <cell r="F1144" t="str">
            <v>取締役社長</v>
          </cell>
          <cell r="G1144" t="str">
            <v>伊藤　義郎</v>
          </cell>
          <cell r="H1144">
            <v>1000</v>
          </cell>
          <cell r="I1144">
            <v>666</v>
          </cell>
          <cell r="J1144" t="str">
            <v>060</v>
          </cell>
          <cell r="K1144" t="str">
            <v>札幌市中央区北四条西4-1</v>
          </cell>
          <cell r="L1144" t="str">
            <v xml:space="preserve"> </v>
          </cell>
          <cell r="M1144" t="str">
            <v>011-261-6111</v>
          </cell>
          <cell r="N1144" t="str">
            <v>/</v>
          </cell>
          <cell r="O1144" t="str">
            <v>土木建築工事</v>
          </cell>
          <cell r="Q1144" t="str">
            <v xml:space="preserve"> </v>
          </cell>
          <cell r="T1144" t="str">
            <v>ｲﾄｳｸﾞﾐﾄﾞｹﾝ</v>
          </cell>
          <cell r="V1144" t="str">
            <v>30</v>
          </cell>
        </row>
        <row r="1145">
          <cell r="B1145" t="str">
            <v>8764</v>
          </cell>
          <cell r="C1145" t="str">
            <v>#</v>
          </cell>
          <cell r="D1145" t="str">
            <v>菱中建設(株)</v>
          </cell>
          <cell r="F1145" t="str">
            <v>代表取締役</v>
          </cell>
          <cell r="G1145" t="str">
            <v>中村　光雄</v>
          </cell>
          <cell r="H1145">
            <v>80</v>
          </cell>
          <cell r="I1145">
            <v>190</v>
          </cell>
          <cell r="J1145" t="str">
            <v>053</v>
          </cell>
          <cell r="K1145" t="str">
            <v>苫小牧市錦町2-6-22</v>
          </cell>
          <cell r="L1145" t="str">
            <v xml:space="preserve"> </v>
          </cell>
          <cell r="M1145" t="str">
            <v>0144-32-2131</v>
          </cell>
          <cell r="N1145" t="str">
            <v>/</v>
          </cell>
          <cell r="O1145" t="str">
            <v>土木建築工事</v>
          </cell>
          <cell r="Q1145" t="str">
            <v xml:space="preserve"> </v>
          </cell>
          <cell r="T1145" t="str">
            <v>ﾋｼﾅｶｹﾝｾﾂ</v>
          </cell>
          <cell r="V1145" t="str">
            <v>30</v>
          </cell>
        </row>
        <row r="1146">
          <cell r="B1146" t="str">
            <v>8764</v>
          </cell>
          <cell r="C1146" t="str">
            <v>A</v>
          </cell>
          <cell r="D1146" t="str">
            <v>菱中建設(株)</v>
          </cell>
          <cell r="E1146" t="str">
            <v>東京営業所</v>
          </cell>
          <cell r="F1146" t="str">
            <v>所長</v>
          </cell>
          <cell r="G1146" t="str">
            <v>谷内　恒夫</v>
          </cell>
          <cell r="J1146" t="str">
            <v>104</v>
          </cell>
          <cell r="K1146" t="str">
            <v>中央区銀座7-13-8</v>
          </cell>
          <cell r="L1146" t="str">
            <v>第2丸高ビル</v>
          </cell>
          <cell r="M1146" t="str">
            <v>03-3541-3251</v>
          </cell>
          <cell r="N1146" t="str">
            <v>/</v>
          </cell>
          <cell r="O1146" t="str">
            <v>土木建築工事</v>
          </cell>
          <cell r="Q1146" t="str">
            <v xml:space="preserve"> </v>
          </cell>
          <cell r="T1146" t="str">
            <v>ﾋｼﾅｶｹﾝｾﾂ</v>
          </cell>
          <cell r="V1146" t="str">
            <v>30</v>
          </cell>
        </row>
        <row r="1147">
          <cell r="B1147" t="str">
            <v>8765</v>
          </cell>
          <cell r="C1147" t="str">
            <v>#</v>
          </cell>
          <cell r="D1147" t="str">
            <v>(株)熊谷組</v>
          </cell>
          <cell r="F1147" t="str">
            <v>取締役社長</v>
          </cell>
          <cell r="G1147" t="str">
            <v>熊谷　太一郎</v>
          </cell>
          <cell r="H1147">
            <v>82080</v>
          </cell>
          <cell r="I1147">
            <v>7671</v>
          </cell>
          <cell r="J1147" t="str">
            <v>162</v>
          </cell>
          <cell r="K1147" t="str">
            <v>新宿区津久戸町2-1</v>
          </cell>
          <cell r="L1147" t="str">
            <v xml:space="preserve"> </v>
          </cell>
          <cell r="M1147" t="str">
            <v>03-3260-2111</v>
          </cell>
          <cell r="N1147" t="str">
            <v>/</v>
          </cell>
          <cell r="O1147" t="str">
            <v>土木建築工事</v>
          </cell>
          <cell r="Q1147" t="str">
            <v xml:space="preserve"> </v>
          </cell>
          <cell r="T1147" t="str">
            <v>ｸﾏｶﾞｲｸﾞﾐ</v>
          </cell>
          <cell r="V1147" t="str">
            <v>30</v>
          </cell>
        </row>
        <row r="1148">
          <cell r="B1148" t="str">
            <v>8765</v>
          </cell>
          <cell r="C1148" t="str">
            <v>A</v>
          </cell>
          <cell r="D1148" t="str">
            <v>(株)熊谷組</v>
          </cell>
          <cell r="E1148" t="str">
            <v>横浜支店</v>
          </cell>
          <cell r="F1148" t="str">
            <v>常務取締役支店長</v>
          </cell>
          <cell r="G1148" t="str">
            <v>吉田  賢</v>
          </cell>
          <cell r="J1148" t="str">
            <v>221</v>
          </cell>
          <cell r="K1148" t="str">
            <v>横浜市神奈川区富家町1-1</v>
          </cell>
          <cell r="L1148" t="str">
            <v>トーカイプラザ5F</v>
          </cell>
          <cell r="M1148" t="str">
            <v>045-434-2211</v>
          </cell>
          <cell r="N1148" t="str">
            <v>/434-5512</v>
          </cell>
          <cell r="O1148" t="str">
            <v>給排水衛生工事</v>
          </cell>
          <cell r="Q1148" t="str">
            <v xml:space="preserve"> </v>
          </cell>
          <cell r="T1148" t="str">
            <v>ｸﾏｶﾞｲｸﾞﾐ</v>
          </cell>
          <cell r="V1148" t="str">
            <v>30</v>
          </cell>
        </row>
        <row r="1149">
          <cell r="B1149" t="str">
            <v>8770</v>
          </cell>
          <cell r="C1149" t="str">
            <v>#</v>
          </cell>
          <cell r="D1149" t="str">
            <v>日本国土開発(株)</v>
          </cell>
          <cell r="F1149" t="str">
            <v>取締役社長</v>
          </cell>
          <cell r="G1149" t="str">
            <v>石上　立夫</v>
          </cell>
          <cell r="H1149">
            <v>5268</v>
          </cell>
          <cell r="I1149">
            <v>2510</v>
          </cell>
          <cell r="J1149" t="str">
            <v>107</v>
          </cell>
          <cell r="K1149" t="str">
            <v>港区赤坂4-9-9</v>
          </cell>
          <cell r="L1149" t="str">
            <v xml:space="preserve"> </v>
          </cell>
          <cell r="M1149" t="str">
            <v>03-3403-3311</v>
          </cell>
          <cell r="N1149" t="str">
            <v>/</v>
          </cell>
          <cell r="O1149" t="str">
            <v>土木建築工事</v>
          </cell>
          <cell r="Q1149" t="str">
            <v xml:space="preserve"> </v>
          </cell>
          <cell r="T1149" t="str">
            <v>ﾆﾎﾝｺｸﾄﾞｶｲﾊﾂ</v>
          </cell>
          <cell r="V1149" t="str">
            <v>30</v>
          </cell>
        </row>
        <row r="1150">
          <cell r="B1150" t="str">
            <v>8770</v>
          </cell>
          <cell r="C1150" t="str">
            <v>A</v>
          </cell>
          <cell r="D1150" t="str">
            <v>日本国土開発(株)</v>
          </cell>
          <cell r="E1150" t="str">
            <v>東京支店</v>
          </cell>
          <cell r="F1150" t="str">
            <v>常務取締役</v>
          </cell>
          <cell r="G1150" t="str">
            <v>江坂　弘</v>
          </cell>
          <cell r="J1150" t="str">
            <v>107</v>
          </cell>
          <cell r="K1150" t="str">
            <v>港区赤坂4-9-17</v>
          </cell>
          <cell r="L1150" t="str">
            <v xml:space="preserve"> </v>
          </cell>
          <cell r="M1150" t="str">
            <v>03-3403-3151</v>
          </cell>
          <cell r="N1150" t="str">
            <v>/</v>
          </cell>
          <cell r="O1150" t="str">
            <v>土木建築工事</v>
          </cell>
          <cell r="Q1150" t="str">
            <v xml:space="preserve"> </v>
          </cell>
          <cell r="T1150" t="str">
            <v>ﾆﾎﾝｺｸﾄﾞｶｲﾊﾂ</v>
          </cell>
          <cell r="V1150" t="str">
            <v>30</v>
          </cell>
        </row>
        <row r="1151">
          <cell r="B1151" t="str">
            <v>8771</v>
          </cell>
          <cell r="C1151" t="str">
            <v>#</v>
          </cell>
          <cell r="D1151" t="str">
            <v>(株)地崎工業</v>
          </cell>
          <cell r="F1151" t="str">
            <v>代表取締役</v>
          </cell>
          <cell r="G1151" t="str">
            <v>地崎　昭宇</v>
          </cell>
          <cell r="H1151">
            <v>1477</v>
          </cell>
          <cell r="I1151">
            <v>1903</v>
          </cell>
          <cell r="J1151" t="str">
            <v>105</v>
          </cell>
          <cell r="K1151" t="str">
            <v>港区西新橋2-23-1</v>
          </cell>
          <cell r="L1151" t="str">
            <v xml:space="preserve"> </v>
          </cell>
          <cell r="M1151" t="str">
            <v>03-3436-3171</v>
          </cell>
          <cell r="N1151" t="str">
            <v>/</v>
          </cell>
          <cell r="O1151" t="str">
            <v>土木建築工事</v>
          </cell>
          <cell r="Q1151" t="str">
            <v xml:space="preserve"> </v>
          </cell>
          <cell r="T1151" t="str">
            <v>ﾁｻﾞｷｺｳｷﾞｮｳ</v>
          </cell>
          <cell r="V1151" t="str">
            <v>30</v>
          </cell>
        </row>
        <row r="1152">
          <cell r="B1152" t="str">
            <v>8771</v>
          </cell>
          <cell r="C1152" t="str">
            <v>A</v>
          </cell>
          <cell r="D1152" t="str">
            <v>(株)地崎工業</v>
          </cell>
          <cell r="E1152" t="str">
            <v>東京支店</v>
          </cell>
          <cell r="F1152" t="str">
            <v>常務取締役</v>
          </cell>
          <cell r="G1152" t="str">
            <v>岩松　秀則</v>
          </cell>
          <cell r="J1152" t="str">
            <v>105</v>
          </cell>
          <cell r="K1152" t="str">
            <v>港区西新橋2-23-1</v>
          </cell>
          <cell r="L1152" t="str">
            <v xml:space="preserve"> </v>
          </cell>
          <cell r="M1152" t="str">
            <v>03-3436-3175</v>
          </cell>
          <cell r="N1152" t="str">
            <v>/</v>
          </cell>
          <cell r="O1152" t="str">
            <v>土木建築工事</v>
          </cell>
          <cell r="Q1152" t="str">
            <v xml:space="preserve"> </v>
          </cell>
          <cell r="T1152" t="str">
            <v>ﾁｻﾞｷｺｳｷﾞｮｳ</v>
          </cell>
          <cell r="V1152" t="str">
            <v>30</v>
          </cell>
        </row>
        <row r="1153">
          <cell r="B1153" t="str">
            <v>8772</v>
          </cell>
          <cell r="C1153" t="str">
            <v>#</v>
          </cell>
          <cell r="D1153" t="str">
            <v>(株)松本鉄工所</v>
          </cell>
          <cell r="F1153" t="str">
            <v>代表取締役社長</v>
          </cell>
          <cell r="G1153" t="str">
            <v>山岸　一男</v>
          </cell>
          <cell r="H1153">
            <v>25</v>
          </cell>
          <cell r="I1153">
            <v>282</v>
          </cell>
          <cell r="J1153" t="str">
            <v>059-13</v>
          </cell>
          <cell r="K1153" t="str">
            <v>苫小牧市晴海町28-1</v>
          </cell>
          <cell r="L1153" t="str">
            <v xml:space="preserve"> </v>
          </cell>
          <cell r="M1153" t="str">
            <v>0144-55-1155</v>
          </cell>
          <cell r="N1153" t="str">
            <v>/</v>
          </cell>
          <cell r="O1153" t="str">
            <v>格納箱・ローラーユンベアー</v>
          </cell>
          <cell r="Q1153" t="str">
            <v xml:space="preserve"> </v>
          </cell>
          <cell r="T1153" t="str">
            <v>ﾏﾂﾓﾄﾃｯｺｳｼｮ</v>
          </cell>
          <cell r="V1153" t="str">
            <v>30</v>
          </cell>
        </row>
        <row r="1154">
          <cell r="B1154" t="str">
            <v>8773</v>
          </cell>
          <cell r="C1154" t="str">
            <v>#</v>
          </cell>
          <cell r="D1154" t="str">
            <v>(株)玉川組</v>
          </cell>
          <cell r="F1154" t="str">
            <v>代表取締役</v>
          </cell>
          <cell r="G1154" t="str">
            <v>玉川　進</v>
          </cell>
          <cell r="H1154">
            <v>82</v>
          </cell>
          <cell r="I1154">
            <v>214</v>
          </cell>
          <cell r="J1154" t="str">
            <v>061-14</v>
          </cell>
          <cell r="K1154" t="str">
            <v>恵庭市相生町231</v>
          </cell>
          <cell r="L1154" t="str">
            <v xml:space="preserve"> </v>
          </cell>
          <cell r="M1154" t="str">
            <v>01233-3-1133</v>
          </cell>
          <cell r="N1154" t="str">
            <v>/</v>
          </cell>
          <cell r="O1154" t="str">
            <v>土木工事</v>
          </cell>
          <cell r="Q1154" t="str">
            <v xml:space="preserve"> </v>
          </cell>
          <cell r="T1154" t="str">
            <v>ﾀﾏｶﾞﾜｸﾞﾐ</v>
          </cell>
          <cell r="V1154" t="str">
            <v>30</v>
          </cell>
        </row>
        <row r="1155">
          <cell r="B1155" t="str">
            <v>8775</v>
          </cell>
          <cell r="C1155" t="str">
            <v>#</v>
          </cell>
          <cell r="D1155" t="str">
            <v>日本ハウジング(株)</v>
          </cell>
          <cell r="F1155" t="str">
            <v>代表取締役</v>
          </cell>
          <cell r="G1155" t="str">
            <v>上野　孝</v>
          </cell>
          <cell r="H1155">
            <v>10</v>
          </cell>
          <cell r="I1155">
            <v>23</v>
          </cell>
          <cell r="J1155" t="str">
            <v>231</v>
          </cell>
          <cell r="K1155" t="str">
            <v>横浜市中区山下町46</v>
          </cell>
          <cell r="L1155" t="str">
            <v>上野ビル</v>
          </cell>
          <cell r="M1155" t="str">
            <v>045-671-7575</v>
          </cell>
          <cell r="N1155" t="str">
            <v>/</v>
          </cell>
          <cell r="O1155" t="str">
            <v>緑化工事 造園・土木工事</v>
          </cell>
          <cell r="Q1155" t="str">
            <v xml:space="preserve"> </v>
          </cell>
          <cell r="T1155" t="str">
            <v>ﾆﾎﾝﾊｳｼﾞﾝｸﾞ</v>
          </cell>
          <cell r="V1155" t="str">
            <v>30</v>
          </cell>
        </row>
        <row r="1156">
          <cell r="B1156" t="str">
            <v>8776</v>
          </cell>
          <cell r="C1156" t="str">
            <v>#</v>
          </cell>
          <cell r="D1156" t="str">
            <v>(株)川田建設</v>
          </cell>
          <cell r="F1156" t="str">
            <v>代表取締役社長</v>
          </cell>
          <cell r="G1156" t="str">
            <v>川田　憲秀</v>
          </cell>
          <cell r="H1156">
            <v>24</v>
          </cell>
          <cell r="I1156">
            <v>109</v>
          </cell>
          <cell r="J1156" t="str">
            <v>059-09</v>
          </cell>
          <cell r="K1156" t="str">
            <v>北海道白老郡白老町川沿</v>
          </cell>
          <cell r="L1156" t="str">
            <v>3-4-1</v>
          </cell>
          <cell r="M1156" t="str">
            <v>0144-82-5541</v>
          </cell>
          <cell r="N1156" t="str">
            <v>/</v>
          </cell>
          <cell r="O1156" t="str">
            <v>造園緑化工事 土木工事</v>
          </cell>
          <cell r="Q1156" t="str">
            <v xml:space="preserve"> </v>
          </cell>
          <cell r="T1156" t="str">
            <v>ｶﾜﾀﾞｹﾝｾﾂ</v>
          </cell>
          <cell r="V1156" t="str">
            <v>30</v>
          </cell>
        </row>
        <row r="1157">
          <cell r="B1157" t="str">
            <v>8777</v>
          </cell>
          <cell r="C1157" t="str">
            <v>#</v>
          </cell>
          <cell r="D1157" t="str">
            <v>王子緑化(株)</v>
          </cell>
          <cell r="F1157" t="str">
            <v>取締役社長</v>
          </cell>
          <cell r="G1157" t="str">
            <v>星長  克紀</v>
          </cell>
          <cell r="H1157">
            <v>241</v>
          </cell>
          <cell r="I1157">
            <v>794</v>
          </cell>
          <cell r="J1157" t="str">
            <v>100</v>
          </cell>
          <cell r="K1157" t="str">
            <v>千代田区丸の内1-8-2</v>
          </cell>
          <cell r="L1157" t="str">
            <v xml:space="preserve"> </v>
          </cell>
          <cell r="M1157" t="str">
            <v>03-3212-4671</v>
          </cell>
          <cell r="N1157" t="str">
            <v>/</v>
          </cell>
          <cell r="O1157" t="str">
            <v>緑化施設</v>
          </cell>
          <cell r="Q1157" t="str">
            <v xml:space="preserve"> </v>
          </cell>
          <cell r="T1157" t="str">
            <v>ｵｳｼﾞﾘｮｯｶ</v>
          </cell>
          <cell r="V1157" t="str">
            <v>30</v>
          </cell>
        </row>
        <row r="1158">
          <cell r="B1158" t="str">
            <v>8778</v>
          </cell>
          <cell r="C1158" t="str">
            <v>#</v>
          </cell>
          <cell r="D1158" t="str">
            <v>いすゞｴﾝｼﾞﾆｱﾘﾝｸﾞ(株)</v>
          </cell>
          <cell r="F1158" t="str">
            <v>代表取締役社長</v>
          </cell>
          <cell r="G1158" t="str">
            <v>杉原  逸夫</v>
          </cell>
          <cell r="H1158">
            <v>30</v>
          </cell>
          <cell r="I1158">
            <v>170</v>
          </cell>
          <cell r="J1158" t="str">
            <v>252</v>
          </cell>
          <cell r="K1158" t="str">
            <v>藤沢市土棚8</v>
          </cell>
          <cell r="L1158" t="str">
            <v xml:space="preserve"> </v>
          </cell>
          <cell r="M1158" t="str">
            <v>0466-44-4712</v>
          </cell>
          <cell r="N1158" t="str">
            <v>/45-7885</v>
          </cell>
          <cell r="O1158" t="str">
            <v>保全工事</v>
          </cell>
          <cell r="Q1158" t="str">
            <v xml:space="preserve"> </v>
          </cell>
          <cell r="T1158" t="str">
            <v>ｲｽｽﾞｴﾝｼﾞﾆｱﾘﾝｸﾞ</v>
          </cell>
          <cell r="V1158" t="str">
            <v>30</v>
          </cell>
        </row>
        <row r="1159">
          <cell r="B1159" t="str">
            <v>8779</v>
          </cell>
          <cell r="C1159" t="str">
            <v>#</v>
          </cell>
          <cell r="D1159" t="str">
            <v>いすゞビル管理(株)</v>
          </cell>
          <cell r="F1159" t="str">
            <v>代表取締役社長</v>
          </cell>
          <cell r="G1159" t="str">
            <v>八木  武</v>
          </cell>
          <cell r="H1159">
            <v>48</v>
          </cell>
          <cell r="I1159">
            <v>500</v>
          </cell>
          <cell r="J1159" t="str">
            <v>140</v>
          </cell>
          <cell r="K1159" t="str">
            <v>品川区南大井3-28-3</v>
          </cell>
          <cell r="L1159" t="str">
            <v xml:space="preserve"> </v>
          </cell>
          <cell r="M1159" t="str">
            <v>03-3766-2161</v>
          </cell>
          <cell r="N1159" t="str">
            <v>/3766-2460</v>
          </cell>
          <cell r="O1159" t="str">
            <v>清掃保全</v>
          </cell>
          <cell r="Q1159" t="str">
            <v xml:space="preserve"> </v>
          </cell>
          <cell r="R1159" t="str">
            <v>□</v>
          </cell>
          <cell r="T1159" t="str">
            <v>ｲｽｽﾞﾋﾞﾙｶﾝﾘ</v>
          </cell>
          <cell r="V1159" t="str">
            <v>30</v>
          </cell>
        </row>
        <row r="1160">
          <cell r="B1160" t="str">
            <v>8781</v>
          </cell>
          <cell r="C1160" t="str">
            <v>#</v>
          </cell>
          <cell r="D1160" t="str">
            <v>いすゞ部品東京販売(株)</v>
          </cell>
          <cell r="F1160" t="str">
            <v>代表取締役専務</v>
          </cell>
          <cell r="G1160" t="str">
            <v>内藤  健三郎</v>
          </cell>
          <cell r="H1160">
            <v>300</v>
          </cell>
          <cell r="I1160">
            <v>238</v>
          </cell>
          <cell r="J1160" t="str">
            <v>182</v>
          </cell>
          <cell r="K1160" t="str">
            <v>調布市菊野台1-10-2</v>
          </cell>
          <cell r="L1160" t="str">
            <v xml:space="preserve"> </v>
          </cell>
          <cell r="M1160" t="str">
            <v>0424-41-2100</v>
          </cell>
          <cell r="N1160" t="str">
            <v>/41-2105</v>
          </cell>
          <cell r="O1160" t="str">
            <v>ｵｲﾙ､ﾊﾞｯﾃﾘｰ(OPEL)</v>
          </cell>
          <cell r="Q1160" t="str">
            <v xml:space="preserve"> </v>
          </cell>
          <cell r="T1160" t="str">
            <v>ｲｽｽﾞﾌﾞﾋﾝﾄｳｷｮｳﾊﾝﾊﾞｲ</v>
          </cell>
          <cell r="V1160" t="str">
            <v>15</v>
          </cell>
        </row>
        <row r="1161">
          <cell r="B1161" t="str">
            <v>8782</v>
          </cell>
          <cell r="C1161" t="str">
            <v>#</v>
          </cell>
          <cell r="D1161" t="str">
            <v>いすゞ建設(株)</v>
          </cell>
          <cell r="F1161" t="str">
            <v>代表取締役</v>
          </cell>
          <cell r="G1161" t="str">
            <v>川崎  泰道</v>
          </cell>
          <cell r="H1161">
            <v>80</v>
          </cell>
          <cell r="I1161">
            <v>42</v>
          </cell>
          <cell r="J1161" t="str">
            <v>140</v>
          </cell>
          <cell r="K1161" t="str">
            <v>品川区南大井3-28-3</v>
          </cell>
          <cell r="L1161" t="str">
            <v xml:space="preserve"> </v>
          </cell>
          <cell r="M1161" t="str">
            <v>03-3763-6231</v>
          </cell>
          <cell r="N1161" t="str">
            <v>/3763-2754</v>
          </cell>
          <cell r="O1161" t="str">
            <v>総合建設</v>
          </cell>
          <cell r="Q1161" t="str">
            <v xml:space="preserve"> </v>
          </cell>
          <cell r="R1161" t="str">
            <v>□</v>
          </cell>
          <cell r="T1161" t="str">
            <v>ｲｽｽﾞｹﾝｾﾂ</v>
          </cell>
          <cell r="V1161" t="str">
            <v>30</v>
          </cell>
        </row>
        <row r="1162">
          <cell r="B1162" t="str">
            <v>8783</v>
          </cell>
          <cell r="C1162" t="str">
            <v>#</v>
          </cell>
          <cell r="D1162" t="str">
            <v>五洋建設(株)</v>
          </cell>
          <cell r="F1162" t="str">
            <v>取締役社長</v>
          </cell>
          <cell r="G1162" t="str">
            <v>水野  廉平</v>
          </cell>
          <cell r="H1162">
            <v>15065</v>
          </cell>
          <cell r="J1162" t="str">
            <v>112</v>
          </cell>
          <cell r="K1162" t="str">
            <v>文京区後楽2-2-8</v>
          </cell>
          <cell r="L1162" t="str">
            <v xml:space="preserve"> </v>
          </cell>
          <cell r="M1162" t="str">
            <v>03-3816-7111</v>
          </cell>
          <cell r="N1162" t="str">
            <v>/3817-7713</v>
          </cell>
          <cell r="O1162" t="str">
            <v>建設工事</v>
          </cell>
          <cell r="Q1162" t="str">
            <v xml:space="preserve"> </v>
          </cell>
          <cell r="T1162" t="str">
            <v>ｺﾞﾖｳｹﾝｾﾂ</v>
          </cell>
          <cell r="V1162" t="str">
            <v>30</v>
          </cell>
        </row>
        <row r="1163">
          <cell r="B1163" t="str">
            <v>8784</v>
          </cell>
          <cell r="C1163" t="str">
            <v>#</v>
          </cell>
          <cell r="D1163" t="str">
            <v>(株)寺田土木</v>
          </cell>
          <cell r="F1163" t="str">
            <v>代表取締役社長</v>
          </cell>
          <cell r="G1163" t="str">
            <v>寺田  五六</v>
          </cell>
          <cell r="H1163">
            <v>30</v>
          </cell>
          <cell r="I1163">
            <v>21</v>
          </cell>
          <cell r="J1163" t="str">
            <v>242</v>
          </cell>
          <cell r="K1163" t="str">
            <v>大和市上草柳7-8-3</v>
          </cell>
          <cell r="L1163" t="str">
            <v xml:space="preserve"> </v>
          </cell>
          <cell r="M1163" t="str">
            <v>0462-61-1294</v>
          </cell>
          <cell r="N1163" t="str">
            <v>/64-1426</v>
          </cell>
          <cell r="O1163" t="str">
            <v>土木工事</v>
          </cell>
          <cell r="Q1163" t="str">
            <v xml:space="preserve"> </v>
          </cell>
          <cell r="S1163" t="str">
            <v>☆</v>
          </cell>
          <cell r="T1163" t="str">
            <v>ﾃﾗﾀﾞﾄﾞﾎﾞｸ</v>
          </cell>
          <cell r="V1163" t="str">
            <v>30</v>
          </cell>
        </row>
        <row r="1164">
          <cell r="B1164" t="str">
            <v>8785</v>
          </cell>
          <cell r="C1164" t="str">
            <v>#</v>
          </cell>
          <cell r="D1164" t="str">
            <v>日本道路(株)</v>
          </cell>
          <cell r="F1164" t="str">
            <v>代表取締役社長</v>
          </cell>
          <cell r="G1164" t="str">
            <v>岡上  忠夫</v>
          </cell>
          <cell r="H1164" t="str">
            <v>12290</v>
          </cell>
          <cell r="I1164" t="str">
            <v>2356</v>
          </cell>
          <cell r="J1164" t="str">
            <v>105</v>
          </cell>
          <cell r="K1164" t="str">
            <v>港区新橋1-6-5</v>
          </cell>
          <cell r="L1164" t="str">
            <v xml:space="preserve"> </v>
          </cell>
          <cell r="M1164" t="str">
            <v>03-3571-3960</v>
          </cell>
          <cell r="N1164" t="str">
            <v>/3289-1655</v>
          </cell>
          <cell r="O1164" t="str">
            <v>舗装工事</v>
          </cell>
          <cell r="T1164" t="str">
            <v>ﾆｯﾎﾟﾝﾄﾞｳﾛ</v>
          </cell>
          <cell r="V1164" t="str">
            <v>30</v>
          </cell>
        </row>
        <row r="1165">
          <cell r="B1165" t="str">
            <v>8880</v>
          </cell>
          <cell r="C1165" t="str">
            <v>#</v>
          </cell>
          <cell r="D1165" t="str">
            <v>共和興業(株)</v>
          </cell>
          <cell r="F1165" t="str">
            <v>取締役社長</v>
          </cell>
          <cell r="G1165" t="str">
            <v>鈴木  雄太郎</v>
          </cell>
          <cell r="H1165">
            <v>10</v>
          </cell>
          <cell r="I1165">
            <v>28</v>
          </cell>
          <cell r="J1165" t="str">
            <v>231</v>
          </cell>
          <cell r="K1165" t="str">
            <v>横浜市中区末吉町1-21</v>
          </cell>
          <cell r="L1165" t="str">
            <v/>
          </cell>
          <cell r="M1165" t="str">
            <v>045-251-0698</v>
          </cell>
          <cell r="N1165" t="str">
            <v>/251-6551</v>
          </cell>
          <cell r="O1165" t="str">
            <v>塗装設備清掃</v>
          </cell>
          <cell r="Q1165" t="str">
            <v xml:space="preserve"> </v>
          </cell>
          <cell r="T1165" t="str">
            <v>ｷｮｳﾜｺｳｷﾞｮｳ</v>
          </cell>
          <cell r="V1165" t="str">
            <v>30</v>
          </cell>
        </row>
        <row r="1166">
          <cell r="B1166" t="str">
            <v>8881</v>
          </cell>
          <cell r="C1166" t="str">
            <v>#</v>
          </cell>
          <cell r="D1166" t="str">
            <v>(株)京葉興業</v>
          </cell>
          <cell r="F1166" t="str">
            <v>代表取締役</v>
          </cell>
          <cell r="G1166" t="str">
            <v>鈴木  彰二</v>
          </cell>
          <cell r="H1166">
            <v>90</v>
          </cell>
          <cell r="I1166">
            <v>180</v>
          </cell>
          <cell r="J1166" t="str">
            <v>133</v>
          </cell>
          <cell r="K1166" t="str">
            <v>江戸川区篠崎町7-31-15</v>
          </cell>
          <cell r="L1166" t="str">
            <v/>
          </cell>
          <cell r="M1166" t="str">
            <v>03-3678-0111</v>
          </cell>
          <cell r="N1166" t="str">
            <v>/3670-8511</v>
          </cell>
          <cell r="O1166" t="str">
            <v>産業廃棄物処理</v>
          </cell>
          <cell r="Q1166" t="str">
            <v xml:space="preserve"> </v>
          </cell>
          <cell r="T1166" t="str">
            <v>ｹｲﾖｳｺｳｷﾞｮｳ</v>
          </cell>
          <cell r="V1166" t="str">
            <v>30</v>
          </cell>
        </row>
        <row r="1167">
          <cell r="B1167" t="str">
            <v>8882</v>
          </cell>
          <cell r="C1167" t="str">
            <v>#</v>
          </cell>
          <cell r="D1167" t="str">
            <v>(株)ｴｽｹｰｼﾞｰｻｰﾋﾞｽ</v>
          </cell>
          <cell r="F1167" t="str">
            <v>取締役社長</v>
          </cell>
          <cell r="G1167" t="str">
            <v>神谷  尚男</v>
          </cell>
          <cell r="H1167">
            <v>10</v>
          </cell>
          <cell r="I1167">
            <v>10</v>
          </cell>
          <cell r="J1167" t="str">
            <v>242</v>
          </cell>
          <cell r="K1167" t="str">
            <v>大和市下鶴間1-3-1</v>
          </cell>
          <cell r="L1167" t="str">
            <v/>
          </cell>
          <cell r="M1167" t="str">
            <v>0462-60-3623</v>
          </cell>
          <cell r="N1167" t="str">
            <v>/</v>
          </cell>
          <cell r="O1167" t="str">
            <v>清掃作業 他</v>
          </cell>
          <cell r="Q1167" t="str">
            <v xml:space="preserve"> </v>
          </cell>
          <cell r="T1167" t="str">
            <v>ｴｽｹｰｼﾞｰｻｰﾋﾞｽ</v>
          </cell>
          <cell r="V1167" t="str">
            <v>30</v>
          </cell>
        </row>
        <row r="1168">
          <cell r="B1168" t="str">
            <v>8916</v>
          </cell>
          <cell r="C1168" t="str">
            <v>#</v>
          </cell>
          <cell r="D1168" t="str">
            <v>いすゞバス製造(株)</v>
          </cell>
          <cell r="F1168" t="str">
            <v>取締役社長</v>
          </cell>
          <cell r="G1168" t="str">
            <v>上月  秀俊　</v>
          </cell>
          <cell r="H1168">
            <v>4687</v>
          </cell>
          <cell r="I1168">
            <v>554</v>
          </cell>
          <cell r="J1168" t="str">
            <v>329-11</v>
          </cell>
          <cell r="K1168" t="str">
            <v>栃木県河内郡河内町中岡本</v>
          </cell>
          <cell r="L1168" t="str">
            <v>2857-2</v>
          </cell>
          <cell r="M1168" t="str">
            <v>0286-73-6063</v>
          </cell>
          <cell r="N1168" t="str">
            <v>/73-6133</v>
          </cell>
          <cell r="O1168" t="str">
            <v>バスボディー</v>
          </cell>
          <cell r="Q1168" t="str">
            <v>◎</v>
          </cell>
          <cell r="R1168" t="str">
            <v>□</v>
          </cell>
          <cell r="S1168" t="str">
            <v>☆</v>
          </cell>
          <cell r="T1168" t="str">
            <v>ｲｽｽﾞﾊﾞｽｾｲｿﾞｳ</v>
          </cell>
          <cell r="V1168" t="str">
            <v>77</v>
          </cell>
        </row>
        <row r="1169">
          <cell r="B1169" t="str">
            <v>8920</v>
          </cell>
          <cell r="C1169" t="str">
            <v>#</v>
          </cell>
          <cell r="D1169" t="str">
            <v>神奈川いすゞ自動車(株)</v>
          </cell>
          <cell r="F1169" t="str">
            <v>代表取締役</v>
          </cell>
          <cell r="G1169" t="str">
            <v>日高  清澄</v>
          </cell>
          <cell r="H1169">
            <v>480</v>
          </cell>
          <cell r="I1169">
            <v>331</v>
          </cell>
          <cell r="J1169" t="str">
            <v>240</v>
          </cell>
          <cell r="K1169" t="str">
            <v>横浜市保土ケ谷区権太坂</v>
          </cell>
          <cell r="L1169" t="str">
            <v>3-8-16</v>
          </cell>
          <cell r="M1169" t="str">
            <v>045-783-3266</v>
          </cell>
          <cell r="N1169" t="str">
            <v>/783-3212</v>
          </cell>
          <cell r="O1169" t="str">
            <v>運搬車両</v>
          </cell>
          <cell r="Q1169" t="str">
            <v xml:space="preserve"> </v>
          </cell>
          <cell r="R1169" t="str">
            <v>□</v>
          </cell>
          <cell r="T1169" t="str">
            <v>ｶﾅｶﾞﾜｲｽｽﾞｼﾞﾄﾞｳｼｬ</v>
          </cell>
          <cell r="V1169" t="str">
            <v>30</v>
          </cell>
        </row>
        <row r="1170">
          <cell r="B1170" t="str">
            <v>8928</v>
          </cell>
          <cell r="C1170" t="str">
            <v>#</v>
          </cell>
          <cell r="D1170" t="str">
            <v>いすゞ特装開発(株)</v>
          </cell>
          <cell r="F1170" t="str">
            <v>代表取締役社長</v>
          </cell>
          <cell r="G1170" t="str">
            <v>西谷  忠邦</v>
          </cell>
          <cell r="H1170">
            <v>100</v>
          </cell>
          <cell r="I1170">
            <v>44</v>
          </cell>
          <cell r="J1170" t="str">
            <v>140</v>
          </cell>
          <cell r="K1170" t="str">
            <v>品川区南大井3-26-7</v>
          </cell>
          <cell r="L1170" t="str">
            <v>ICLビル3F</v>
          </cell>
          <cell r="M1170" t="str">
            <v>03-3766-3500</v>
          </cell>
          <cell r="N1170" t="str">
            <v>/3766-3789</v>
          </cell>
          <cell r="Q1170" t="str">
            <v>◎</v>
          </cell>
          <cell r="T1170" t="str">
            <v>ｲｽｽﾞﾄｸｿｳｶｲﾊﾂ</v>
          </cell>
          <cell r="V1170" t="str">
            <v>64</v>
          </cell>
        </row>
        <row r="1171">
          <cell r="B1171" t="str">
            <v>8929</v>
          </cell>
          <cell r="C1171" t="str">
            <v>#</v>
          </cell>
          <cell r="D1171" t="str">
            <v>(株)キック</v>
          </cell>
          <cell r="F1171" t="str">
            <v>取締役社長</v>
          </cell>
          <cell r="G1171" t="str">
            <v>町田　忠三</v>
          </cell>
          <cell r="H1171">
            <v>30</v>
          </cell>
          <cell r="I1171">
            <v>7</v>
          </cell>
          <cell r="J1171" t="str">
            <v>379-21</v>
          </cell>
          <cell r="K1171" t="str">
            <v>前橋市力丸町470-1</v>
          </cell>
          <cell r="L1171" t="str">
            <v xml:space="preserve"> </v>
          </cell>
          <cell r="M1171" t="str">
            <v>0272-65-4671</v>
          </cell>
          <cell r="N1171" t="str">
            <v>/65-4775</v>
          </cell>
          <cell r="O1171" t="str">
            <v>架装部品</v>
          </cell>
          <cell r="P1171" t="str">
            <v>▽</v>
          </cell>
          <cell r="Q1171" t="str">
            <v xml:space="preserve"> </v>
          </cell>
          <cell r="T1171" t="str">
            <v>ｷｯｸ</v>
          </cell>
          <cell r="V1171" t="str">
            <v>64</v>
          </cell>
        </row>
        <row r="1172">
          <cell r="B1172" t="str">
            <v>9102</v>
          </cell>
          <cell r="C1172" t="str">
            <v>#</v>
          </cell>
          <cell r="D1172" t="str">
            <v>(株)ﾒｼﾞｬｰﾃｯｸﾂﾙﾐ</v>
          </cell>
          <cell r="F1172" t="str">
            <v>代表取締役</v>
          </cell>
          <cell r="G1172" t="str">
            <v>横須賀　健治</v>
          </cell>
          <cell r="H1172">
            <v>12</v>
          </cell>
          <cell r="I1172">
            <v>21</v>
          </cell>
          <cell r="J1172" t="str">
            <v>210</v>
          </cell>
          <cell r="K1172" t="str">
            <v>川崎市川崎区大島2-7-10</v>
          </cell>
          <cell r="L1172" t="str">
            <v xml:space="preserve"> </v>
          </cell>
          <cell r="M1172" t="str">
            <v>044-244-4379</v>
          </cell>
          <cell r="N1172" t="str">
            <v>/244-4497</v>
          </cell>
          <cell r="O1172" t="str">
            <v>試験機製作修理</v>
          </cell>
          <cell r="Q1172" t="str">
            <v xml:space="preserve"> </v>
          </cell>
          <cell r="R1172" t="str">
            <v>□</v>
          </cell>
          <cell r="T1172" t="str">
            <v>ﾒｼﾞｬｰﾃｯｸﾂﾙﾐ</v>
          </cell>
          <cell r="V1172" t="str">
            <v>30</v>
          </cell>
        </row>
        <row r="1173">
          <cell r="B1173" t="str">
            <v>9103</v>
          </cell>
          <cell r="C1173" t="str">
            <v>#</v>
          </cell>
          <cell r="D1173" t="str">
            <v>タイホー工業(株)</v>
          </cell>
          <cell r="F1173" t="str">
            <v>代表取締役</v>
          </cell>
          <cell r="G1173" t="str">
            <v>小田坂　弘三</v>
          </cell>
          <cell r="H1173">
            <v>510</v>
          </cell>
          <cell r="I1173">
            <v>480</v>
          </cell>
          <cell r="J1173" t="str">
            <v>108</v>
          </cell>
          <cell r="K1173" t="str">
            <v>港区高輪2-21-44</v>
          </cell>
          <cell r="L1173" t="str">
            <v xml:space="preserve"> </v>
          </cell>
          <cell r="M1173" t="str">
            <v>03-3445-8114</v>
          </cell>
          <cell r="N1173" t="str">
            <v>/3445-6334</v>
          </cell>
          <cell r="O1173" t="str">
            <v>工業炉プラント 化学薬品</v>
          </cell>
          <cell r="Q1173" t="str">
            <v xml:space="preserve"> </v>
          </cell>
          <cell r="R1173" t="str">
            <v>□</v>
          </cell>
          <cell r="T1173" t="str">
            <v>ﾀｲﾎｳｺｳｷﾞｮｳ</v>
          </cell>
          <cell r="V1173" t="str">
            <v>30</v>
          </cell>
        </row>
        <row r="1174">
          <cell r="B1174" t="str">
            <v>9106</v>
          </cell>
          <cell r="C1174" t="str">
            <v>#</v>
          </cell>
          <cell r="D1174" t="str">
            <v>明弘システック(株)</v>
          </cell>
          <cell r="F1174" t="str">
            <v>代表取締役</v>
          </cell>
          <cell r="G1174" t="str">
            <v>守谷  公男</v>
          </cell>
          <cell r="H1174">
            <v>28.5</v>
          </cell>
          <cell r="I1174">
            <v>70</v>
          </cell>
          <cell r="J1174" t="str">
            <v>564</v>
          </cell>
          <cell r="K1174" t="str">
            <v>大阪府吹田市豊津町11-36</v>
          </cell>
          <cell r="L1174" t="str">
            <v xml:space="preserve"> </v>
          </cell>
          <cell r="M1174" t="str">
            <v>06-338-5311</v>
          </cell>
          <cell r="N1174" t="str">
            <v>/338-5322</v>
          </cell>
          <cell r="O1174" t="str">
            <v>電子機器･工業計器</v>
          </cell>
          <cell r="Q1174" t="str">
            <v xml:space="preserve"> </v>
          </cell>
          <cell r="R1174" t="str">
            <v>□</v>
          </cell>
          <cell r="T1174" t="str">
            <v>ﾒｲｺｳｼｽﾃｯｸ</v>
          </cell>
          <cell r="V1174" t="str">
            <v>30</v>
          </cell>
        </row>
        <row r="1175">
          <cell r="B1175" t="str">
            <v>9109</v>
          </cell>
          <cell r="C1175" t="str">
            <v>#</v>
          </cell>
          <cell r="D1175" t="str">
            <v>ﾌﾞﾘﾁﾞｽﾄﾝﾌﾛｰﾃｯｸ(株)</v>
          </cell>
          <cell r="F1175" t="str">
            <v>代表取締役社長</v>
          </cell>
          <cell r="G1175" t="str">
            <v>吉富　弘幸</v>
          </cell>
          <cell r="H1175">
            <v>605</v>
          </cell>
          <cell r="I1175">
            <v>430</v>
          </cell>
          <cell r="J1175" t="str">
            <v>104</v>
          </cell>
          <cell r="K1175" t="str">
            <v>中央区京橋1-1-1</v>
          </cell>
          <cell r="L1175" t="str">
            <v>大坂ビル3F</v>
          </cell>
          <cell r="M1175" t="str">
            <v>03-3274-5073</v>
          </cell>
          <cell r="N1175" t="str">
            <v>/3278-0358</v>
          </cell>
          <cell r="O1175" t="str">
            <v>高圧ホース</v>
          </cell>
          <cell r="Q1175" t="str">
            <v xml:space="preserve"> </v>
          </cell>
          <cell r="R1175" t="str">
            <v>□</v>
          </cell>
          <cell r="S1175" t="str">
            <v>☆</v>
          </cell>
          <cell r="T1175" t="str">
            <v>ﾌﾞﾘﾁﾞｽﾄﾝﾌﾛｰﾃｯｸ</v>
          </cell>
          <cell r="V1175" t="str">
            <v>62</v>
          </cell>
        </row>
        <row r="1176">
          <cell r="B1176" t="str">
            <v>9112</v>
          </cell>
          <cell r="C1176" t="str">
            <v>#</v>
          </cell>
          <cell r="D1176" t="str">
            <v>大同アミスター(株)</v>
          </cell>
          <cell r="F1176" t="str">
            <v>代表取締役</v>
          </cell>
          <cell r="G1176" t="str">
            <v>長谷川  義彦</v>
          </cell>
          <cell r="H1176">
            <v>435</v>
          </cell>
          <cell r="I1176">
            <v>496</v>
          </cell>
          <cell r="J1176" t="str">
            <v>574</v>
          </cell>
          <cell r="K1176" t="str">
            <v>大阪府大東市氷野3-152</v>
          </cell>
          <cell r="L1176" t="str">
            <v xml:space="preserve"> </v>
          </cell>
          <cell r="M1176" t="str">
            <v>0720-71-8601</v>
          </cell>
          <cell r="N1176" t="str">
            <v>/73-2575</v>
          </cell>
          <cell r="O1176" t="str">
            <v>金属熱処理･鋳造型</v>
          </cell>
          <cell r="P1176" t="str">
            <v>▽</v>
          </cell>
          <cell r="Q1176" t="str">
            <v xml:space="preserve"> </v>
          </cell>
          <cell r="R1176" t="str">
            <v>□</v>
          </cell>
          <cell r="T1176" t="str">
            <v>ﾀﾞｲﾄﾞｳｱﾐｽﾀｰ</v>
          </cell>
          <cell r="V1176" t="str">
            <v>30</v>
          </cell>
        </row>
        <row r="1177">
          <cell r="B1177" t="str">
            <v>9112</v>
          </cell>
          <cell r="C1177" t="str">
            <v>A</v>
          </cell>
          <cell r="D1177" t="str">
            <v>大同アミスター(株)</v>
          </cell>
          <cell r="E1177" t="str">
            <v>東京営業所</v>
          </cell>
          <cell r="J1177" t="str">
            <v>143</v>
          </cell>
          <cell r="K1177" t="str">
            <v>大田区京浜島2-12-8</v>
          </cell>
          <cell r="L1177" t="str">
            <v xml:space="preserve"> </v>
          </cell>
          <cell r="M1177" t="str">
            <v>03-3790-1851</v>
          </cell>
          <cell r="N1177" t="str">
            <v>/3790-4382</v>
          </cell>
          <cell r="T1177" t="str">
            <v>ﾀﾞｲﾄﾞｳｱﾐｽﾀｰ</v>
          </cell>
          <cell r="V1177" t="str">
            <v>30</v>
          </cell>
        </row>
        <row r="1178">
          <cell r="B1178" t="str">
            <v>9116</v>
          </cell>
          <cell r="C1178" t="str">
            <v>#</v>
          </cell>
          <cell r="D1178" t="str">
            <v>岐阜精機工業(株)</v>
          </cell>
          <cell r="F1178" t="str">
            <v>代表取締役社長</v>
          </cell>
          <cell r="G1178" t="str">
            <v>藤井　充彦</v>
          </cell>
          <cell r="H1178">
            <v>400</v>
          </cell>
          <cell r="I1178">
            <v>510</v>
          </cell>
          <cell r="J1178" t="str">
            <v>103</v>
          </cell>
          <cell r="K1178" t="str">
            <v>中央区日本橋室町2-1</v>
          </cell>
          <cell r="L1178" t="str">
            <v xml:space="preserve"> </v>
          </cell>
          <cell r="N1178" t="str">
            <v>/</v>
          </cell>
          <cell r="O1178" t="str">
            <v>金型製造</v>
          </cell>
          <cell r="Q1178" t="str">
            <v xml:space="preserve"> </v>
          </cell>
          <cell r="T1178" t="str">
            <v>ｷﾞﾌｾｲｷｺｳｷﾞｮｳ</v>
          </cell>
          <cell r="U1178" t="str">
            <v xml:space="preserve"> </v>
          </cell>
          <cell r="V1178" t="str">
            <v>30</v>
          </cell>
        </row>
        <row r="1179">
          <cell r="B1179" t="str">
            <v>9116</v>
          </cell>
          <cell r="C1179" t="str">
            <v>A</v>
          </cell>
          <cell r="D1179" t="str">
            <v>岐阜精機工業(株)</v>
          </cell>
          <cell r="E1179" t="str">
            <v>相模工場</v>
          </cell>
          <cell r="F1179" t="str">
            <v>取締役工場長</v>
          </cell>
          <cell r="G1179" t="str">
            <v>内田　博愛</v>
          </cell>
          <cell r="J1179" t="str">
            <v>228</v>
          </cell>
          <cell r="K1179" t="str">
            <v>座間市相模が丘6-34-40</v>
          </cell>
          <cell r="L1179" t="str">
            <v xml:space="preserve"> </v>
          </cell>
          <cell r="M1179" t="str">
            <v>0462-51-0711</v>
          </cell>
          <cell r="N1179" t="str">
            <v>/</v>
          </cell>
          <cell r="O1179" t="str">
            <v>金型製造</v>
          </cell>
          <cell r="Q1179" t="str">
            <v xml:space="preserve"> </v>
          </cell>
          <cell r="T1179" t="str">
            <v>ｷﾞﾌｾｲｷｺｳｷﾞｮｳ</v>
          </cell>
          <cell r="V1179" t="str">
            <v>30</v>
          </cell>
        </row>
        <row r="1180">
          <cell r="B1180" t="str">
            <v>9121</v>
          </cell>
          <cell r="C1180" t="str">
            <v>#</v>
          </cell>
          <cell r="D1180" t="str">
            <v>日立ビル施設ｴﾝｼﾞﾆｱﾘﾝｸﾞ(株)</v>
          </cell>
          <cell r="E1180" t="str">
            <v>ル施設</v>
          </cell>
          <cell r="F1180" t="str">
            <v>取締役社長</v>
          </cell>
          <cell r="G1180" t="str">
            <v>高井  良昌</v>
          </cell>
          <cell r="H1180">
            <v>900</v>
          </cell>
          <cell r="I1180">
            <v>764</v>
          </cell>
          <cell r="J1180" t="str">
            <v>101</v>
          </cell>
          <cell r="K1180" t="str">
            <v>千代田区神田和泉町1</v>
          </cell>
          <cell r="L1180" t="str">
            <v xml:space="preserve"> </v>
          </cell>
          <cell r="M1180" t="str">
            <v>03-5687-6661</v>
          </cell>
          <cell r="N1180" t="str">
            <v>/5687-6685</v>
          </cell>
          <cell r="O1180" t="str">
            <v>冷房用熱源機保守</v>
          </cell>
          <cell r="Q1180" t="str">
            <v xml:space="preserve"> </v>
          </cell>
          <cell r="T1180" t="str">
            <v>ﾋﾀﾁﾋﾞﾙｼｾﾂｴﾝｼﾞﾆｱﾘﾝｸﾞ</v>
          </cell>
          <cell r="V1180" t="str">
            <v>30</v>
          </cell>
        </row>
        <row r="1181">
          <cell r="B1181" t="str">
            <v>9121</v>
          </cell>
          <cell r="C1181" t="str">
            <v>##</v>
          </cell>
          <cell r="D1181" t="str">
            <v>日立ビル施設ｴﾝｼﾞﾆｱﾘﾝｸﾞ(株)</v>
          </cell>
          <cell r="E1181" t="str">
            <v>ｴﾝｼﾞﾆｱﾘﾝｸﾞ(株)</v>
          </cell>
          <cell r="K1181" t="str">
            <v xml:space="preserve"> </v>
          </cell>
          <cell r="L1181" t="str">
            <v xml:space="preserve"> </v>
          </cell>
          <cell r="N1181" t="str">
            <v>/</v>
          </cell>
          <cell r="Q1181" t="str">
            <v xml:space="preserve"> </v>
          </cell>
          <cell r="T1181" t="str">
            <v>ﾋﾀﾁﾋﾞﾙｼｾﾂｴﾝｼﾞﾆｱﾘﾝｸﾞ</v>
          </cell>
          <cell r="V1181" t="str">
            <v>30</v>
          </cell>
        </row>
        <row r="1182">
          <cell r="B1182" t="str">
            <v>9121</v>
          </cell>
          <cell r="C1182" t="str">
            <v>A</v>
          </cell>
          <cell r="D1182" t="str">
            <v>日立ビル施設ｴﾝｼﾞﾆｱﾘﾝｸﾞ(株)</v>
          </cell>
          <cell r="E1182" t="str">
            <v>横浜支店</v>
          </cell>
          <cell r="F1182" t="str">
            <v>支店長</v>
          </cell>
          <cell r="G1182" t="str">
            <v>関根  孝</v>
          </cell>
          <cell r="J1182" t="str">
            <v>231</v>
          </cell>
          <cell r="K1182" t="str">
            <v>横浜市中区弁天通6-85</v>
          </cell>
          <cell r="L1182" t="str">
            <v>宇徳ビル</v>
          </cell>
          <cell r="M1182" t="str">
            <v>045-201-9551</v>
          </cell>
          <cell r="N1182" t="str">
            <v>/201-2370</v>
          </cell>
          <cell r="O1182" t="str">
            <v>設計・施工</v>
          </cell>
          <cell r="Q1182" t="str">
            <v xml:space="preserve"> </v>
          </cell>
          <cell r="T1182" t="str">
            <v>ﾋﾀﾁﾋﾞﾙｼｾﾂｴﾝｼﾞﾆｱﾘﾝｸﾞ</v>
          </cell>
          <cell r="V1182" t="str">
            <v>30</v>
          </cell>
        </row>
        <row r="1183">
          <cell r="B1183" t="str">
            <v>9123</v>
          </cell>
          <cell r="C1183" t="str">
            <v>#</v>
          </cell>
          <cell r="D1183" t="str">
            <v>(株)神環保</v>
          </cell>
          <cell r="F1183" t="str">
            <v>代表取締役会長</v>
          </cell>
          <cell r="G1183" t="str">
            <v>村田　哲郎</v>
          </cell>
          <cell r="H1183">
            <v>51</v>
          </cell>
          <cell r="J1183" t="str">
            <v>252</v>
          </cell>
          <cell r="K1183" t="str">
            <v>綾瀬市深谷6909</v>
          </cell>
          <cell r="L1183" t="str">
            <v xml:space="preserve"> </v>
          </cell>
          <cell r="M1183" t="str">
            <v>0467-76-1515</v>
          </cell>
          <cell r="N1183" t="str">
            <v>/</v>
          </cell>
          <cell r="O1183" t="str">
            <v>産業廃棄物処理</v>
          </cell>
          <cell r="Q1183" t="str">
            <v xml:space="preserve"> </v>
          </cell>
          <cell r="T1183" t="str">
            <v>ｼﾞﾝｶﾝﾎﾟ</v>
          </cell>
          <cell r="V1183" t="str">
            <v>30</v>
          </cell>
        </row>
        <row r="1184">
          <cell r="B1184" t="str">
            <v>9124</v>
          </cell>
          <cell r="C1184" t="str">
            <v>#</v>
          </cell>
          <cell r="D1184" t="str">
            <v>(有)共栄商社</v>
          </cell>
          <cell r="F1184" t="str">
            <v>代表取締役</v>
          </cell>
          <cell r="G1184" t="str">
            <v>菅野　保夫</v>
          </cell>
          <cell r="H1184">
            <v>8</v>
          </cell>
          <cell r="I1184">
            <v>34</v>
          </cell>
          <cell r="J1184" t="str">
            <v>252</v>
          </cell>
          <cell r="K1184" t="str">
            <v>藤沢市打戻2073</v>
          </cell>
          <cell r="L1184" t="str">
            <v xml:space="preserve"> </v>
          </cell>
          <cell r="M1184" t="str">
            <v>0466-48-1888</v>
          </cell>
          <cell r="N1184" t="str">
            <v>/48-1875</v>
          </cell>
          <cell r="O1184" t="str">
            <v>産業廃棄物処理</v>
          </cell>
          <cell r="Q1184" t="str">
            <v xml:space="preserve"> </v>
          </cell>
          <cell r="T1184" t="str">
            <v>ｷｮｳｴｲｼｮｳｼｬ</v>
          </cell>
          <cell r="V1184" t="str">
            <v>30</v>
          </cell>
        </row>
        <row r="1185">
          <cell r="B1185" t="str">
            <v>9125</v>
          </cell>
          <cell r="C1185" t="str">
            <v>#</v>
          </cell>
          <cell r="D1185" t="str">
            <v>(有)紺野企業</v>
          </cell>
          <cell r="F1185" t="str">
            <v>代表取締役</v>
          </cell>
          <cell r="G1185" t="str">
            <v>紺野　秀宣</v>
          </cell>
          <cell r="H1185">
            <v>5</v>
          </cell>
          <cell r="I1185">
            <v>13</v>
          </cell>
          <cell r="J1185" t="str">
            <v>252</v>
          </cell>
          <cell r="K1185" t="str">
            <v>藤沢市湘南台3-16-11</v>
          </cell>
          <cell r="L1185" t="str">
            <v xml:space="preserve"> </v>
          </cell>
          <cell r="M1185" t="str">
            <v>0466-45-3952</v>
          </cell>
          <cell r="N1185" t="str">
            <v>/</v>
          </cell>
          <cell r="O1185" t="str">
            <v>産業廃棄物処理</v>
          </cell>
          <cell r="Q1185" t="str">
            <v xml:space="preserve"> </v>
          </cell>
          <cell r="T1185" t="str">
            <v>ｺﾝﾉｷｷﾞｮｳ</v>
          </cell>
          <cell r="V1185" t="str">
            <v>30</v>
          </cell>
        </row>
        <row r="1186">
          <cell r="B1186" t="str">
            <v>9126</v>
          </cell>
          <cell r="C1186" t="str">
            <v>#</v>
          </cell>
          <cell r="D1186" t="str">
            <v>(株)千代田ﾋﾞﾙﾏﾈｼﾞﾒﾝﾄ</v>
          </cell>
          <cell r="F1186" t="str">
            <v>代表取締役</v>
          </cell>
          <cell r="G1186" t="str">
            <v>小島　篤</v>
          </cell>
          <cell r="H1186">
            <v>50</v>
          </cell>
          <cell r="I1186">
            <v>160</v>
          </cell>
          <cell r="J1186" t="str">
            <v>105</v>
          </cell>
          <cell r="K1186" t="str">
            <v>港区虎ﾉ門3-18-19　</v>
          </cell>
          <cell r="L1186" t="str">
            <v>マリンビル4F</v>
          </cell>
          <cell r="M1186" t="str">
            <v>03-3434-0126</v>
          </cell>
          <cell r="N1186" t="str">
            <v>/3434-1179</v>
          </cell>
          <cell r="O1186" t="str">
            <v>産業廃棄物処理</v>
          </cell>
          <cell r="Q1186" t="str">
            <v xml:space="preserve"> </v>
          </cell>
          <cell r="T1186" t="str">
            <v>ﾁﾖﾀﾞﾋﾞﾙﾏﾈｼﾞﾒﾝﾄ</v>
          </cell>
          <cell r="V1186" t="str">
            <v>30</v>
          </cell>
        </row>
        <row r="1187">
          <cell r="B1187" t="str">
            <v>9126</v>
          </cell>
          <cell r="C1187" t="str">
            <v>A</v>
          </cell>
          <cell r="D1187" t="str">
            <v>(株)千代田ﾋﾞﾙﾏﾈｼﾞﾒﾝﾄ</v>
          </cell>
          <cell r="E1187" t="str">
            <v>神奈川支社</v>
          </cell>
          <cell r="J1187" t="str">
            <v>252</v>
          </cell>
          <cell r="K1187" t="str">
            <v>藤沢市鵠沼東1-1</v>
          </cell>
          <cell r="L1187" t="str">
            <v>卵半ビル4F</v>
          </cell>
          <cell r="M1187" t="str">
            <v>0466-28-1655</v>
          </cell>
          <cell r="N1187" t="str">
            <v>/28-1656</v>
          </cell>
          <cell r="O1187" t="str">
            <v>産業廃棄物処理</v>
          </cell>
          <cell r="Q1187" t="str">
            <v xml:space="preserve"> </v>
          </cell>
          <cell r="T1187" t="str">
            <v>ﾁﾖﾀﾞﾋﾞﾙﾏﾈｼﾞﾒﾝﾄ</v>
          </cell>
          <cell r="V1187" t="str">
            <v>30</v>
          </cell>
        </row>
        <row r="1188">
          <cell r="B1188" t="str">
            <v>9134</v>
          </cell>
          <cell r="C1188" t="str">
            <v>#</v>
          </cell>
          <cell r="D1188" t="str">
            <v>三京塗料(株)</v>
          </cell>
          <cell r="F1188" t="str">
            <v>代表取締役</v>
          </cell>
          <cell r="G1188" t="str">
            <v>船引　保一</v>
          </cell>
          <cell r="H1188">
            <v>35</v>
          </cell>
          <cell r="I1188">
            <v>75</v>
          </cell>
          <cell r="J1188" t="str">
            <v>166</v>
          </cell>
          <cell r="K1188" t="str">
            <v>杉並区高円寺南1-1-2</v>
          </cell>
          <cell r="L1188" t="str">
            <v xml:space="preserve"> </v>
          </cell>
          <cell r="M1188" t="str">
            <v>03-3314-6111</v>
          </cell>
          <cell r="N1188" t="str">
            <v>/</v>
          </cell>
          <cell r="O1188" t="str">
            <v>塗料</v>
          </cell>
          <cell r="Q1188" t="str">
            <v xml:space="preserve"> </v>
          </cell>
          <cell r="T1188" t="str">
            <v>ｻﾝｷｮｳﾄﾘｮｳ</v>
          </cell>
          <cell r="V1188" t="str">
            <v>15</v>
          </cell>
        </row>
        <row r="1189">
          <cell r="B1189" t="str">
            <v>9134</v>
          </cell>
          <cell r="C1189" t="str">
            <v>A</v>
          </cell>
          <cell r="D1189" t="str">
            <v>三京塗料(株)</v>
          </cell>
          <cell r="E1189" t="str">
            <v>戸塚営業所</v>
          </cell>
          <cell r="J1189" t="str">
            <v>244</v>
          </cell>
          <cell r="K1189" t="str">
            <v>横浜市戸塚区下倉田町296</v>
          </cell>
          <cell r="L1189" t="str">
            <v>日本油脂咜戸塚工場内</v>
          </cell>
          <cell r="M1189" t="str">
            <v>045-871-8181</v>
          </cell>
          <cell r="N1189" t="str">
            <v>/861-8423</v>
          </cell>
          <cell r="O1189" t="str">
            <v>塗料</v>
          </cell>
          <cell r="Q1189" t="str">
            <v xml:space="preserve"> </v>
          </cell>
          <cell r="T1189" t="str">
            <v>ｻﾝｷｮｳﾄﾘｮｳ</v>
          </cell>
          <cell r="V1189" t="str">
            <v>15</v>
          </cell>
        </row>
        <row r="1190">
          <cell r="B1190" t="str">
            <v>9137</v>
          </cell>
          <cell r="C1190" t="str">
            <v>#</v>
          </cell>
          <cell r="D1190" t="str">
            <v>(株)日本製鋼所</v>
          </cell>
          <cell r="F1190" t="str">
            <v>代表取締役社長</v>
          </cell>
          <cell r="G1190" t="str">
            <v>館野　万吉</v>
          </cell>
          <cell r="H1190">
            <v>17092</v>
          </cell>
          <cell r="I1190">
            <v>6485</v>
          </cell>
          <cell r="J1190" t="str">
            <v>100</v>
          </cell>
          <cell r="K1190" t="str">
            <v>千代田区有楽町1-1-2</v>
          </cell>
          <cell r="L1190" t="str">
            <v>日比谷三井ビル</v>
          </cell>
          <cell r="M1190" t="str">
            <v>03-3501-6111</v>
          </cell>
          <cell r="N1190" t="str">
            <v>/</v>
          </cell>
          <cell r="O1190" t="str">
            <v>産業用ロボット</v>
          </cell>
          <cell r="Q1190" t="str">
            <v xml:space="preserve"> </v>
          </cell>
          <cell r="T1190" t="str">
            <v>ﾆﾎﾝｾｲｺｳｼｮ</v>
          </cell>
          <cell r="V1190" t="str">
            <v>30</v>
          </cell>
        </row>
        <row r="1191">
          <cell r="B1191" t="str">
            <v>9138</v>
          </cell>
          <cell r="C1191" t="str">
            <v>#</v>
          </cell>
          <cell r="D1191" t="str">
            <v>伊藤忠ﾃｸﾉｻｲｴﾝｽ(株)</v>
          </cell>
          <cell r="F1191" t="str">
            <v>取締役社長</v>
          </cell>
          <cell r="G1191" t="str">
            <v>宮本　和郎</v>
          </cell>
          <cell r="H1191">
            <v>100</v>
          </cell>
          <cell r="I1191">
            <v>495</v>
          </cell>
          <cell r="J1191" t="str">
            <v>154</v>
          </cell>
          <cell r="K1191" t="str">
            <v>世田谷区駒沢1-16-7</v>
          </cell>
          <cell r="L1191" t="str">
            <v xml:space="preserve"> </v>
          </cell>
          <cell r="M1191" t="str">
            <v>03-3419-9000</v>
          </cell>
          <cell r="N1191" t="str">
            <v>/</v>
          </cell>
          <cell r="O1191" t="str">
            <v>ｼｽﾃﾑ</v>
          </cell>
          <cell r="Q1191" t="str">
            <v xml:space="preserve"> </v>
          </cell>
          <cell r="T1191" t="str">
            <v>ｲﾄｳﾁｭｳﾃｸﾉｻｲｴﾝｽ</v>
          </cell>
          <cell r="V1191" t="str">
            <v>30</v>
          </cell>
        </row>
        <row r="1192">
          <cell r="B1192" t="str">
            <v>9138</v>
          </cell>
          <cell r="C1192" t="str">
            <v>A</v>
          </cell>
          <cell r="D1192" t="str">
            <v>横浜営業所</v>
          </cell>
          <cell r="J1192">
            <v>222</v>
          </cell>
          <cell r="K1192" t="str">
            <v>横浜市港北区新横浜3-18-14</v>
          </cell>
          <cell r="L1192" t="str">
            <v xml:space="preserve"> </v>
          </cell>
          <cell r="M1192" t="str">
            <v>045-474-0411</v>
          </cell>
          <cell r="N1192" t="str">
            <v>/474-0419</v>
          </cell>
          <cell r="O1192" t="str">
            <v xml:space="preserve"> </v>
          </cell>
          <cell r="T1192" t="str">
            <v>ｲﾄｳﾁｭｳﾃｸﾉｻｲｴﾝｽ</v>
          </cell>
          <cell r="V1192" t="str">
            <v>30</v>
          </cell>
        </row>
        <row r="1193">
          <cell r="B1193" t="str">
            <v>9147</v>
          </cell>
          <cell r="C1193" t="str">
            <v>#</v>
          </cell>
          <cell r="D1193" t="str">
            <v>協同電気(株)</v>
          </cell>
          <cell r="F1193" t="str">
            <v>代表取締役</v>
          </cell>
          <cell r="G1193" t="str">
            <v>西堀　隆太郎</v>
          </cell>
          <cell r="H1193">
            <v>68</v>
          </cell>
          <cell r="I1193">
            <v>120</v>
          </cell>
          <cell r="J1193" t="str">
            <v>231</v>
          </cell>
          <cell r="K1193" t="str">
            <v>横浜市中区山下町227</v>
          </cell>
          <cell r="L1193" t="str">
            <v xml:space="preserve"> </v>
          </cell>
          <cell r="M1193" t="str">
            <v>045-661-1811</v>
          </cell>
          <cell r="N1193" t="str">
            <v>/</v>
          </cell>
          <cell r="O1193" t="str">
            <v>電気機器 電設資材</v>
          </cell>
          <cell r="Q1193" t="str">
            <v xml:space="preserve"> </v>
          </cell>
          <cell r="T1193" t="str">
            <v>ｷｮｳﾄﾞｳﾃﾞﾝｷ</v>
          </cell>
          <cell r="V1193" t="str">
            <v>15</v>
          </cell>
        </row>
        <row r="1194">
          <cell r="B1194" t="str">
            <v>9149</v>
          </cell>
          <cell r="C1194" t="str">
            <v>#</v>
          </cell>
          <cell r="D1194" t="str">
            <v>日昌(株)</v>
          </cell>
          <cell r="F1194" t="str">
            <v>代表取締役社長</v>
          </cell>
          <cell r="G1194" t="str">
            <v>坂本  忠男</v>
          </cell>
          <cell r="H1194">
            <v>300</v>
          </cell>
          <cell r="I1194">
            <v>323</v>
          </cell>
          <cell r="J1194" t="str">
            <v>252</v>
          </cell>
          <cell r="K1194" t="str">
            <v>藤沢市湘南台4-7-5</v>
          </cell>
          <cell r="L1194" t="str">
            <v xml:space="preserve"> </v>
          </cell>
          <cell r="M1194" t="str">
            <v>0466-45-3581</v>
          </cell>
          <cell r="N1194" t="str">
            <v>/45-3585</v>
          </cell>
          <cell r="O1194" t="str">
            <v>両面接着テープ</v>
          </cell>
          <cell r="Q1194" t="str">
            <v xml:space="preserve"> </v>
          </cell>
          <cell r="S1194" t="str">
            <v>☆</v>
          </cell>
          <cell r="T1194" t="str">
            <v>ﾆｯｼｮｳ</v>
          </cell>
          <cell r="V1194" t="str">
            <v>62</v>
          </cell>
        </row>
        <row r="1195">
          <cell r="B1195" t="str">
            <v>9149</v>
          </cell>
          <cell r="C1195" t="str">
            <v>A</v>
          </cell>
          <cell r="D1195" t="str">
            <v>日昌(株)</v>
          </cell>
          <cell r="E1195" t="str">
            <v>藤沢営業所</v>
          </cell>
          <cell r="K1195" t="str">
            <v xml:space="preserve"> </v>
          </cell>
          <cell r="L1195" t="str">
            <v xml:space="preserve"> </v>
          </cell>
          <cell r="N1195" t="str">
            <v>/</v>
          </cell>
          <cell r="Q1195" t="str">
            <v xml:space="preserve"> </v>
          </cell>
          <cell r="T1195" t="str">
            <v>ﾆｯｼｮｳ</v>
          </cell>
          <cell r="V1195" t="str">
            <v>62</v>
          </cell>
        </row>
        <row r="1196">
          <cell r="B1196" t="str">
            <v>9151</v>
          </cell>
          <cell r="C1196" t="str">
            <v>#</v>
          </cell>
          <cell r="D1196" t="str">
            <v>(株)泰和製作所</v>
          </cell>
          <cell r="F1196" t="str">
            <v>代表取締役社長</v>
          </cell>
          <cell r="G1196" t="str">
            <v>細田　和孝</v>
          </cell>
          <cell r="H1196">
            <v>10</v>
          </cell>
          <cell r="I1196">
            <v>150</v>
          </cell>
          <cell r="J1196" t="str">
            <v>230</v>
          </cell>
          <cell r="K1196" t="str">
            <v>横浜市鶴見区駒岡町492-1</v>
          </cell>
          <cell r="L1196" t="str">
            <v xml:space="preserve"> </v>
          </cell>
          <cell r="M1196" t="str">
            <v>045-573-7766</v>
          </cell>
          <cell r="N1196" t="str">
            <v>/</v>
          </cell>
          <cell r="O1196" t="str">
            <v>製缶・加工業</v>
          </cell>
          <cell r="Q1196" t="str">
            <v xml:space="preserve"> </v>
          </cell>
          <cell r="T1196" t="str">
            <v>ﾀｲﾜｾｲｻｸｼｮ</v>
          </cell>
          <cell r="V1196" t="str">
            <v>30</v>
          </cell>
        </row>
        <row r="1197">
          <cell r="B1197" t="str">
            <v>9158</v>
          </cell>
          <cell r="C1197" t="str">
            <v>#</v>
          </cell>
          <cell r="D1197" t="str">
            <v>ダイキンプラント(株)</v>
          </cell>
          <cell r="F1197" t="str">
            <v>取締役社長</v>
          </cell>
          <cell r="G1197" t="str">
            <v>下茂  忍</v>
          </cell>
          <cell r="H1197">
            <v>300</v>
          </cell>
          <cell r="I1197">
            <v>290</v>
          </cell>
          <cell r="J1197" t="str">
            <v>531</v>
          </cell>
          <cell r="K1197" t="str">
            <v>大阪市大淀区中津本通1-2</v>
          </cell>
          <cell r="L1197" t="str">
            <v>ホーコクビル3F</v>
          </cell>
          <cell r="M1197" t="str">
            <v xml:space="preserve">06-372-5171 </v>
          </cell>
          <cell r="N1197" t="str">
            <v>/</v>
          </cell>
          <cell r="O1197" t="str">
            <v>空調設備</v>
          </cell>
          <cell r="Q1197" t="str">
            <v xml:space="preserve"> </v>
          </cell>
          <cell r="R1197" t="str">
            <v>□</v>
          </cell>
          <cell r="T1197" t="str">
            <v>ﾀﾞｲｷﾝﾌﾟﾗﾝﾄ</v>
          </cell>
          <cell r="V1197" t="str">
            <v>30</v>
          </cell>
        </row>
        <row r="1198">
          <cell r="B1198" t="str">
            <v>9158</v>
          </cell>
          <cell r="C1198" t="str">
            <v>A</v>
          </cell>
          <cell r="D1198" t="str">
            <v>ダイキンプラント(株)</v>
          </cell>
          <cell r="E1198" t="str">
            <v>東京支社</v>
          </cell>
          <cell r="F1198" t="str">
            <v>取締役副社長</v>
          </cell>
          <cell r="G1198" t="str">
            <v>宮本　三郎</v>
          </cell>
          <cell r="J1198" t="str">
            <v>103</v>
          </cell>
          <cell r="K1198" t="str">
            <v>中央区日本橋本町3-5-11</v>
          </cell>
          <cell r="L1198" t="str">
            <v xml:space="preserve"> </v>
          </cell>
          <cell r="M1198" t="str">
            <v>03-3242-5523</v>
          </cell>
          <cell r="N1198" t="str">
            <v>/3270-0377</v>
          </cell>
          <cell r="O1198" t="str">
            <v>空調設備</v>
          </cell>
          <cell r="Q1198" t="str">
            <v xml:space="preserve"> </v>
          </cell>
          <cell r="T1198" t="str">
            <v>ﾀﾞｲｷﾝﾌﾟﾗﾝﾄ</v>
          </cell>
          <cell r="V1198" t="str">
            <v>30</v>
          </cell>
        </row>
        <row r="1199">
          <cell r="B1199" t="str">
            <v>9160</v>
          </cell>
          <cell r="C1199" t="str">
            <v>#</v>
          </cell>
          <cell r="D1199" t="str">
            <v>ABBｲﾝﾀﾞｽﾄﾘｰ(株)</v>
          </cell>
          <cell r="F1199" t="str">
            <v>代表取締役社長</v>
          </cell>
          <cell r="G1199" t="str">
            <v>鈴木  勇</v>
          </cell>
          <cell r="H1199">
            <v>300</v>
          </cell>
          <cell r="I1199">
            <v>107</v>
          </cell>
          <cell r="J1199" t="str">
            <v>107</v>
          </cell>
          <cell r="K1199" t="str">
            <v>港区赤坂5-2-39</v>
          </cell>
          <cell r="L1199" t="str">
            <v>円通寺ガデリウスビル</v>
          </cell>
          <cell r="M1199" t="str">
            <v>03-5563-8663</v>
          </cell>
          <cell r="N1199" t="str">
            <v>/5563-8613</v>
          </cell>
          <cell r="O1199" t="str">
            <v>電気炉及びその関連機器</v>
          </cell>
          <cell r="Q1199" t="str">
            <v xml:space="preserve"> </v>
          </cell>
          <cell r="T1199" t="str">
            <v>ｴｰﾋﾞｰﾋﾞｰｲﾝﾀﾞｽﾄﾘｰ</v>
          </cell>
          <cell r="V1199" t="str">
            <v>30</v>
          </cell>
        </row>
        <row r="1200">
          <cell r="B1200" t="str">
            <v>9161</v>
          </cell>
          <cell r="C1200" t="str">
            <v>#</v>
          </cell>
          <cell r="D1200" t="str">
            <v>(株)松嶋造園土木</v>
          </cell>
          <cell r="F1200" t="str">
            <v>代表取締役</v>
          </cell>
          <cell r="G1200" t="str">
            <v>跡部　清</v>
          </cell>
          <cell r="H1200">
            <v>10</v>
          </cell>
          <cell r="I1200">
            <v>30</v>
          </cell>
          <cell r="J1200" t="str">
            <v>252</v>
          </cell>
          <cell r="K1200" t="str">
            <v>藤沢市円行2-18-2</v>
          </cell>
          <cell r="L1200" t="str">
            <v xml:space="preserve"> </v>
          </cell>
          <cell r="M1200" t="str">
            <v>0466-45-8285</v>
          </cell>
          <cell r="N1200" t="str">
            <v>/</v>
          </cell>
          <cell r="O1200" t="str">
            <v>緑化工事</v>
          </cell>
          <cell r="Q1200" t="str">
            <v xml:space="preserve"> </v>
          </cell>
          <cell r="T1200" t="str">
            <v>ﾏﾂｼﾏｿﾞｳｴﾝﾄﾞﾎﾞｸ</v>
          </cell>
          <cell r="V1200" t="str">
            <v>30</v>
          </cell>
        </row>
        <row r="1201">
          <cell r="B1201" t="str">
            <v>9163</v>
          </cell>
          <cell r="C1201" t="str">
            <v>#</v>
          </cell>
          <cell r="D1201" t="str">
            <v>樫山工業(株)</v>
          </cell>
          <cell r="F1201" t="str">
            <v>取締役社長</v>
          </cell>
          <cell r="G1201" t="str">
            <v>樫山　宏</v>
          </cell>
          <cell r="H1201">
            <v>84</v>
          </cell>
          <cell r="I1201">
            <v>170</v>
          </cell>
          <cell r="J1201" t="str">
            <v>166</v>
          </cell>
          <cell r="K1201" t="str">
            <v>杉並区高円寺南1-32-3</v>
          </cell>
          <cell r="L1201" t="str">
            <v xml:space="preserve"> </v>
          </cell>
          <cell r="M1201" t="str">
            <v>03-3314-5521</v>
          </cell>
          <cell r="N1201" t="str">
            <v>/</v>
          </cell>
          <cell r="O1201" t="str">
            <v>海水ポンプ</v>
          </cell>
          <cell r="P1201" t="str">
            <v>▽</v>
          </cell>
          <cell r="Q1201" t="str">
            <v xml:space="preserve"> </v>
          </cell>
          <cell r="T1201" t="str">
            <v>ｶｼﾔﾏｺｳｷﾞｮｳ</v>
          </cell>
          <cell r="V1201" t="str">
            <v>51</v>
          </cell>
        </row>
        <row r="1202">
          <cell r="B1202" t="str">
            <v>9163</v>
          </cell>
          <cell r="C1202" t="str">
            <v>A</v>
          </cell>
          <cell r="D1202" t="str">
            <v>樫山工業(株)</v>
          </cell>
          <cell r="E1202" t="str">
            <v>長野営業所</v>
          </cell>
          <cell r="J1202" t="str">
            <v>385</v>
          </cell>
          <cell r="K1202" t="str">
            <v>佐久市根々井15-10</v>
          </cell>
          <cell r="L1202" t="str">
            <v xml:space="preserve"> </v>
          </cell>
          <cell r="M1202" t="str">
            <v>0267-67-3311</v>
          </cell>
          <cell r="N1202" t="str">
            <v>/68-7277</v>
          </cell>
          <cell r="P1202" t="str">
            <v>▽</v>
          </cell>
          <cell r="Q1202" t="str">
            <v xml:space="preserve"> </v>
          </cell>
          <cell r="T1202" t="str">
            <v>ｶｼﾔﾏｺｳｷﾞｮｳ</v>
          </cell>
          <cell r="V1202" t="str">
            <v>51</v>
          </cell>
        </row>
        <row r="1203">
          <cell r="B1203" t="str">
            <v>9164</v>
          </cell>
          <cell r="C1203" t="str">
            <v>#</v>
          </cell>
          <cell r="D1203" t="str">
            <v>東京エレクトロン(株)</v>
          </cell>
          <cell r="F1203" t="str">
            <v>代表取締役</v>
          </cell>
          <cell r="G1203" t="str">
            <v>井上  皓</v>
          </cell>
          <cell r="H1203">
            <v>29867</v>
          </cell>
          <cell r="I1203">
            <v>1530</v>
          </cell>
          <cell r="J1203" t="str">
            <v>107</v>
          </cell>
          <cell r="K1203" t="str">
            <v>港区赤坂5-3-6</v>
          </cell>
          <cell r="L1203" t="str">
            <v>TBS放送ｾﾝﾀｰ</v>
          </cell>
          <cell r="M1203" t="str">
            <v>03-5561-7000</v>
          </cell>
          <cell r="N1203" t="str">
            <v>/</v>
          </cell>
          <cell r="O1203" t="str">
            <v>騒音解析装置</v>
          </cell>
          <cell r="Q1203" t="str">
            <v xml:space="preserve"> </v>
          </cell>
          <cell r="T1203" t="str">
            <v>ﾄｳｷｮｳｴﾚｸﾄﾛﾝ</v>
          </cell>
          <cell r="V1203" t="str">
            <v>30</v>
          </cell>
        </row>
        <row r="1204">
          <cell r="B1204" t="str">
            <v>9164</v>
          </cell>
          <cell r="C1204" t="str">
            <v>A</v>
          </cell>
          <cell r="D1204" t="str">
            <v>東京エレクトロン(株)</v>
          </cell>
          <cell r="E1204" t="str">
            <v>経営管理部</v>
          </cell>
          <cell r="J1204" t="str">
            <v>183</v>
          </cell>
          <cell r="K1204" t="str">
            <v>府中市住吉町2-30-7</v>
          </cell>
          <cell r="L1204" t="str">
            <v/>
          </cell>
          <cell r="M1204" t="str">
            <v>0423-33-8078</v>
          </cell>
          <cell r="N1204" t="str">
            <v>/33-8481</v>
          </cell>
          <cell r="O1204" t="str">
            <v>騒音解析装置</v>
          </cell>
          <cell r="T1204" t="str">
            <v>ﾄｳｷｮｳｴﾚｸﾄﾛﾝ</v>
          </cell>
          <cell r="V1204" t="str">
            <v>30</v>
          </cell>
        </row>
        <row r="1205">
          <cell r="B1205" t="str">
            <v>9166</v>
          </cell>
          <cell r="C1205" t="str">
            <v>#</v>
          </cell>
          <cell r="D1205" t="str">
            <v>ｴﾇ･ｲｰ ｹﾑｷｬｯﾄ(株)</v>
          </cell>
          <cell r="F1205" t="str">
            <v>代表取締役社長</v>
          </cell>
          <cell r="G1205" t="str">
            <v>千葉  忠男</v>
          </cell>
          <cell r="H1205">
            <v>3423.5</v>
          </cell>
          <cell r="I1205">
            <v>449</v>
          </cell>
          <cell r="J1205" t="str">
            <v>105</v>
          </cell>
          <cell r="K1205" t="str">
            <v>港区浜松町2-4-1</v>
          </cell>
          <cell r="L1205" t="str">
            <v/>
          </cell>
          <cell r="M1205" t="str">
            <v>03-3435-5495</v>
          </cell>
          <cell r="N1205" t="str">
            <v>/3435-5434</v>
          </cell>
          <cell r="O1205" t="str">
            <v>自動車用排ガス触媒</v>
          </cell>
          <cell r="T1205" t="str">
            <v>ｴﾇｲｰｹﾑｷｬｯﾄ</v>
          </cell>
          <cell r="V1205" t="str">
            <v>51</v>
          </cell>
        </row>
        <row r="1206">
          <cell r="B1206" t="str">
            <v>9175</v>
          </cell>
          <cell r="C1206" t="str">
            <v>#</v>
          </cell>
          <cell r="D1206" t="str">
            <v>大同ほくさん(株)</v>
          </cell>
          <cell r="F1206" t="str">
            <v>代表取締役社長</v>
          </cell>
          <cell r="G1206" t="str">
            <v>水島  茂</v>
          </cell>
          <cell r="H1206">
            <v>11720</v>
          </cell>
          <cell r="I1206">
            <v>1753</v>
          </cell>
          <cell r="J1206" t="str">
            <v>060</v>
          </cell>
          <cell r="K1206" t="str">
            <v>札幌市中央区北3条西1-2</v>
          </cell>
          <cell r="L1206" t="str">
            <v xml:space="preserve"> </v>
          </cell>
          <cell r="M1206" t="str">
            <v>011-212-2821</v>
          </cell>
          <cell r="N1206" t="str">
            <v>/232-3964</v>
          </cell>
          <cell r="O1206" t="str">
            <v>高圧ガス・L.P.G.</v>
          </cell>
          <cell r="Q1206" t="str">
            <v xml:space="preserve"> </v>
          </cell>
          <cell r="R1206" t="str">
            <v>□</v>
          </cell>
          <cell r="T1206" t="str">
            <v xml:space="preserve">ﾀﾞｲﾄﾞｳﾎｸｻﾝ </v>
          </cell>
          <cell r="V1206" t="str">
            <v>15</v>
          </cell>
        </row>
        <row r="1207">
          <cell r="B1207" t="str">
            <v>9175</v>
          </cell>
          <cell r="C1207" t="str">
            <v>A</v>
          </cell>
          <cell r="D1207" t="str">
            <v>(株)ほくさん</v>
          </cell>
          <cell r="E1207" t="str">
            <v>苫小牧事業所</v>
          </cell>
          <cell r="F1207" t="str">
            <v>所長</v>
          </cell>
          <cell r="G1207" t="str">
            <v>梶原　克己</v>
          </cell>
          <cell r="J1207" t="str">
            <v>053</v>
          </cell>
          <cell r="K1207" t="str">
            <v>苫小牧市新中野町3-9-1</v>
          </cell>
          <cell r="L1207" t="str">
            <v xml:space="preserve"> </v>
          </cell>
          <cell r="M1207" t="str">
            <v>0144-34-5111</v>
          </cell>
          <cell r="N1207" t="str">
            <v>/</v>
          </cell>
          <cell r="O1207" t="str">
            <v>熔接棒･L.P.G.</v>
          </cell>
          <cell r="Q1207" t="str">
            <v xml:space="preserve"> </v>
          </cell>
          <cell r="T1207" t="str">
            <v xml:space="preserve">ﾀﾞｲﾄﾞｳﾎｸｻﾝ </v>
          </cell>
          <cell r="V1207" t="str">
            <v>15</v>
          </cell>
        </row>
        <row r="1208">
          <cell r="B1208" t="str">
            <v>9176</v>
          </cell>
          <cell r="C1208" t="str">
            <v>#</v>
          </cell>
          <cell r="D1208" t="str">
            <v>三陽商事(株)</v>
          </cell>
          <cell r="F1208" t="str">
            <v>取締役社長</v>
          </cell>
          <cell r="G1208" t="str">
            <v>光　　和男</v>
          </cell>
          <cell r="H1208">
            <v>48</v>
          </cell>
          <cell r="I1208">
            <v>53</v>
          </cell>
          <cell r="J1208" t="str">
            <v>564</v>
          </cell>
          <cell r="K1208" t="str">
            <v>吹田市南金田2-29-2</v>
          </cell>
          <cell r="L1208" t="str">
            <v xml:space="preserve"> </v>
          </cell>
          <cell r="M1208" t="str">
            <v xml:space="preserve">06-384-1212 </v>
          </cell>
          <cell r="N1208" t="str">
            <v>/</v>
          </cell>
          <cell r="O1208" t="str">
            <v>遠心クラッチ</v>
          </cell>
          <cell r="Q1208" t="str">
            <v xml:space="preserve"> </v>
          </cell>
          <cell r="T1208" t="str">
            <v>ｻﾝﾖｳｼｮｳｼﾞ</v>
          </cell>
          <cell r="V1208" t="str">
            <v>51</v>
          </cell>
        </row>
        <row r="1209">
          <cell r="B1209" t="str">
            <v>9176</v>
          </cell>
          <cell r="C1209" t="str">
            <v>A</v>
          </cell>
          <cell r="D1209" t="str">
            <v>三陽商事(株)</v>
          </cell>
          <cell r="E1209" t="str">
            <v>東京営業所</v>
          </cell>
          <cell r="J1209" t="str">
            <v>108</v>
          </cell>
          <cell r="K1209" t="str">
            <v>港区芝4-9-3</v>
          </cell>
          <cell r="L1209" t="str">
            <v>芝石井ビル</v>
          </cell>
          <cell r="M1209" t="str">
            <v>03-3769-3434</v>
          </cell>
          <cell r="N1209" t="str">
            <v>/3769-1033</v>
          </cell>
          <cell r="O1209" t="str">
            <v>遠心クラッチ</v>
          </cell>
          <cell r="Q1209" t="str">
            <v xml:space="preserve"> </v>
          </cell>
          <cell r="T1209" t="str">
            <v>ｻﾝﾖｳｼｮｳｼﾞ</v>
          </cell>
          <cell r="V1209" t="str">
            <v>51</v>
          </cell>
        </row>
        <row r="1210">
          <cell r="B1210" t="str">
            <v>9177</v>
          </cell>
          <cell r="C1210" t="str">
            <v>#</v>
          </cell>
          <cell r="D1210" t="str">
            <v>明和商工(株)</v>
          </cell>
          <cell r="F1210" t="str">
            <v>代表取締役</v>
          </cell>
          <cell r="G1210" t="str">
            <v>中山　浅次</v>
          </cell>
          <cell r="H1210">
            <v>10</v>
          </cell>
          <cell r="I1210">
            <v>65</v>
          </cell>
          <cell r="J1210" t="str">
            <v>105</v>
          </cell>
          <cell r="K1210" t="str">
            <v>港区新橋2-12-16</v>
          </cell>
          <cell r="L1210" t="str">
            <v xml:space="preserve"> </v>
          </cell>
          <cell r="M1210" t="str">
            <v>03-3502-2281</v>
          </cell>
          <cell r="N1210" t="str">
            <v>/</v>
          </cell>
          <cell r="O1210" t="str">
            <v>ベアリング</v>
          </cell>
          <cell r="Q1210" t="str">
            <v xml:space="preserve"> </v>
          </cell>
          <cell r="T1210" t="str">
            <v>ﾒｲﾜｼｮｳｺｳ</v>
          </cell>
          <cell r="V1210" t="str">
            <v>30</v>
          </cell>
        </row>
        <row r="1211">
          <cell r="B1211" t="str">
            <v>9177</v>
          </cell>
          <cell r="C1211" t="str">
            <v>A</v>
          </cell>
          <cell r="D1211" t="str">
            <v>明和商工(株)</v>
          </cell>
          <cell r="E1211" t="str">
            <v>大森営業所</v>
          </cell>
          <cell r="J1211" t="str">
            <v>143</v>
          </cell>
          <cell r="K1211" t="str">
            <v>大田区東馬込1-10-19</v>
          </cell>
          <cell r="L1211" t="str">
            <v xml:space="preserve"> </v>
          </cell>
          <cell r="M1211" t="str">
            <v>03-3775-5511</v>
          </cell>
          <cell r="N1211" t="str">
            <v>/</v>
          </cell>
          <cell r="O1211" t="str">
            <v>ベアリング</v>
          </cell>
          <cell r="Q1211" t="str">
            <v xml:space="preserve"> </v>
          </cell>
          <cell r="T1211" t="str">
            <v>ﾒｲﾜｼｮｳｺｳ</v>
          </cell>
          <cell r="V1211" t="str">
            <v>30</v>
          </cell>
        </row>
        <row r="1212">
          <cell r="B1212" t="str">
            <v>9178</v>
          </cell>
          <cell r="C1212" t="str">
            <v>#</v>
          </cell>
          <cell r="D1212" t="str">
            <v>東部ネットワーク(株)</v>
          </cell>
          <cell r="F1212" t="str">
            <v>代表取締役</v>
          </cell>
          <cell r="G1212" t="str">
            <v>牧    昇一郎</v>
          </cell>
          <cell r="H1212">
            <v>144</v>
          </cell>
          <cell r="I1212">
            <v>361</v>
          </cell>
          <cell r="J1212" t="str">
            <v>221</v>
          </cell>
          <cell r="K1212" t="str">
            <v>横浜市神奈川区栄町2-9</v>
          </cell>
          <cell r="L1212" t="str">
            <v xml:space="preserve"> </v>
          </cell>
          <cell r="M1212" t="str">
            <v>045-453-1772</v>
          </cell>
          <cell r="N1212" t="str">
            <v>/453-3996</v>
          </cell>
          <cell r="O1212" t="str">
            <v>白灯油･LSA重油</v>
          </cell>
          <cell r="Q1212" t="str">
            <v xml:space="preserve"> </v>
          </cell>
          <cell r="T1212" t="str">
            <v>ﾄｳﾌﾞﾈｯﾄﾜｰｸ</v>
          </cell>
          <cell r="V1212" t="str">
            <v>15</v>
          </cell>
        </row>
        <row r="1213">
          <cell r="B1213" t="str">
            <v>9181</v>
          </cell>
          <cell r="C1213" t="str">
            <v>#</v>
          </cell>
          <cell r="D1213" t="str">
            <v xml:space="preserve">萩原電気(株) </v>
          </cell>
          <cell r="F1213" t="str">
            <v>東京支店長</v>
          </cell>
          <cell r="G1213" t="str">
            <v>河合  富雄</v>
          </cell>
          <cell r="H1213">
            <v>366</v>
          </cell>
          <cell r="I1213">
            <v>510</v>
          </cell>
          <cell r="J1213" t="str">
            <v>160</v>
          </cell>
          <cell r="K1213" t="str">
            <v>新宿区新宿5-11-4</v>
          </cell>
          <cell r="L1213" t="str">
            <v>姫路ビル4F</v>
          </cell>
          <cell r="M1213" t="str">
            <v>03-3350-8221</v>
          </cell>
          <cell r="N1213" t="str">
            <v>/3350-8227</v>
          </cell>
          <cell r="O1213" t="str">
            <v>通信機器 制御機器</v>
          </cell>
          <cell r="Q1213" t="str">
            <v xml:space="preserve"> </v>
          </cell>
          <cell r="R1213" t="str">
            <v>□</v>
          </cell>
          <cell r="T1213" t="str">
            <v>ﾊｷﾞﾜﾗﾃﾞﾝｷ</v>
          </cell>
          <cell r="V1213" t="str">
            <v>30</v>
          </cell>
        </row>
        <row r="1214">
          <cell r="B1214" t="str">
            <v>9182</v>
          </cell>
          <cell r="C1214" t="str">
            <v>#</v>
          </cell>
          <cell r="D1214" t="str">
            <v>三和ﾊﾟｯｷﾝｸﾞ工業(株)</v>
          </cell>
          <cell r="F1214" t="str">
            <v>取締役社長</v>
          </cell>
          <cell r="G1214" t="str">
            <v>足立　一郎</v>
          </cell>
          <cell r="H1214" t="str">
            <v xml:space="preserve">  99.6</v>
          </cell>
          <cell r="I1214">
            <v>240</v>
          </cell>
          <cell r="J1214" t="str">
            <v>561</v>
          </cell>
          <cell r="K1214" t="str">
            <v>豊中市利倉2-18-5</v>
          </cell>
          <cell r="L1214" t="str">
            <v xml:space="preserve"> </v>
          </cell>
          <cell r="M1214" t="str">
            <v xml:space="preserve">06-863-0761 </v>
          </cell>
          <cell r="N1214" t="str">
            <v>/863-0769</v>
          </cell>
          <cell r="O1214" t="str">
            <v>ｶﾞｽｹｯﾄ､ﾊﾟｯｷﾝ</v>
          </cell>
          <cell r="P1214" t="str">
            <v>▽</v>
          </cell>
          <cell r="Q1214" t="str">
            <v xml:space="preserve"> </v>
          </cell>
          <cell r="T1214" t="str">
            <v>ｻﾝﾜﾊﾟｯｷﾝｸﾞｺｳｷﾞｮｳ</v>
          </cell>
          <cell r="V1214" t="str">
            <v>51</v>
          </cell>
        </row>
        <row r="1215">
          <cell r="B1215" t="str">
            <v>9183</v>
          </cell>
          <cell r="C1215" t="str">
            <v>#</v>
          </cell>
          <cell r="D1215" t="str">
            <v>(株)コーディックス</v>
          </cell>
          <cell r="F1215" t="str">
            <v>代表取締役</v>
          </cell>
          <cell r="G1215" t="str">
            <v>水井　健二</v>
          </cell>
          <cell r="H1215">
            <v>320</v>
          </cell>
          <cell r="I1215">
            <v>50</v>
          </cell>
          <cell r="J1215" t="str">
            <v>105</v>
          </cell>
          <cell r="K1215" t="str">
            <v>港区海岸1-9-15</v>
          </cell>
          <cell r="L1215" t="str">
            <v>竹芝ビル2F</v>
          </cell>
          <cell r="M1215" t="str">
            <v>03-3436-6146</v>
          </cell>
          <cell r="N1215" t="str">
            <v>/</v>
          </cell>
          <cell r="O1215" t="str">
            <v>圧力変換機</v>
          </cell>
          <cell r="Q1215" t="str">
            <v xml:space="preserve"> </v>
          </cell>
          <cell r="T1215" t="str">
            <v>ｺｰﾃﾞｨｯｸｽ</v>
          </cell>
          <cell r="V1215" t="str">
            <v>30</v>
          </cell>
        </row>
        <row r="1216">
          <cell r="B1216" t="str">
            <v>9184</v>
          </cell>
          <cell r="C1216" t="str">
            <v>#</v>
          </cell>
          <cell r="D1216" t="str">
            <v>(株)サム電子機械</v>
          </cell>
          <cell r="F1216" t="str">
            <v>代表取締役</v>
          </cell>
          <cell r="G1216" t="str">
            <v>加藤  寿一</v>
          </cell>
          <cell r="H1216">
            <v>80</v>
          </cell>
          <cell r="I1216">
            <v>36</v>
          </cell>
          <cell r="J1216" t="str">
            <v>181</v>
          </cell>
          <cell r="K1216" t="str">
            <v>三鷹市下連雀8-9-20</v>
          </cell>
          <cell r="L1216" t="str">
            <v xml:space="preserve"> </v>
          </cell>
          <cell r="M1216" t="str">
            <v>0422-46-7211</v>
          </cell>
          <cell r="N1216" t="str">
            <v>/46-7217</v>
          </cell>
          <cell r="O1216" t="str">
            <v>測定器</v>
          </cell>
          <cell r="Q1216" t="str">
            <v xml:space="preserve"> </v>
          </cell>
          <cell r="T1216" t="str">
            <v>ｻﾑﾃﾞﾝｼｷｶｲ</v>
          </cell>
          <cell r="V1216" t="str">
            <v>30</v>
          </cell>
        </row>
        <row r="1217">
          <cell r="B1217" t="str">
            <v>9187</v>
          </cell>
          <cell r="C1217" t="str">
            <v>#</v>
          </cell>
          <cell r="D1217" t="str">
            <v>岩倉建設(株)</v>
          </cell>
          <cell r="F1217" t="str">
            <v>取締役社長</v>
          </cell>
          <cell r="G1217" t="str">
            <v>二瓶　好美</v>
          </cell>
          <cell r="H1217">
            <v>280</v>
          </cell>
          <cell r="I1217">
            <v>350</v>
          </cell>
          <cell r="J1217" t="str">
            <v>053</v>
          </cell>
          <cell r="K1217" t="str">
            <v>苫小牧市緑町2-7-21</v>
          </cell>
          <cell r="L1217" t="str">
            <v xml:space="preserve"> </v>
          </cell>
          <cell r="M1217" t="str">
            <v>0144-34-4191</v>
          </cell>
          <cell r="N1217" t="str">
            <v>/</v>
          </cell>
          <cell r="O1217" t="str">
            <v>総合建設業</v>
          </cell>
          <cell r="Q1217" t="str">
            <v xml:space="preserve"> </v>
          </cell>
          <cell r="T1217" t="str">
            <v>ｲﾜｸﾗｹﾝｾﾂ</v>
          </cell>
          <cell r="V1217" t="str">
            <v>30</v>
          </cell>
        </row>
        <row r="1218">
          <cell r="B1218" t="str">
            <v>9187</v>
          </cell>
          <cell r="C1218" t="str">
            <v>A</v>
          </cell>
          <cell r="D1218" t="str">
            <v>岩倉建設(株)</v>
          </cell>
          <cell r="E1218" t="str">
            <v>東京支社営業部</v>
          </cell>
          <cell r="J1218" t="str">
            <v>101</v>
          </cell>
          <cell r="K1218" t="str">
            <v>千代田神田須日町1-12</v>
          </cell>
          <cell r="L1218" t="str">
            <v/>
          </cell>
          <cell r="M1218" t="str">
            <v>03-3252-1976</v>
          </cell>
          <cell r="N1218" t="str">
            <v>/3252-3710</v>
          </cell>
          <cell r="O1218" t="str">
            <v>総合建設業</v>
          </cell>
          <cell r="T1218" t="str">
            <v>ｲﾜｸﾗｹﾝｾﾂ</v>
          </cell>
          <cell r="V1218" t="str">
            <v>30</v>
          </cell>
        </row>
        <row r="1219">
          <cell r="B1219" t="str">
            <v>9190</v>
          </cell>
          <cell r="C1219" t="str">
            <v>#</v>
          </cell>
          <cell r="D1219" t="str">
            <v>(株)ウメムラ</v>
          </cell>
          <cell r="F1219" t="str">
            <v>代表取締役社長</v>
          </cell>
          <cell r="G1219" t="str">
            <v>梅村　和弘</v>
          </cell>
          <cell r="H1219">
            <v>45</v>
          </cell>
          <cell r="I1219">
            <v>83</v>
          </cell>
          <cell r="J1219" t="str">
            <v>460</v>
          </cell>
          <cell r="K1219" t="str">
            <v>名古屋市中区正木3-2-1</v>
          </cell>
          <cell r="L1219" t="str">
            <v xml:space="preserve"> </v>
          </cell>
          <cell r="M1219" t="str">
            <v>052-323-0555</v>
          </cell>
          <cell r="N1219" t="str">
            <v>/</v>
          </cell>
          <cell r="O1219" t="str">
            <v>鋼製パレット</v>
          </cell>
          <cell r="Q1219" t="str">
            <v xml:space="preserve"> </v>
          </cell>
          <cell r="T1219" t="str">
            <v>ｳﾒﾑﾗ</v>
          </cell>
          <cell r="V1219" t="str">
            <v>30</v>
          </cell>
        </row>
        <row r="1220">
          <cell r="B1220" t="str">
            <v>9190</v>
          </cell>
          <cell r="C1220" t="str">
            <v>A</v>
          </cell>
          <cell r="D1220" t="str">
            <v>(株)ウメムラ</v>
          </cell>
          <cell r="E1220" t="str">
            <v>東京営業所</v>
          </cell>
          <cell r="J1220" t="str">
            <v>231</v>
          </cell>
          <cell r="K1220" t="str">
            <v>横浜市中区住吉町6-78</v>
          </cell>
          <cell r="L1220" t="str">
            <v>大清ビル</v>
          </cell>
          <cell r="M1220" t="str">
            <v>045-662-8661</v>
          </cell>
          <cell r="N1220" t="str">
            <v>/</v>
          </cell>
          <cell r="O1220" t="str">
            <v>ボックスパレット</v>
          </cell>
          <cell r="Q1220" t="str">
            <v xml:space="preserve"> </v>
          </cell>
          <cell r="T1220" t="str">
            <v>ｳﾒﾑﾗ</v>
          </cell>
          <cell r="V1220" t="str">
            <v>30</v>
          </cell>
        </row>
        <row r="1221">
          <cell r="B1221" t="str">
            <v>9194</v>
          </cell>
          <cell r="C1221" t="str">
            <v>#</v>
          </cell>
          <cell r="D1221" t="str">
            <v>(株)きんでん</v>
          </cell>
          <cell r="F1221" t="str">
            <v>取締役社長</v>
          </cell>
          <cell r="G1221" t="str">
            <v xml:space="preserve"> 岡   泰造</v>
          </cell>
          <cell r="H1221">
            <v>26280</v>
          </cell>
          <cell r="I1221">
            <v>9340</v>
          </cell>
          <cell r="J1221" t="str">
            <v>531</v>
          </cell>
          <cell r="K1221" t="str">
            <v>大阪市北区本庄東2-3-41</v>
          </cell>
          <cell r="L1221" t="str">
            <v xml:space="preserve"> </v>
          </cell>
          <cell r="M1221" t="str">
            <v xml:space="preserve">06-375-6000 </v>
          </cell>
          <cell r="N1221" t="str">
            <v>/375-6377</v>
          </cell>
          <cell r="O1221" t="str">
            <v>電気通信工事</v>
          </cell>
          <cell r="Q1221" t="str">
            <v xml:space="preserve"> </v>
          </cell>
          <cell r="T1221" t="str">
            <v>ｷﾝﾃﾞﾝ</v>
          </cell>
          <cell r="V1221" t="str">
            <v>30</v>
          </cell>
        </row>
        <row r="1222">
          <cell r="B1222" t="str">
            <v>9194</v>
          </cell>
          <cell r="C1222" t="str">
            <v>A</v>
          </cell>
          <cell r="D1222" t="str">
            <v>(株)きんでん</v>
          </cell>
          <cell r="E1222" t="str">
            <v>東京支社</v>
          </cell>
          <cell r="F1222" t="str">
            <v>取締役副社長   東京本社代表</v>
          </cell>
          <cell r="G1222" t="str">
            <v>倉野  昌夫</v>
          </cell>
          <cell r="J1222" t="str">
            <v>141</v>
          </cell>
          <cell r="K1222" t="str">
            <v>品川区東五反田5-25-12</v>
          </cell>
          <cell r="L1222" t="str">
            <v xml:space="preserve"> </v>
          </cell>
          <cell r="M1222" t="str">
            <v>03-3447-3152</v>
          </cell>
          <cell r="N1222" t="str">
            <v>/3441-7190</v>
          </cell>
          <cell r="O1222" t="str">
            <v>電気通信工事</v>
          </cell>
          <cell r="Q1222" t="str">
            <v xml:space="preserve"> </v>
          </cell>
          <cell r="T1222" t="str">
            <v>ｷﾝﾃﾞﾝ</v>
          </cell>
          <cell r="V1222" t="str">
            <v>30</v>
          </cell>
        </row>
        <row r="1223">
          <cell r="B1223" t="str">
            <v>9196</v>
          </cell>
          <cell r="C1223" t="str">
            <v>#</v>
          </cell>
          <cell r="D1223" t="str">
            <v>門脇建設(株)</v>
          </cell>
          <cell r="F1223" t="str">
            <v>代表取締役社長</v>
          </cell>
          <cell r="G1223" t="str">
            <v>門脇　雅司</v>
          </cell>
          <cell r="H1223">
            <v>20</v>
          </cell>
          <cell r="I1223">
            <v>70</v>
          </cell>
          <cell r="J1223" t="str">
            <v>054</v>
          </cell>
          <cell r="K1223" t="str">
            <v>北海道勇払郡鵡川町字大成町</v>
          </cell>
          <cell r="L1223" t="str">
            <v>1-6</v>
          </cell>
          <cell r="M1223" t="str">
            <v>0144-32-4498</v>
          </cell>
          <cell r="N1223" t="str">
            <v>/32-3807</v>
          </cell>
          <cell r="O1223" t="str">
            <v>土木･建設業</v>
          </cell>
          <cell r="Q1223" t="str">
            <v xml:space="preserve"> </v>
          </cell>
          <cell r="T1223" t="str">
            <v>ｶﾄﾞﾜｷｹﾝｾﾂ</v>
          </cell>
          <cell r="V1223" t="str">
            <v>30</v>
          </cell>
        </row>
        <row r="1224">
          <cell r="B1224" t="str">
            <v>9199</v>
          </cell>
          <cell r="C1224" t="str">
            <v>#</v>
          </cell>
          <cell r="D1224" t="str">
            <v>旭シンクロテック(株)</v>
          </cell>
          <cell r="F1224" t="str">
            <v>代表取締役社長</v>
          </cell>
          <cell r="G1224" t="str">
            <v>吉田　耕二</v>
          </cell>
          <cell r="H1224">
            <v>150</v>
          </cell>
          <cell r="I1224">
            <v>310</v>
          </cell>
          <cell r="J1224" t="str">
            <v>105</v>
          </cell>
          <cell r="K1224" t="str">
            <v>港区芝1-3-8</v>
          </cell>
          <cell r="L1224" t="str">
            <v xml:space="preserve"> </v>
          </cell>
          <cell r="M1224" t="str">
            <v>03-3455-3371</v>
          </cell>
          <cell r="N1224" t="str">
            <v>/3455-3461</v>
          </cell>
          <cell r="O1224" t="str">
            <v>空調衛生設備</v>
          </cell>
          <cell r="Q1224" t="str">
            <v>◎</v>
          </cell>
          <cell r="R1224" t="str">
            <v>□</v>
          </cell>
          <cell r="S1224" t="str">
            <v>☆</v>
          </cell>
          <cell r="T1224" t="str">
            <v>ｱｻﾋｼﾝｸﾛﾃｯｸ</v>
          </cell>
          <cell r="V1224" t="str">
            <v>30</v>
          </cell>
        </row>
        <row r="1225">
          <cell r="B1225" t="str">
            <v>9202</v>
          </cell>
          <cell r="C1225" t="str">
            <v>#</v>
          </cell>
          <cell r="D1225" t="str">
            <v>ルードルフ商会(株)</v>
          </cell>
          <cell r="F1225" t="str">
            <v>代表取締役社長</v>
          </cell>
          <cell r="G1225" t="str">
            <v>ﾖｱﾋﾑ･ﾙｰﾄﾞﾙﾌ</v>
          </cell>
          <cell r="H1225">
            <v>120</v>
          </cell>
          <cell r="I1225">
            <v>35</v>
          </cell>
          <cell r="J1225" t="str">
            <v>562</v>
          </cell>
          <cell r="K1225" t="str">
            <v>箕面市今宮3-11-32</v>
          </cell>
          <cell r="L1225" t="str">
            <v xml:space="preserve"> </v>
          </cell>
          <cell r="M1225" t="str">
            <v>0727-29-4831</v>
          </cell>
          <cell r="N1225" t="str">
            <v>/</v>
          </cell>
          <cell r="O1225" t="str">
            <v>輸入機械</v>
          </cell>
          <cell r="Q1225" t="str">
            <v xml:space="preserve"> </v>
          </cell>
          <cell r="T1225" t="str">
            <v>ﾙｰﾄﾞﾙﾌｼｮｳｶｲ</v>
          </cell>
          <cell r="V1225" t="str">
            <v>30</v>
          </cell>
        </row>
        <row r="1226">
          <cell r="B1226" t="str">
            <v>9202</v>
          </cell>
          <cell r="C1226" t="str">
            <v>A</v>
          </cell>
          <cell r="D1226" t="str">
            <v>ルードルフ商会(株)</v>
          </cell>
          <cell r="E1226" t="str">
            <v>東京営業所</v>
          </cell>
          <cell r="J1226" t="str">
            <v>160</v>
          </cell>
          <cell r="K1226" t="str">
            <v>新宿区西新宿6-12-6</v>
          </cell>
          <cell r="L1226" t="str">
            <v>コアロード西新宿ビル</v>
          </cell>
          <cell r="M1226" t="str">
            <v>03-3342-6360</v>
          </cell>
          <cell r="N1226" t="str">
            <v>/</v>
          </cell>
          <cell r="O1226" t="str">
            <v>輸入機械</v>
          </cell>
          <cell r="Q1226" t="str">
            <v xml:space="preserve"> </v>
          </cell>
          <cell r="T1226" t="str">
            <v>ﾙｰﾄﾞﾙﾌｼｮｳｶｲ</v>
          </cell>
          <cell r="V1226" t="str">
            <v>30</v>
          </cell>
        </row>
        <row r="1227">
          <cell r="B1227" t="str">
            <v>9203</v>
          </cell>
          <cell r="C1227" t="str">
            <v>#</v>
          </cell>
          <cell r="D1227" t="str">
            <v>駿河ダイテック(株)</v>
          </cell>
          <cell r="F1227" t="str">
            <v>代表取締役</v>
          </cell>
          <cell r="G1227" t="str">
            <v>鈴木　光一</v>
          </cell>
          <cell r="H1227">
            <v>27</v>
          </cell>
          <cell r="I1227">
            <v>50</v>
          </cell>
          <cell r="J1227" t="str">
            <v>417</v>
          </cell>
          <cell r="K1227" t="str">
            <v>富士市依田橋上三条105-2</v>
          </cell>
          <cell r="L1227" t="str">
            <v xml:space="preserve"> </v>
          </cell>
          <cell r="M1227" t="str">
            <v>0545-53-5505</v>
          </cell>
          <cell r="N1227" t="str">
            <v>/</v>
          </cell>
          <cell r="O1227" t="str">
            <v>金型</v>
          </cell>
          <cell r="P1227" t="str">
            <v>▽</v>
          </cell>
          <cell r="Q1227" t="str">
            <v xml:space="preserve"> </v>
          </cell>
          <cell r="T1227" t="str">
            <v>ｽﾙｶﾞﾀﾞｲﾃｯｸ</v>
          </cell>
          <cell r="V1227" t="str">
            <v>30</v>
          </cell>
        </row>
        <row r="1228">
          <cell r="B1228" t="str">
            <v>9205</v>
          </cell>
          <cell r="C1228" t="str">
            <v>#</v>
          </cell>
          <cell r="D1228" t="str">
            <v>鹿島道路(株)</v>
          </cell>
          <cell r="F1228" t="str">
            <v>代表取締役社長</v>
          </cell>
          <cell r="G1228" t="str">
            <v xml:space="preserve"> 関    厚</v>
          </cell>
          <cell r="H1228">
            <v>4000</v>
          </cell>
          <cell r="I1228">
            <v>1743</v>
          </cell>
          <cell r="J1228" t="str">
            <v>102</v>
          </cell>
          <cell r="K1228" t="str">
            <v>千代田区麹町5-3-1</v>
          </cell>
          <cell r="L1228" t="str">
            <v xml:space="preserve"> </v>
          </cell>
          <cell r="M1228" t="str">
            <v>03-3262-6141</v>
          </cell>
          <cell r="N1228" t="str">
            <v>/</v>
          </cell>
          <cell r="O1228" t="str">
            <v>建設業</v>
          </cell>
          <cell r="Q1228" t="str">
            <v xml:space="preserve"> </v>
          </cell>
          <cell r="T1228" t="str">
            <v>ｶｼﾞﾏﾄﾞｳﾛ</v>
          </cell>
          <cell r="V1228" t="str">
            <v>30</v>
          </cell>
        </row>
        <row r="1229">
          <cell r="B1229" t="str">
            <v>9205</v>
          </cell>
          <cell r="C1229" t="str">
            <v>A</v>
          </cell>
          <cell r="D1229" t="str">
            <v>鹿島道路(株)</v>
          </cell>
          <cell r="E1229" t="str">
            <v>横浜支店　</v>
          </cell>
          <cell r="F1229" t="str">
            <v>横浜支店長</v>
          </cell>
          <cell r="G1229" t="str">
            <v>浜本  弘喜</v>
          </cell>
          <cell r="J1229" t="str">
            <v>231</v>
          </cell>
          <cell r="K1229" t="str">
            <v>横浜市中区太田町4-55</v>
          </cell>
          <cell r="L1229" t="str">
            <v/>
          </cell>
          <cell r="M1229" t="str">
            <v>045-664-2880</v>
          </cell>
          <cell r="N1229" t="str">
            <v>/664-2450</v>
          </cell>
          <cell r="O1229" t="str">
            <v>建設業</v>
          </cell>
          <cell r="Q1229" t="str">
            <v xml:space="preserve"> </v>
          </cell>
          <cell r="T1229" t="str">
            <v>ｶｼﾞﾏﾄﾞｳﾛ</v>
          </cell>
          <cell r="V1229" t="str">
            <v>30</v>
          </cell>
        </row>
        <row r="1230">
          <cell r="B1230" t="str">
            <v>9206</v>
          </cell>
          <cell r="C1230" t="str">
            <v>#</v>
          </cell>
          <cell r="D1230" t="str">
            <v>ナジコスパイサー(株)</v>
          </cell>
          <cell r="F1230" t="str">
            <v>取締役社長</v>
          </cell>
          <cell r="G1230" t="str">
            <v>中村　弘</v>
          </cell>
          <cell r="H1230">
            <v>40</v>
          </cell>
          <cell r="I1230">
            <v>10</v>
          </cell>
          <cell r="J1230" t="str">
            <v>104-91</v>
          </cell>
          <cell r="K1230" t="str">
            <v>中央区湊3-5-10</v>
          </cell>
          <cell r="L1230" t="str">
            <v>セントラル新富町ビル6F</v>
          </cell>
          <cell r="M1230" t="str">
            <v>03-5566-6781</v>
          </cell>
          <cell r="N1230" t="str">
            <v>/5566-6778</v>
          </cell>
          <cell r="O1230" t="str">
            <v>ｸﾗｯﾁ</v>
          </cell>
          <cell r="Q1230" t="str">
            <v>◎</v>
          </cell>
          <cell r="R1230" t="str">
            <v>□</v>
          </cell>
          <cell r="T1230" t="str">
            <v>ﾅｼﾞｺｽﾊﾟｲｻｰ</v>
          </cell>
          <cell r="V1230" t="str">
            <v>75</v>
          </cell>
        </row>
        <row r="1231">
          <cell r="B1231" t="str">
            <v>9207</v>
          </cell>
          <cell r="C1231" t="str">
            <v>#</v>
          </cell>
          <cell r="D1231" t="str">
            <v>東京鍛圧工業(株)</v>
          </cell>
          <cell r="F1231" t="str">
            <v>代表取締役</v>
          </cell>
          <cell r="G1231" t="str">
            <v>和田　晴美</v>
          </cell>
          <cell r="H1231">
            <v>10</v>
          </cell>
          <cell r="I1231">
            <v>38</v>
          </cell>
          <cell r="J1231" t="str">
            <v>144</v>
          </cell>
          <cell r="K1231" t="str">
            <v>大田区西六郷4-26-6</v>
          </cell>
          <cell r="L1231" t="str">
            <v xml:space="preserve"> </v>
          </cell>
          <cell r="M1231" t="str">
            <v>03-3732-8793</v>
          </cell>
          <cell r="N1231" t="str">
            <v>/</v>
          </cell>
          <cell r="O1231" t="str">
            <v>鍛圧機械修理</v>
          </cell>
          <cell r="Q1231" t="str">
            <v xml:space="preserve"> </v>
          </cell>
          <cell r="T1231" t="str">
            <v>ﾄｳｷｮｳﾀﾝｱﾂｺｳｷﾞｮｳ</v>
          </cell>
          <cell r="V1231" t="str">
            <v>30</v>
          </cell>
        </row>
        <row r="1232">
          <cell r="B1232" t="str">
            <v>9207</v>
          </cell>
          <cell r="C1232" t="str">
            <v>A</v>
          </cell>
          <cell r="D1232" t="str">
            <v>東京鍛圧工業(株)</v>
          </cell>
          <cell r="E1232" t="str">
            <v>矢向工場</v>
          </cell>
          <cell r="J1232" t="str">
            <v>230</v>
          </cell>
          <cell r="K1232" t="str">
            <v>横浜市鶴見区矢向1-13-5</v>
          </cell>
          <cell r="L1232" t="str">
            <v xml:space="preserve"> </v>
          </cell>
          <cell r="M1232" t="str">
            <v>045-572-5107</v>
          </cell>
          <cell r="N1232" t="str">
            <v>/</v>
          </cell>
          <cell r="O1232" t="str">
            <v>鍛圧機械修理</v>
          </cell>
          <cell r="Q1232" t="str">
            <v xml:space="preserve"> </v>
          </cell>
          <cell r="T1232" t="str">
            <v>ﾄｳｷｮｳﾀﾝｱﾂｺｳｷﾞｮｳ</v>
          </cell>
          <cell r="V1232" t="str">
            <v>30</v>
          </cell>
        </row>
        <row r="1233">
          <cell r="B1233" t="str">
            <v>9210</v>
          </cell>
          <cell r="C1233" t="str">
            <v>#</v>
          </cell>
          <cell r="D1233" t="str">
            <v>三洋機工商事(株)</v>
          </cell>
          <cell r="F1233" t="str">
            <v>取締役社長</v>
          </cell>
          <cell r="G1233" t="str">
            <v>堀場　正武</v>
          </cell>
          <cell r="H1233">
            <v>12</v>
          </cell>
          <cell r="I1233">
            <v>23</v>
          </cell>
          <cell r="J1233" t="str">
            <v>481</v>
          </cell>
          <cell r="K1233" t="str">
            <v>愛知県西春日井郡西春町</v>
          </cell>
          <cell r="L1233" t="str">
            <v>大字沖村字岡1</v>
          </cell>
          <cell r="M1233" t="str">
            <v>0568-21-1111</v>
          </cell>
          <cell r="N1233" t="str">
            <v>/</v>
          </cell>
          <cell r="O1233" t="str">
            <v>精密機械販売</v>
          </cell>
          <cell r="Q1233" t="str">
            <v xml:space="preserve"> </v>
          </cell>
          <cell r="R1233" t="str">
            <v>□</v>
          </cell>
          <cell r="T1233" t="str">
            <v>ｻﾝﾖｳｷｺｳｼｮｳｼﾞ</v>
          </cell>
          <cell r="V1233" t="str">
            <v>30</v>
          </cell>
        </row>
        <row r="1234">
          <cell r="B1234" t="str">
            <v>9210</v>
          </cell>
          <cell r="C1234" t="str">
            <v>A</v>
          </cell>
          <cell r="D1234" t="str">
            <v>三洋機工商事(株)</v>
          </cell>
          <cell r="E1234" t="str">
            <v>東京営業所</v>
          </cell>
          <cell r="J1234" t="str">
            <v>105</v>
          </cell>
          <cell r="K1234" t="str">
            <v>港区東新橋1-2-15</v>
          </cell>
          <cell r="L1234" t="str">
            <v>豊和ビル</v>
          </cell>
          <cell r="M1234" t="str">
            <v>03-3571-1023</v>
          </cell>
          <cell r="N1234" t="str">
            <v>/3571-1024</v>
          </cell>
          <cell r="O1234" t="str">
            <v>精密機械販売</v>
          </cell>
          <cell r="Q1234" t="str">
            <v xml:space="preserve"> </v>
          </cell>
          <cell r="T1234" t="str">
            <v>ｻﾝﾖｳｷｺｳｼｮｳｼﾞ</v>
          </cell>
          <cell r="V1234" t="str">
            <v>30</v>
          </cell>
        </row>
        <row r="1235">
          <cell r="B1235" t="str">
            <v>9211</v>
          </cell>
          <cell r="C1235" t="str">
            <v>#</v>
          </cell>
          <cell r="D1235" t="str">
            <v>(株)東郷製作所</v>
          </cell>
          <cell r="F1235" t="str">
            <v>代表取締役社長</v>
          </cell>
          <cell r="G1235" t="str">
            <v>相羽　鍠一</v>
          </cell>
          <cell r="H1235">
            <v>101</v>
          </cell>
          <cell r="I1235">
            <v>756</v>
          </cell>
          <cell r="J1235" t="str">
            <v>470-01</v>
          </cell>
          <cell r="K1235" t="str">
            <v>愛知県愛知郡東郷町</v>
          </cell>
          <cell r="L1235" t="str">
            <v>大字春木字蛭池1</v>
          </cell>
          <cell r="M1235" t="str">
            <v>05613-8-1111</v>
          </cell>
          <cell r="N1235" t="str">
            <v>/</v>
          </cell>
          <cell r="O1235" t="str">
            <v>ｸﾘｯﾌﾟ､ｽﾌﾟﾘﾝｸﾞ</v>
          </cell>
          <cell r="Q1235" t="str">
            <v xml:space="preserve"> </v>
          </cell>
          <cell r="S1235" t="str">
            <v>☆</v>
          </cell>
          <cell r="T1235" t="str">
            <v>ﾄｳｺﾞｳｾｲｻｸｼｮ</v>
          </cell>
          <cell r="V1235" t="str">
            <v>64</v>
          </cell>
        </row>
        <row r="1236">
          <cell r="B1236" t="str">
            <v>9211</v>
          </cell>
          <cell r="C1236" t="str">
            <v>A</v>
          </cell>
          <cell r="D1236" t="str">
            <v>(株)東郷製作所</v>
          </cell>
          <cell r="E1236" t="str">
            <v>関東営業所</v>
          </cell>
          <cell r="F1236" t="str">
            <v>所長</v>
          </cell>
          <cell r="G1236" t="str">
            <v>嶋崎  基允</v>
          </cell>
          <cell r="J1236" t="str">
            <v>330</v>
          </cell>
          <cell r="K1236" t="str">
            <v>大宮市東町1-146-2</v>
          </cell>
          <cell r="L1236" t="str">
            <v>会沢ビル2F</v>
          </cell>
          <cell r="M1236" t="str">
            <v>048-648-1681</v>
          </cell>
          <cell r="N1236" t="str">
            <v>/648-1680</v>
          </cell>
          <cell r="O1236" t="str">
            <v>ｸﾘｯﾌﾟ､ｽﾌﾟﾘﾝｸﾞ</v>
          </cell>
          <cell r="Q1236" t="str">
            <v xml:space="preserve"> </v>
          </cell>
          <cell r="T1236" t="str">
            <v>ﾄｳｺﾞｳｾｲｻｸｼｮ</v>
          </cell>
          <cell r="V1236" t="str">
            <v>64</v>
          </cell>
        </row>
        <row r="1237">
          <cell r="B1237" t="str">
            <v>9213</v>
          </cell>
          <cell r="C1237" t="str">
            <v>#</v>
          </cell>
          <cell r="D1237" t="str">
            <v>(株)トーエネック</v>
          </cell>
          <cell r="F1237" t="str">
            <v>取締役社長</v>
          </cell>
          <cell r="G1237" t="str">
            <v>塚田　欽一郎</v>
          </cell>
          <cell r="H1237">
            <v>5780</v>
          </cell>
          <cell r="I1237">
            <v>6884</v>
          </cell>
          <cell r="J1237" t="str">
            <v>460</v>
          </cell>
          <cell r="K1237" t="str">
            <v>名古屋市中区栄1-20-31</v>
          </cell>
          <cell r="L1237" t="str">
            <v xml:space="preserve"> </v>
          </cell>
          <cell r="M1237" t="str">
            <v>052-221-1111</v>
          </cell>
          <cell r="N1237" t="str">
            <v>/</v>
          </cell>
          <cell r="O1237" t="str">
            <v>電気工事</v>
          </cell>
          <cell r="Q1237" t="str">
            <v xml:space="preserve"> </v>
          </cell>
          <cell r="T1237" t="str">
            <v>ﾄｰｴﾈｯｸ</v>
          </cell>
          <cell r="V1237" t="str">
            <v>30</v>
          </cell>
        </row>
        <row r="1238">
          <cell r="B1238" t="str">
            <v>9213</v>
          </cell>
          <cell r="C1238" t="str">
            <v>A</v>
          </cell>
          <cell r="D1238" t="str">
            <v>(株)トーエネック</v>
          </cell>
          <cell r="E1238" t="str">
            <v>東京本部</v>
          </cell>
          <cell r="F1238" t="str">
            <v>取締役本部長</v>
          </cell>
          <cell r="G1238" t="str">
            <v>山岸　弘照</v>
          </cell>
          <cell r="J1238" t="str">
            <v>170</v>
          </cell>
          <cell r="K1238" t="str">
            <v>豊島区巣鴨1-3-11</v>
          </cell>
          <cell r="L1238" t="str">
            <v xml:space="preserve"> </v>
          </cell>
          <cell r="M1238" t="str">
            <v>03-3945-2811</v>
          </cell>
          <cell r="N1238" t="str">
            <v>/</v>
          </cell>
          <cell r="O1238" t="str">
            <v>電気工事</v>
          </cell>
          <cell r="Q1238" t="str">
            <v xml:space="preserve"> </v>
          </cell>
          <cell r="T1238" t="str">
            <v>ﾄｰｴﾈｯｸ</v>
          </cell>
          <cell r="V1238" t="str">
            <v>30</v>
          </cell>
        </row>
        <row r="1239">
          <cell r="B1239" t="str">
            <v>9214</v>
          </cell>
          <cell r="C1239" t="str">
            <v>#</v>
          </cell>
          <cell r="D1239" t="str">
            <v>西松建設(株)</v>
          </cell>
          <cell r="F1239" t="str">
            <v>取締役社長</v>
          </cell>
          <cell r="G1239" t="str">
            <v>柴田　平</v>
          </cell>
          <cell r="H1239">
            <v>9847</v>
          </cell>
          <cell r="I1239">
            <v>4438</v>
          </cell>
          <cell r="J1239" t="str">
            <v>105</v>
          </cell>
          <cell r="K1239" t="str">
            <v>港区虎ノ門1-20-10</v>
          </cell>
          <cell r="L1239" t="str">
            <v xml:space="preserve"> </v>
          </cell>
          <cell r="M1239" t="str">
            <v>03-3502-0211</v>
          </cell>
          <cell r="N1239" t="str">
            <v>/</v>
          </cell>
          <cell r="O1239" t="str">
            <v>総合建設業</v>
          </cell>
          <cell r="Q1239" t="str">
            <v xml:space="preserve"> </v>
          </cell>
          <cell r="T1239" t="str">
            <v>ﾆｼﾏﾂｹﾝｾﾂ</v>
          </cell>
          <cell r="V1239" t="str">
            <v>30</v>
          </cell>
        </row>
        <row r="1240">
          <cell r="B1240" t="str">
            <v>9215</v>
          </cell>
          <cell r="C1240" t="str">
            <v>#</v>
          </cell>
          <cell r="D1240" t="str">
            <v>(株)木村鋳造所</v>
          </cell>
          <cell r="F1240" t="str">
            <v>取締役社長</v>
          </cell>
          <cell r="G1240" t="str">
            <v>木村　博彦</v>
          </cell>
          <cell r="H1240">
            <v>80</v>
          </cell>
          <cell r="I1240">
            <v>148</v>
          </cell>
          <cell r="J1240" t="str">
            <v>411</v>
          </cell>
          <cell r="K1240" t="str">
            <v>静岡県駿東郡清水町長沢1157</v>
          </cell>
          <cell r="L1240" t="str">
            <v xml:space="preserve"> </v>
          </cell>
          <cell r="M1240" t="str">
            <v>0559-75-7050</v>
          </cell>
          <cell r="N1240" t="str">
            <v>/</v>
          </cell>
          <cell r="O1240" t="str">
            <v>プレス金型鋳物</v>
          </cell>
          <cell r="P1240" t="str">
            <v>▽</v>
          </cell>
          <cell r="Q1240" t="str">
            <v xml:space="preserve"> </v>
          </cell>
          <cell r="T1240" t="str">
            <v>ｷﾑﾗﾁｭｳｿﾞｳｼｮ</v>
          </cell>
          <cell r="V1240" t="str">
            <v>30</v>
          </cell>
        </row>
        <row r="1241">
          <cell r="B1241" t="str">
            <v>9216</v>
          </cell>
          <cell r="C1241" t="str">
            <v>#</v>
          </cell>
          <cell r="D1241" t="str">
            <v>坂本重工(株)</v>
          </cell>
          <cell r="F1241" t="str">
            <v>取締役社長</v>
          </cell>
          <cell r="G1241" t="str">
            <v>坂本　伸夫</v>
          </cell>
          <cell r="H1241">
            <v>35</v>
          </cell>
          <cell r="I1241">
            <v>50</v>
          </cell>
          <cell r="J1241" t="str">
            <v>733</v>
          </cell>
          <cell r="K1241" t="str">
            <v>広島市西区横川新町1-1</v>
          </cell>
          <cell r="L1241" t="str">
            <v>トータス2F</v>
          </cell>
          <cell r="M1241" t="str">
            <v>0822-92-7575</v>
          </cell>
          <cell r="N1241" t="str">
            <v>/</v>
          </cell>
          <cell r="O1241" t="str">
            <v>プレス金型鋳物</v>
          </cell>
          <cell r="P1241" t="str">
            <v>▽</v>
          </cell>
          <cell r="Q1241" t="str">
            <v xml:space="preserve"> </v>
          </cell>
          <cell r="T1241" t="str">
            <v>ｻｶﾓﾄｼﾞｭｳｺｳ</v>
          </cell>
          <cell r="V1241" t="str">
            <v>30</v>
          </cell>
        </row>
        <row r="1242">
          <cell r="B1242" t="str">
            <v>9218</v>
          </cell>
          <cell r="C1242" t="str">
            <v>#</v>
          </cell>
          <cell r="D1242" t="str">
            <v>丸運建設(株)</v>
          </cell>
          <cell r="F1242" t="str">
            <v>取締役社長</v>
          </cell>
          <cell r="G1242" t="str">
            <v>佐藤　斎</v>
          </cell>
          <cell r="H1242">
            <v>190</v>
          </cell>
          <cell r="I1242">
            <v>436</v>
          </cell>
          <cell r="J1242" t="str">
            <v>950-91</v>
          </cell>
          <cell r="K1242" t="str">
            <v>新潟市幸西1-4-21</v>
          </cell>
          <cell r="L1242" t="str">
            <v xml:space="preserve"> </v>
          </cell>
          <cell r="M1242" t="str">
            <v>0252-45-4311</v>
          </cell>
          <cell r="N1242" t="str">
            <v>/</v>
          </cell>
          <cell r="O1242" t="str">
            <v>土木建築工事</v>
          </cell>
          <cell r="Q1242" t="str">
            <v xml:space="preserve"> </v>
          </cell>
          <cell r="T1242" t="str">
            <v>ﾏﾙｳﾝｹﾝｾﾂ</v>
          </cell>
          <cell r="V1242" t="str">
            <v>30</v>
          </cell>
        </row>
        <row r="1243">
          <cell r="B1243" t="str">
            <v>9218</v>
          </cell>
          <cell r="C1243" t="str">
            <v>A</v>
          </cell>
          <cell r="D1243" t="str">
            <v>丸運建設(株)</v>
          </cell>
          <cell r="E1243" t="str">
            <v>東京支社</v>
          </cell>
          <cell r="F1243" t="str">
            <v>支社長</v>
          </cell>
          <cell r="G1243" t="str">
            <v>白沢　国雄</v>
          </cell>
          <cell r="J1243" t="str">
            <v>110</v>
          </cell>
          <cell r="K1243" t="str">
            <v>台東区東上野3-18-6</v>
          </cell>
          <cell r="L1243" t="str">
            <v>第1吉沢ビル</v>
          </cell>
          <cell r="M1243" t="str">
            <v>03-3836-0261</v>
          </cell>
          <cell r="N1243" t="str">
            <v>/</v>
          </cell>
          <cell r="O1243" t="str">
            <v>土木建築工事</v>
          </cell>
          <cell r="Q1243" t="str">
            <v xml:space="preserve"> </v>
          </cell>
          <cell r="T1243" t="str">
            <v>ﾏﾙｳﾝｹﾝｾﾂ</v>
          </cell>
          <cell r="V1243" t="str">
            <v>30</v>
          </cell>
        </row>
        <row r="1244">
          <cell r="B1244" t="str">
            <v>9219</v>
          </cell>
          <cell r="C1244" t="str">
            <v>#</v>
          </cell>
          <cell r="D1244" t="str">
            <v>昭和電線電纜(株)</v>
          </cell>
          <cell r="F1244" t="str">
            <v>取締役社長</v>
          </cell>
          <cell r="G1244" t="str">
            <v>村田  薫</v>
          </cell>
          <cell r="H1244">
            <v>18703</v>
          </cell>
          <cell r="I1244">
            <v>2830</v>
          </cell>
          <cell r="J1244" t="str">
            <v>105</v>
          </cell>
          <cell r="K1244" t="str">
            <v>港区虎ノ門1-1-18</v>
          </cell>
          <cell r="L1244" t="str">
            <v>東京虎ノ門ビル</v>
          </cell>
          <cell r="M1244" t="str">
            <v>03-3597-7075</v>
          </cell>
          <cell r="N1244" t="str">
            <v>/</v>
          </cell>
          <cell r="O1244" t="str">
            <v>電線ケーブル</v>
          </cell>
          <cell r="Q1244" t="str">
            <v xml:space="preserve"> </v>
          </cell>
          <cell r="T1244" t="str">
            <v>ｼｮｳﾜﾃﾞﾝｾﾝﾃﾞﾝﾗﾝ?</v>
          </cell>
          <cell r="V1244" t="str">
            <v>30</v>
          </cell>
        </row>
        <row r="1245">
          <cell r="B1245" t="str">
            <v>9222</v>
          </cell>
          <cell r="C1245" t="str">
            <v>#</v>
          </cell>
          <cell r="D1245" t="str">
            <v>日本ｽﾀｯﾄﾞｳｪﾙﾃﾞｨﾝｸﾞ(株)</v>
          </cell>
          <cell r="F1245" t="str">
            <v>代表取締役社長</v>
          </cell>
          <cell r="G1245" t="str">
            <v>大道　邦夫</v>
          </cell>
          <cell r="H1245">
            <v>100</v>
          </cell>
          <cell r="I1245">
            <v>38</v>
          </cell>
          <cell r="J1245" t="str">
            <v>210</v>
          </cell>
          <cell r="K1245" t="str">
            <v>川崎市川崎区小田1-2-6</v>
          </cell>
          <cell r="L1245" t="str">
            <v xml:space="preserve"> </v>
          </cell>
          <cell r="M1245" t="str">
            <v>044-333-6500</v>
          </cell>
          <cell r="N1245" t="str">
            <v>/333-7864</v>
          </cell>
          <cell r="O1245" t="str">
            <v>熔接スタッド</v>
          </cell>
          <cell r="Q1245" t="str">
            <v xml:space="preserve"> </v>
          </cell>
          <cell r="T1245" t="str">
            <v>ﾆﾎﾝｽﾀｯﾄﾞｳｪﾙﾃﾞｨﾝｸﾞ</v>
          </cell>
          <cell r="V1245" t="str">
            <v>64</v>
          </cell>
        </row>
        <row r="1246">
          <cell r="B1246" t="str">
            <v>9223</v>
          </cell>
          <cell r="C1246" t="str">
            <v>#</v>
          </cell>
          <cell r="D1246" t="str">
            <v>角南商事(株)</v>
          </cell>
          <cell r="F1246" t="str">
            <v>取締役社長</v>
          </cell>
          <cell r="G1246" t="str">
            <v>角南　猛夫</v>
          </cell>
          <cell r="H1246">
            <v>50</v>
          </cell>
          <cell r="I1246">
            <v>120</v>
          </cell>
          <cell r="J1246" t="str">
            <v>651</v>
          </cell>
          <cell r="K1246" t="str">
            <v>神戸市中央区小野柄通7-1-18</v>
          </cell>
          <cell r="L1246" t="str">
            <v>三宮ビル北館</v>
          </cell>
          <cell r="M1246" t="str">
            <v>078-251-5511</v>
          </cell>
          <cell r="N1246" t="str">
            <v>/</v>
          </cell>
          <cell r="O1246" t="str">
            <v>機械装置機器</v>
          </cell>
          <cell r="Q1246" t="str">
            <v xml:space="preserve"> </v>
          </cell>
          <cell r="T1246" t="str">
            <v>ｽﾅﾐｼｮｳｼﾞ</v>
          </cell>
          <cell r="V1246" t="str">
            <v>30</v>
          </cell>
        </row>
        <row r="1247">
          <cell r="B1247" t="str">
            <v>9223</v>
          </cell>
          <cell r="C1247" t="str">
            <v>A</v>
          </cell>
          <cell r="D1247" t="str">
            <v>角南商事(株)</v>
          </cell>
          <cell r="E1247" t="str">
            <v>東京支店</v>
          </cell>
          <cell r="J1247" t="str">
            <v>260</v>
          </cell>
          <cell r="K1247" t="str">
            <v>千葉市中央区寒川町2-61-1</v>
          </cell>
          <cell r="L1247" t="str">
            <v>寒川海運ビル2F</v>
          </cell>
          <cell r="M1247" t="str">
            <v>043-266-1021</v>
          </cell>
          <cell r="N1247" t="str">
            <v>/268-3620</v>
          </cell>
          <cell r="O1247" t="str">
            <v>機械装置機器</v>
          </cell>
          <cell r="Q1247" t="str">
            <v xml:space="preserve"> </v>
          </cell>
          <cell r="T1247" t="str">
            <v>ｽﾅﾐｼｮｳｼﾞ</v>
          </cell>
          <cell r="V1247" t="str">
            <v>30</v>
          </cell>
        </row>
        <row r="1248">
          <cell r="B1248" t="str">
            <v>9224</v>
          </cell>
          <cell r="C1248" t="str">
            <v>#</v>
          </cell>
          <cell r="D1248" t="str">
            <v>辰和工業(株)</v>
          </cell>
          <cell r="F1248" t="str">
            <v>代表取締役</v>
          </cell>
          <cell r="G1248" t="str">
            <v>川島　幸之輔</v>
          </cell>
          <cell r="H1248">
            <v>60</v>
          </cell>
          <cell r="I1248">
            <v>250</v>
          </cell>
          <cell r="J1248" t="str">
            <v>230</v>
          </cell>
          <cell r="K1248" t="str">
            <v>横浜市鶴見区大黒町9-10</v>
          </cell>
          <cell r="L1248" t="str">
            <v xml:space="preserve"> </v>
          </cell>
          <cell r="M1248" t="str">
            <v>045-511-3571</v>
          </cell>
          <cell r="N1248" t="str">
            <v>/</v>
          </cell>
          <cell r="O1248" t="str">
            <v>機械器具据付</v>
          </cell>
          <cell r="Q1248" t="str">
            <v xml:space="preserve"> </v>
          </cell>
          <cell r="R1248" t="str">
            <v>□</v>
          </cell>
          <cell r="T1248" t="str">
            <v>ｼﾝﾜｺｳｷﾞｮｳ</v>
          </cell>
          <cell r="V1248" t="str">
            <v>30</v>
          </cell>
        </row>
        <row r="1249">
          <cell r="B1249" t="str">
            <v>9225</v>
          </cell>
          <cell r="C1249" t="str">
            <v>#</v>
          </cell>
          <cell r="D1249" t="str">
            <v>(株)山岸製作所</v>
          </cell>
          <cell r="F1249" t="str">
            <v>代表取締役</v>
          </cell>
          <cell r="G1249" t="str">
            <v>山岸　安正</v>
          </cell>
          <cell r="H1249">
            <v>72</v>
          </cell>
          <cell r="I1249">
            <v>129</v>
          </cell>
          <cell r="J1249" t="str">
            <v>380</v>
          </cell>
          <cell r="K1249" t="str">
            <v>長野市桐原北長野通り694-1</v>
          </cell>
          <cell r="L1249" t="str">
            <v xml:space="preserve"> </v>
          </cell>
          <cell r="M1249" t="str">
            <v>0262-41-3115</v>
          </cell>
          <cell r="N1249" t="str">
            <v>/44-3002</v>
          </cell>
          <cell r="O1249" t="str">
            <v>ハブ</v>
          </cell>
          <cell r="P1249" t="str">
            <v>▽</v>
          </cell>
          <cell r="Q1249" t="str">
            <v>◎</v>
          </cell>
          <cell r="R1249" t="str">
            <v>□</v>
          </cell>
          <cell r="S1249" t="str">
            <v>☆</v>
          </cell>
          <cell r="T1249" t="str">
            <v>ﾔﾏｷﾞｼｾｲｻｸｼｮ</v>
          </cell>
          <cell r="V1249" t="str">
            <v>53</v>
          </cell>
        </row>
        <row r="1250">
          <cell r="B1250" t="str">
            <v>9226</v>
          </cell>
          <cell r="C1250" t="str">
            <v>#</v>
          </cell>
          <cell r="D1250" t="str">
            <v>平田機工(株)</v>
          </cell>
          <cell r="F1250" t="str">
            <v>取締役社長</v>
          </cell>
          <cell r="G1250" t="str">
            <v>平田　耕也</v>
          </cell>
          <cell r="H1250">
            <v>260</v>
          </cell>
          <cell r="I1250">
            <v>430</v>
          </cell>
          <cell r="J1250" t="str">
            <v>860</v>
          </cell>
          <cell r="K1250" t="str">
            <v>熊本市妙体寺町5-4</v>
          </cell>
          <cell r="L1250" t="str">
            <v xml:space="preserve"> </v>
          </cell>
          <cell r="M1250" t="str">
            <v>0963-44-2266</v>
          </cell>
          <cell r="N1250" t="str">
            <v>/</v>
          </cell>
          <cell r="O1250" t="str">
            <v>自動化省力機械</v>
          </cell>
          <cell r="Q1250" t="str">
            <v xml:space="preserve"> </v>
          </cell>
          <cell r="T1250" t="str">
            <v>ﾋﾗﾀｷｺｳ</v>
          </cell>
          <cell r="V1250" t="str">
            <v>30</v>
          </cell>
        </row>
        <row r="1251">
          <cell r="B1251" t="str">
            <v>9226</v>
          </cell>
          <cell r="C1251" t="str">
            <v>A</v>
          </cell>
          <cell r="D1251" t="str">
            <v>平田機工(株)</v>
          </cell>
          <cell r="E1251" t="str">
            <v>東京営業所</v>
          </cell>
          <cell r="J1251" t="str">
            <v>142</v>
          </cell>
          <cell r="K1251" t="str">
            <v>品川区戸越3-9-20</v>
          </cell>
          <cell r="L1251" t="str">
            <v xml:space="preserve"> </v>
          </cell>
          <cell r="M1251" t="str">
            <v>03-3786-1226</v>
          </cell>
          <cell r="N1251" t="str">
            <v>/</v>
          </cell>
          <cell r="O1251" t="str">
            <v>自動化省力機械</v>
          </cell>
          <cell r="Q1251" t="str">
            <v xml:space="preserve"> </v>
          </cell>
          <cell r="T1251" t="str">
            <v>ﾋﾗﾀｷｺｳ</v>
          </cell>
          <cell r="V1251" t="str">
            <v>30</v>
          </cell>
        </row>
        <row r="1252">
          <cell r="B1252" t="str">
            <v>9227</v>
          </cell>
          <cell r="C1252" t="str">
            <v>#</v>
          </cell>
          <cell r="D1252" t="str">
            <v>ｱﾌﾟﾗｲﾄﾞﾊﾟﾜｰｼﾞｬﾊﾟﾝ (株)</v>
          </cell>
          <cell r="F1252" t="str">
            <v>代表取締役</v>
          </cell>
          <cell r="G1252" t="str">
            <v>今井  淳</v>
          </cell>
          <cell r="H1252">
            <v>107</v>
          </cell>
          <cell r="I1252">
            <v>89</v>
          </cell>
          <cell r="J1252" t="str">
            <v>335</v>
          </cell>
          <cell r="K1252" t="str">
            <v>戸田市笹目北町10-17</v>
          </cell>
          <cell r="L1252" t="str">
            <v xml:space="preserve"> </v>
          </cell>
          <cell r="M1252" t="str">
            <v>048-421-2311</v>
          </cell>
          <cell r="N1252" t="str">
            <v>/421-8949</v>
          </cell>
          <cell r="O1252" t="str">
            <v>油圧ｷｬﾌﾞ･ﾁﾙﾄ装置</v>
          </cell>
          <cell r="Q1252" t="str">
            <v xml:space="preserve"> </v>
          </cell>
          <cell r="T1252" t="str">
            <v xml:space="preserve">ｱﾌﾟﾗｲﾄﾞﾊﾟﾜｰｼﾞｬﾊﾟﾝ </v>
          </cell>
          <cell r="V1252" t="str">
            <v>54</v>
          </cell>
        </row>
        <row r="1253">
          <cell r="B1253" t="str">
            <v>9230</v>
          </cell>
          <cell r="C1253" t="str">
            <v>#</v>
          </cell>
          <cell r="D1253" t="str">
            <v>ヨコキ(株)</v>
          </cell>
          <cell r="F1253" t="str">
            <v>代表取締役</v>
          </cell>
          <cell r="G1253" t="str">
            <v>押見  秀男</v>
          </cell>
          <cell r="H1253">
            <v>80</v>
          </cell>
          <cell r="I1253">
            <v>105</v>
          </cell>
          <cell r="J1253" t="str">
            <v>240</v>
          </cell>
          <cell r="K1253" t="str">
            <v>横浜市保土ケ谷区今井町555</v>
          </cell>
          <cell r="L1253" t="str">
            <v xml:space="preserve"> </v>
          </cell>
          <cell r="M1253" t="str">
            <v>045-351-1211</v>
          </cell>
          <cell r="N1253" t="str">
            <v>/351-1231</v>
          </cell>
          <cell r="O1253" t="str">
            <v>一般木型・モデル・ゲージ</v>
          </cell>
          <cell r="P1253" t="str">
            <v>▽</v>
          </cell>
          <cell r="Q1253" t="str">
            <v xml:space="preserve"> </v>
          </cell>
          <cell r="R1253" t="str">
            <v>□</v>
          </cell>
          <cell r="T1253" t="str">
            <v>ﾖｺｷ</v>
          </cell>
          <cell r="V1253" t="str">
            <v>30</v>
          </cell>
        </row>
        <row r="1254">
          <cell r="B1254" t="str">
            <v>9231</v>
          </cell>
          <cell r="C1254" t="str">
            <v>#</v>
          </cell>
          <cell r="D1254" t="str">
            <v>(株)佐藤木型製作所</v>
          </cell>
          <cell r="F1254" t="str">
            <v>代表取締役</v>
          </cell>
          <cell r="G1254" t="str">
            <v>佐藤　久助</v>
          </cell>
          <cell r="H1254">
            <v>19</v>
          </cell>
          <cell r="I1254">
            <v>36</v>
          </cell>
          <cell r="J1254" t="str">
            <v>373</v>
          </cell>
          <cell r="K1254" t="str">
            <v>太田市新島町787</v>
          </cell>
          <cell r="L1254" t="str">
            <v xml:space="preserve"> </v>
          </cell>
          <cell r="M1254" t="str">
            <v>0276-45-3568</v>
          </cell>
          <cell r="N1254" t="str">
            <v>/</v>
          </cell>
          <cell r="O1254" t="str">
            <v>木型・石膏型</v>
          </cell>
          <cell r="P1254" t="str">
            <v>▽</v>
          </cell>
          <cell r="Q1254" t="str">
            <v xml:space="preserve"> </v>
          </cell>
          <cell r="T1254" t="str">
            <v>ｻﾄｳｷｶﾞﾀｾｲｻｸｼｮ</v>
          </cell>
          <cell r="V1254" t="str">
            <v>30</v>
          </cell>
        </row>
        <row r="1255">
          <cell r="B1255" t="str">
            <v>9235</v>
          </cell>
          <cell r="C1255" t="str">
            <v>#</v>
          </cell>
          <cell r="D1255" t="str">
            <v>日神金属(株)</v>
          </cell>
          <cell r="F1255" t="str">
            <v>代表取締役</v>
          </cell>
          <cell r="G1255" t="str">
            <v>神　　泰行</v>
          </cell>
          <cell r="H1255">
            <v>50</v>
          </cell>
          <cell r="I1255">
            <v>44</v>
          </cell>
          <cell r="J1255" t="str">
            <v>220</v>
          </cell>
          <cell r="K1255" t="str">
            <v>横浜市西区南幸2-16-11</v>
          </cell>
          <cell r="L1255" t="str">
            <v>二幸ビル</v>
          </cell>
          <cell r="M1255" t="str">
            <v>045-311-3059</v>
          </cell>
          <cell r="N1255" t="str">
            <v>/311-3151</v>
          </cell>
          <cell r="O1255" t="str">
            <v>研掃機・消耗部品</v>
          </cell>
          <cell r="Q1255" t="str">
            <v xml:space="preserve"> </v>
          </cell>
          <cell r="R1255" t="str">
            <v>□</v>
          </cell>
          <cell r="T1255" t="str">
            <v>ﾆｯｼﾝｷﾝｿﾞｸ</v>
          </cell>
          <cell r="V1255" t="str">
            <v>30</v>
          </cell>
        </row>
        <row r="1256">
          <cell r="B1256" t="str">
            <v>9237</v>
          </cell>
          <cell r="C1256" t="str">
            <v>#</v>
          </cell>
          <cell r="D1256" t="str">
            <v>大阪精密機械(株)</v>
          </cell>
          <cell r="F1256" t="str">
            <v>代表取締役</v>
          </cell>
          <cell r="G1256" t="str">
            <v>小熊　健彦</v>
          </cell>
          <cell r="H1256">
            <v>40</v>
          </cell>
          <cell r="I1256">
            <v>52</v>
          </cell>
          <cell r="J1256" t="str">
            <v>577</v>
          </cell>
          <cell r="K1256" t="str">
            <v>東大阪市御厨730-2</v>
          </cell>
          <cell r="L1256" t="str">
            <v xml:space="preserve"> </v>
          </cell>
          <cell r="M1256" t="str">
            <v xml:space="preserve">06-782-0646 </v>
          </cell>
          <cell r="N1256" t="str">
            <v>/</v>
          </cell>
          <cell r="O1256" t="str">
            <v>歯車測定機</v>
          </cell>
          <cell r="Q1256" t="str">
            <v xml:space="preserve"> </v>
          </cell>
          <cell r="R1256" t="str">
            <v>□</v>
          </cell>
          <cell r="T1256" t="str">
            <v>ｵｵｻｶｾｲﾐﾂｷｶｲ</v>
          </cell>
          <cell r="V1256" t="str">
            <v>30</v>
          </cell>
        </row>
        <row r="1257">
          <cell r="B1257" t="str">
            <v>9237</v>
          </cell>
          <cell r="C1257" t="str">
            <v>A</v>
          </cell>
          <cell r="D1257" t="str">
            <v>大阪精密機械(株)</v>
          </cell>
          <cell r="E1257" t="str">
            <v>東京営業所</v>
          </cell>
          <cell r="J1257" t="str">
            <v>160</v>
          </cell>
          <cell r="K1257" t="str">
            <v>新宿区新宿1-1-11</v>
          </cell>
          <cell r="L1257" t="str">
            <v>武シートビル</v>
          </cell>
          <cell r="M1257" t="str">
            <v>03-3226-4751</v>
          </cell>
          <cell r="N1257" t="str">
            <v>/</v>
          </cell>
          <cell r="O1257" t="str">
            <v>形状測定機</v>
          </cell>
          <cell r="Q1257" t="str">
            <v xml:space="preserve"> </v>
          </cell>
          <cell r="T1257" t="str">
            <v>ｵｵｻｶｾｲﾐﾂｷｶｲ</v>
          </cell>
          <cell r="V1257" t="str">
            <v>30</v>
          </cell>
        </row>
        <row r="1258">
          <cell r="B1258" t="str">
            <v>9239</v>
          </cell>
          <cell r="C1258" t="str">
            <v>#</v>
          </cell>
          <cell r="D1258" t="str">
            <v>日本ﾌﾗﾝﾂｵｲﾙｸﾘｰﾅｰ(株)</v>
          </cell>
          <cell r="F1258" t="str">
            <v>代表取締役</v>
          </cell>
          <cell r="G1258" t="str">
            <v>中山  普雄</v>
          </cell>
          <cell r="H1258">
            <v>1000</v>
          </cell>
          <cell r="I1258">
            <v>5</v>
          </cell>
          <cell r="J1258" t="str">
            <v>158</v>
          </cell>
          <cell r="K1258" t="str">
            <v>世田谷区深沢1-8-1</v>
          </cell>
          <cell r="L1258" t="str">
            <v xml:space="preserve"> </v>
          </cell>
          <cell r="M1258" t="str">
            <v>03-5706-8115</v>
          </cell>
          <cell r="N1258" t="str">
            <v>/5706-8117</v>
          </cell>
          <cell r="O1258" t="str">
            <v>燃料フィルタ－</v>
          </cell>
          <cell r="Q1258" t="str">
            <v xml:space="preserve"> </v>
          </cell>
          <cell r="T1258" t="str">
            <v>ﾆﾎﾝﾌﾗﾝﾂｵｲﾙｸﾘｰﾅｰ</v>
          </cell>
          <cell r="V1258" t="str">
            <v>64</v>
          </cell>
        </row>
        <row r="1259">
          <cell r="B1259" t="str">
            <v>9243</v>
          </cell>
          <cell r="C1259" t="str">
            <v>#</v>
          </cell>
          <cell r="D1259" t="str">
            <v>セイコープレシジョン(株)</v>
          </cell>
          <cell r="F1259" t="str">
            <v>取締役ｼｽﾃﾑ事業部長</v>
          </cell>
          <cell r="G1259" t="str">
            <v>長谷川  善一</v>
          </cell>
          <cell r="H1259">
            <v>1000</v>
          </cell>
          <cell r="I1259">
            <v>1500</v>
          </cell>
          <cell r="J1259">
            <v>135</v>
          </cell>
          <cell r="K1259" t="str">
            <v>江東区福住2-4-3</v>
          </cell>
          <cell r="L1259" t="str">
            <v xml:space="preserve"> </v>
          </cell>
          <cell r="M1259" t="str">
            <v>03-5620-6820</v>
          </cell>
          <cell r="N1259" t="str">
            <v>/5620-6801</v>
          </cell>
          <cell r="O1259" t="str">
            <v>生産ｼｽﾃﾑ機器</v>
          </cell>
          <cell r="Q1259" t="str">
            <v xml:space="preserve"> </v>
          </cell>
          <cell r="R1259" t="str">
            <v>□</v>
          </cell>
          <cell r="T1259" t="str">
            <v>ｾｲｺｰﾌﾟﾚｼｼﾞｮﾝ</v>
          </cell>
          <cell r="V1259" t="str">
            <v>30</v>
          </cell>
        </row>
        <row r="1260">
          <cell r="B1260" t="str">
            <v>9244</v>
          </cell>
          <cell r="C1260" t="str">
            <v>#</v>
          </cell>
          <cell r="D1260" t="str">
            <v>三建産業(株)</v>
          </cell>
          <cell r="F1260" t="str">
            <v>代表取締役社長</v>
          </cell>
          <cell r="G1260" t="str">
            <v>万代  峻</v>
          </cell>
          <cell r="H1260">
            <v>95</v>
          </cell>
          <cell r="I1260">
            <v>128</v>
          </cell>
          <cell r="J1260" t="str">
            <v>730</v>
          </cell>
          <cell r="K1260" t="str">
            <v>中区東千田町1-1-72</v>
          </cell>
          <cell r="L1260" t="str">
            <v xml:space="preserve"> </v>
          </cell>
          <cell r="M1260" t="str">
            <v>082-249-2656</v>
          </cell>
          <cell r="N1260" t="str">
            <v>/</v>
          </cell>
          <cell r="O1260" t="str">
            <v>ﾀﾞｲｶｽﾄ用AL溶解炉修理</v>
          </cell>
          <cell r="Q1260" t="str">
            <v xml:space="preserve"> </v>
          </cell>
          <cell r="T1260" t="str">
            <v>ｻﾝｹﾝｻﾝｷﾞｮｳ</v>
          </cell>
          <cell r="V1260" t="str">
            <v>30</v>
          </cell>
        </row>
        <row r="1261">
          <cell r="B1261" t="str">
            <v>9245</v>
          </cell>
          <cell r="C1261" t="str">
            <v>#</v>
          </cell>
          <cell r="D1261" t="str">
            <v>エイ・エム・テイ(株)</v>
          </cell>
          <cell r="F1261" t="str">
            <v>取締役社長</v>
          </cell>
          <cell r="G1261" t="str">
            <v>百木　元康</v>
          </cell>
          <cell r="H1261">
            <v>25</v>
          </cell>
          <cell r="I1261">
            <v>7</v>
          </cell>
          <cell r="J1261" t="str">
            <v>105</v>
          </cell>
          <cell r="K1261" t="str">
            <v>港区浜松町2-3-23</v>
          </cell>
          <cell r="L1261" t="str">
            <v>フクダビル</v>
          </cell>
          <cell r="M1261" t="str">
            <v>03-3431-3551</v>
          </cell>
          <cell r="N1261" t="str">
            <v>/3431-3947</v>
          </cell>
          <cell r="O1261" t="str">
            <v>計測試験機</v>
          </cell>
          <cell r="Q1261" t="str">
            <v xml:space="preserve"> </v>
          </cell>
          <cell r="R1261" t="str">
            <v>□</v>
          </cell>
          <cell r="T1261" t="str">
            <v>ｴｲｴﾑﾃｨｰ</v>
          </cell>
          <cell r="V1261" t="str">
            <v>30</v>
          </cell>
        </row>
        <row r="1262">
          <cell r="B1262" t="str">
            <v>9246</v>
          </cell>
          <cell r="C1262" t="str">
            <v>#</v>
          </cell>
          <cell r="D1262" t="str">
            <v>(株)テクノ･プレシジョン</v>
          </cell>
          <cell r="F1262" t="str">
            <v>代表取締役社長</v>
          </cell>
          <cell r="G1262" t="str">
            <v>市川  章富</v>
          </cell>
          <cell r="H1262">
            <v>20</v>
          </cell>
          <cell r="I1262">
            <v>15</v>
          </cell>
          <cell r="J1262" t="str">
            <v>152</v>
          </cell>
          <cell r="K1262" t="str">
            <v>目黒区中央町1-15-21</v>
          </cell>
          <cell r="L1262" t="str">
            <v xml:space="preserve"> </v>
          </cell>
          <cell r="M1262" t="str">
            <v>03-5722-1882</v>
          </cell>
          <cell r="N1262" t="str">
            <v>/5722-1910</v>
          </cell>
          <cell r="O1262" t="str">
            <v>精密測定機器</v>
          </cell>
          <cell r="Q1262" t="str">
            <v xml:space="preserve"> </v>
          </cell>
          <cell r="T1262" t="str">
            <v>ﾃｸﾉﾌﾟﾚｼｼﾞｮﾝ</v>
          </cell>
          <cell r="V1262" t="str">
            <v>30</v>
          </cell>
        </row>
        <row r="1263">
          <cell r="B1263" t="str">
            <v>9247</v>
          </cell>
          <cell r="C1263" t="str">
            <v>#</v>
          </cell>
          <cell r="D1263" t="str">
            <v>大豊工業(株)</v>
          </cell>
          <cell r="F1263" t="str">
            <v>取締役社長</v>
          </cell>
          <cell r="G1263" t="str">
            <v>神保　昇二</v>
          </cell>
          <cell r="H1263">
            <v>1879</v>
          </cell>
          <cell r="I1263">
            <v>1307</v>
          </cell>
          <cell r="J1263" t="str">
            <v>471</v>
          </cell>
          <cell r="K1263" t="str">
            <v>豊田市緑ケ丘3-65</v>
          </cell>
          <cell r="L1263" t="str">
            <v xml:space="preserve"> </v>
          </cell>
          <cell r="M1263" t="str">
            <v>0565-28-2225</v>
          </cell>
          <cell r="N1263" t="str">
            <v>/</v>
          </cell>
          <cell r="O1263" t="str">
            <v>ｸﾗﾝｸBRGｺﾝﾛｯﾄﾞBRG</v>
          </cell>
          <cell r="Q1263" t="str">
            <v xml:space="preserve"> </v>
          </cell>
          <cell r="R1263" t="str">
            <v>□</v>
          </cell>
          <cell r="S1263" t="str">
            <v>☆</v>
          </cell>
          <cell r="T1263" t="str">
            <v>ﾀｲﾎｳｺｳｷﾞｮｳ</v>
          </cell>
          <cell r="V1263" t="str">
            <v>51</v>
          </cell>
        </row>
        <row r="1264">
          <cell r="B1264" t="str">
            <v>9247</v>
          </cell>
          <cell r="C1264" t="str">
            <v>A</v>
          </cell>
          <cell r="D1264" t="str">
            <v>大豊工業(株)</v>
          </cell>
          <cell r="E1264" t="str">
            <v>東京出張所</v>
          </cell>
          <cell r="F1264" t="str">
            <v>所長</v>
          </cell>
          <cell r="G1264" t="str">
            <v>吉田  正樹</v>
          </cell>
          <cell r="J1264" t="str">
            <v>105</v>
          </cell>
          <cell r="K1264" t="str">
            <v>港区浜松町1-27-14</v>
          </cell>
          <cell r="L1264" t="str">
            <v>サンキッカワビル5F</v>
          </cell>
          <cell r="M1264" t="str">
            <v>03-3578-1041</v>
          </cell>
          <cell r="N1264" t="str">
            <v>/3578-1044</v>
          </cell>
          <cell r="O1264" t="str">
            <v>ｸﾗﾝｸBRGｺﾝﾛｯﾄﾞBRG</v>
          </cell>
          <cell r="Q1264" t="str">
            <v xml:space="preserve"> </v>
          </cell>
          <cell r="T1264" t="str">
            <v>ﾀｲﾎｳｺｳｷﾞｮｳ</v>
          </cell>
          <cell r="V1264" t="str">
            <v>51</v>
          </cell>
        </row>
        <row r="1265">
          <cell r="B1265" t="str">
            <v>9248</v>
          </cell>
          <cell r="C1265" t="str">
            <v>#</v>
          </cell>
          <cell r="D1265" t="str">
            <v>伊藤忠産機(株)</v>
          </cell>
          <cell r="F1265" t="str">
            <v>代表取締役社長</v>
          </cell>
          <cell r="G1265" t="str">
            <v>本多　力</v>
          </cell>
          <cell r="H1265">
            <v>200</v>
          </cell>
          <cell r="I1265">
            <v>115</v>
          </cell>
          <cell r="J1265" t="str">
            <v>103</v>
          </cell>
          <cell r="K1265" t="str">
            <v>中央区日本橋浜町2-17-8</v>
          </cell>
          <cell r="L1265" t="str">
            <v/>
          </cell>
          <cell r="M1265" t="str">
            <v>03-5640-1431</v>
          </cell>
          <cell r="N1265" t="str">
            <v>/</v>
          </cell>
          <cell r="O1265" t="str">
            <v>射出成形機</v>
          </cell>
          <cell r="Q1265" t="str">
            <v xml:space="preserve"> </v>
          </cell>
          <cell r="T1265" t="str">
            <v>ｲﾄｳﾁｭｳｻﾝｷ</v>
          </cell>
          <cell r="V1265" t="str">
            <v>30</v>
          </cell>
        </row>
        <row r="1266">
          <cell r="B1266" t="str">
            <v>9249</v>
          </cell>
          <cell r="C1266" t="str">
            <v>#</v>
          </cell>
          <cell r="D1266" t="str">
            <v>テーラーボブソン(株)</v>
          </cell>
          <cell r="F1266" t="str">
            <v>代表取締役</v>
          </cell>
          <cell r="G1266" t="str">
            <v>市川  清和</v>
          </cell>
          <cell r="H1266">
            <v>70</v>
          </cell>
          <cell r="I1266">
            <v>50</v>
          </cell>
          <cell r="J1266" t="str">
            <v>108</v>
          </cell>
          <cell r="K1266" t="str">
            <v>港区白金台3-19-1</v>
          </cell>
          <cell r="L1266" t="str">
            <v>第31興和ビル</v>
          </cell>
          <cell r="M1266" t="str">
            <v>03-3473-7001</v>
          </cell>
          <cell r="N1266" t="str">
            <v>/3473-7002</v>
          </cell>
          <cell r="O1266" t="str">
            <v>真円度測定機</v>
          </cell>
          <cell r="Q1266" t="str">
            <v xml:space="preserve"> </v>
          </cell>
          <cell r="T1266" t="str">
            <v>ﾃｰﾗｰﾎﾌﾞｿﾝ</v>
          </cell>
          <cell r="V1266" t="str">
            <v>30</v>
          </cell>
        </row>
        <row r="1267">
          <cell r="B1267" t="str">
            <v>9250</v>
          </cell>
          <cell r="C1267" t="str">
            <v>#</v>
          </cell>
          <cell r="D1267" t="str">
            <v>スルザー ジャパン(株)</v>
          </cell>
          <cell r="F1267" t="str">
            <v>代表取締役</v>
          </cell>
          <cell r="G1267" t="str">
            <v>ｳﾙﾘｯﾋ･ｹﾌﾟﾗｰ</v>
          </cell>
          <cell r="H1267">
            <v>495</v>
          </cell>
          <cell r="I1267">
            <v>41</v>
          </cell>
          <cell r="J1267" t="str">
            <v>135</v>
          </cell>
          <cell r="K1267" t="str">
            <v>江東区佐賀1-3-7</v>
          </cell>
          <cell r="L1267" t="str">
            <v/>
          </cell>
          <cell r="M1267" t="str">
            <v>03-3820-7451</v>
          </cell>
          <cell r="N1267" t="str">
            <v>/</v>
          </cell>
          <cell r="O1267" t="str">
            <v>機械輸出入</v>
          </cell>
          <cell r="Q1267" t="str">
            <v xml:space="preserve"> </v>
          </cell>
          <cell r="T1267" t="str">
            <v>ｽﾙｻﾞｰ･ｼﾞｬﾊﾟﾝ</v>
          </cell>
          <cell r="V1267" t="str">
            <v>30</v>
          </cell>
        </row>
        <row r="1268">
          <cell r="B1268" t="str">
            <v>9252</v>
          </cell>
          <cell r="C1268" t="str">
            <v>#</v>
          </cell>
          <cell r="D1268" t="str">
            <v>シーアイ緑化土木(株)</v>
          </cell>
          <cell r="F1268" t="str">
            <v>取締役社長</v>
          </cell>
          <cell r="G1268" t="str">
            <v>佐藤　完二</v>
          </cell>
          <cell r="H1268">
            <v>30</v>
          </cell>
          <cell r="I1268">
            <v>22</v>
          </cell>
          <cell r="J1268" t="str">
            <v>103</v>
          </cell>
          <cell r="K1268" t="str">
            <v>中央区日本橋本町2-2</v>
          </cell>
          <cell r="L1268" t="str">
            <v>エイコービル</v>
          </cell>
          <cell r="M1268" t="str">
            <v>03-3669-7121</v>
          </cell>
          <cell r="N1268" t="str">
            <v>/</v>
          </cell>
          <cell r="O1268" t="str">
            <v>造園土木工事</v>
          </cell>
          <cell r="Q1268" t="str">
            <v xml:space="preserve"> </v>
          </cell>
          <cell r="T1268" t="str">
            <v>ｼｰｱｲﾘｮｯｶﾄﾞﾎﾞｸ</v>
          </cell>
          <cell r="V1268" t="str">
            <v>30</v>
          </cell>
        </row>
        <row r="1269">
          <cell r="B1269" t="str">
            <v>9255</v>
          </cell>
          <cell r="C1269" t="str">
            <v>#</v>
          </cell>
          <cell r="D1269" t="str">
            <v>(株)Ｔ･Ｓ･Ｙ</v>
          </cell>
          <cell r="F1269" t="str">
            <v>代表取締役社長</v>
          </cell>
          <cell r="G1269" t="str">
            <v>伊澤  紘</v>
          </cell>
          <cell r="H1269">
            <v>150</v>
          </cell>
          <cell r="I1269">
            <v>112</v>
          </cell>
          <cell r="J1269" t="str">
            <v>639-11</v>
          </cell>
          <cell r="K1269" t="str">
            <v>大和郡山市今国府町88-2</v>
          </cell>
          <cell r="L1269" t="str">
            <v xml:space="preserve"> </v>
          </cell>
          <cell r="M1269" t="str">
            <v>07435-6-8111</v>
          </cell>
          <cell r="N1269" t="str">
            <v>/6-5135</v>
          </cell>
          <cell r="O1269" t="str">
            <v>ディスクホイール</v>
          </cell>
          <cell r="Q1269" t="str">
            <v xml:space="preserve"> </v>
          </cell>
          <cell r="S1269" t="str">
            <v>☆</v>
          </cell>
          <cell r="T1269" t="str">
            <v>ﾃｨｰｴｽﾜｲ</v>
          </cell>
          <cell r="V1269" t="str">
            <v>54</v>
          </cell>
        </row>
        <row r="1270">
          <cell r="B1270" t="str">
            <v>9256</v>
          </cell>
          <cell r="C1270" t="str">
            <v>#</v>
          </cell>
          <cell r="D1270" t="str">
            <v>(株)ヤナセ</v>
          </cell>
          <cell r="F1270" t="str">
            <v>取締役社長</v>
          </cell>
          <cell r="G1270" t="str">
            <v>稲山  孝英</v>
          </cell>
          <cell r="H1270">
            <v>320</v>
          </cell>
          <cell r="I1270">
            <v>5555</v>
          </cell>
          <cell r="J1270" t="str">
            <v>105</v>
          </cell>
          <cell r="K1270" t="str">
            <v>港区芝浦1-6-38</v>
          </cell>
          <cell r="L1270" t="str">
            <v xml:space="preserve"> </v>
          </cell>
          <cell r="M1270" t="str">
            <v>03-3452-4311</v>
          </cell>
          <cell r="N1270" t="str">
            <v>/</v>
          </cell>
          <cell r="O1270" t="str">
            <v>ﾀｲﾔ</v>
          </cell>
          <cell r="Q1270" t="str">
            <v xml:space="preserve"> </v>
          </cell>
          <cell r="T1270" t="str">
            <v>ﾔﾅｾ</v>
          </cell>
          <cell r="V1270" t="str">
            <v>64</v>
          </cell>
        </row>
        <row r="1271">
          <cell r="B1271" t="str">
            <v>9256</v>
          </cell>
          <cell r="C1271" t="str">
            <v>A</v>
          </cell>
          <cell r="D1271" t="str">
            <v>(株)ヤナセ</v>
          </cell>
          <cell r="E1271" t="str">
            <v>GM事業部ﾊﾟｰﾂ部</v>
          </cell>
          <cell r="J1271" t="str">
            <v>226</v>
          </cell>
          <cell r="K1271" t="str">
            <v>横浜市緑区折本町201</v>
          </cell>
          <cell r="L1271" t="str">
            <v xml:space="preserve"> </v>
          </cell>
          <cell r="M1271" t="str">
            <v>045-471-5111</v>
          </cell>
          <cell r="N1271" t="str">
            <v>/471-7453</v>
          </cell>
          <cell r="O1271" t="str">
            <v>ﾀｲﾔ</v>
          </cell>
          <cell r="Q1271" t="str">
            <v xml:space="preserve"> </v>
          </cell>
          <cell r="T1271" t="str">
            <v>ﾔﾅｾ</v>
          </cell>
          <cell r="V1271" t="str">
            <v>64</v>
          </cell>
        </row>
        <row r="1272">
          <cell r="B1272" t="str">
            <v>9257</v>
          </cell>
          <cell r="C1272" t="str">
            <v>#</v>
          </cell>
          <cell r="D1272" t="str">
            <v>(株)ｴｽｴｽﾘﾐﾃｯﾄﾞ</v>
          </cell>
          <cell r="F1272" t="str">
            <v>代表取締役</v>
          </cell>
          <cell r="G1272" t="str">
            <v>原田　信雄</v>
          </cell>
          <cell r="H1272">
            <v>20</v>
          </cell>
          <cell r="I1272">
            <v>15</v>
          </cell>
          <cell r="J1272" t="str">
            <v>146</v>
          </cell>
          <cell r="K1272" t="str">
            <v>大田区下丸子1-11-1</v>
          </cell>
          <cell r="L1272" t="str">
            <v xml:space="preserve"> </v>
          </cell>
          <cell r="M1272" t="str">
            <v>03-3759-7777</v>
          </cell>
          <cell r="N1272" t="str">
            <v>/3759-7779</v>
          </cell>
          <cell r="O1272" t="str">
            <v>CIBIEﾗﾝﾌﾟ</v>
          </cell>
          <cell r="P1272" t="str">
            <v>▽</v>
          </cell>
          <cell r="Q1272" t="str">
            <v xml:space="preserve"> </v>
          </cell>
          <cell r="T1272" t="str">
            <v>ｴｽｴｽﾘﾐﾃｯﾄﾞ</v>
          </cell>
          <cell r="V1272" t="str">
            <v>62</v>
          </cell>
        </row>
        <row r="1273">
          <cell r="B1273" t="str">
            <v>9258</v>
          </cell>
          <cell r="C1273" t="str">
            <v>#</v>
          </cell>
          <cell r="D1273" t="str">
            <v>京セラ(株)</v>
          </cell>
          <cell r="F1273" t="str">
            <v>代表取締役社長</v>
          </cell>
          <cell r="G1273" t="str">
            <v>伊藤　謙介</v>
          </cell>
          <cell r="H1273">
            <v>104827</v>
          </cell>
          <cell r="I1273">
            <v>13236</v>
          </cell>
          <cell r="J1273" t="str">
            <v>607</v>
          </cell>
          <cell r="K1273" t="str">
            <v>京都市山科区東野北井ノ上町</v>
          </cell>
          <cell r="L1273" t="str">
            <v>5-22</v>
          </cell>
          <cell r="M1273" t="str">
            <v>075-592-3851</v>
          </cell>
          <cell r="N1273" t="str">
            <v>/</v>
          </cell>
          <cell r="O1273" t="str">
            <v>ｴﾝｼﾞﾝ部品</v>
          </cell>
          <cell r="Q1273" t="str">
            <v xml:space="preserve"> </v>
          </cell>
          <cell r="R1273" t="str">
            <v>□</v>
          </cell>
          <cell r="T1273" t="str">
            <v>ｷｮｳｾﾗ</v>
          </cell>
          <cell r="V1273" t="str">
            <v>51</v>
          </cell>
        </row>
        <row r="1274">
          <cell r="B1274" t="str">
            <v>9258</v>
          </cell>
          <cell r="C1274" t="str">
            <v>A</v>
          </cell>
          <cell r="D1274" t="str">
            <v>京セラ(株)</v>
          </cell>
          <cell r="E1274" t="str">
            <v>東京営業所</v>
          </cell>
          <cell r="J1274" t="str">
            <v>104</v>
          </cell>
          <cell r="K1274" t="str">
            <v>中央区八重洲2-3-14</v>
          </cell>
          <cell r="L1274" t="str">
            <v xml:space="preserve"> </v>
          </cell>
          <cell r="M1274" t="str">
            <v>03-3274-1553</v>
          </cell>
          <cell r="N1274" t="str">
            <v>/3274-1540</v>
          </cell>
          <cell r="O1274" t="str">
            <v>ｴﾝｼﾞﾝ部品</v>
          </cell>
          <cell r="Q1274" t="str">
            <v xml:space="preserve"> </v>
          </cell>
          <cell r="T1274" t="str">
            <v>ｷｮｳｾﾗ</v>
          </cell>
          <cell r="V1274" t="str">
            <v>51</v>
          </cell>
        </row>
        <row r="1275">
          <cell r="B1275" t="str">
            <v>9259</v>
          </cell>
          <cell r="C1275" t="str">
            <v>#</v>
          </cell>
          <cell r="D1275" t="str">
            <v>ＴＲＷ ＳＳＪ(株)</v>
          </cell>
          <cell r="F1275" t="str">
            <v>代表取締役</v>
          </cell>
          <cell r="G1275" t="str">
            <v>畑野　全志</v>
          </cell>
          <cell r="H1275">
            <v>1088</v>
          </cell>
          <cell r="I1275">
            <v>817</v>
          </cell>
          <cell r="J1275" t="str">
            <v>486</v>
          </cell>
          <cell r="K1275" t="str">
            <v>春日井市牛山町字下田面中</v>
          </cell>
          <cell r="L1275" t="str">
            <v>1203</v>
          </cell>
          <cell r="M1275" t="str">
            <v>0568-31-8111</v>
          </cell>
          <cell r="N1275" t="str">
            <v>/</v>
          </cell>
          <cell r="O1275" t="str">
            <v>ﾀｲﾛｯﾄﾞｴﾝﾄﾞ</v>
          </cell>
          <cell r="Q1275" t="str">
            <v>◎</v>
          </cell>
          <cell r="R1275" t="str">
            <v>□</v>
          </cell>
          <cell r="S1275" t="str">
            <v>☆</v>
          </cell>
          <cell r="T1275" t="str">
            <v xml:space="preserve">ﾃｨｰｱｰﾙﾀﾞﾌﾞﾘｭｰｴｽｴｽｼﾞｪｲ </v>
          </cell>
          <cell r="V1275" t="str">
            <v>64</v>
          </cell>
        </row>
        <row r="1276">
          <cell r="B1276" t="str">
            <v>9259</v>
          </cell>
          <cell r="C1276" t="str">
            <v>A</v>
          </cell>
          <cell r="D1276" t="str">
            <v>ＴＲＷＳＳＪ(株)</v>
          </cell>
          <cell r="E1276" t="str">
            <v>東京営業所</v>
          </cell>
          <cell r="F1276" t="str">
            <v>所長</v>
          </cell>
          <cell r="G1276" t="str">
            <v>日比野　正美</v>
          </cell>
          <cell r="J1276" t="str">
            <v>105</v>
          </cell>
          <cell r="K1276" t="str">
            <v>港区浜松町2-2-3</v>
          </cell>
          <cell r="L1276" t="str">
            <v>菊島ビル5F</v>
          </cell>
          <cell r="M1276" t="str">
            <v>03-3437-5061</v>
          </cell>
          <cell r="N1276" t="str">
            <v>/5402-6968</v>
          </cell>
          <cell r="O1276" t="str">
            <v>ﾀｲﾛｯﾄﾞｴﾝﾄﾞ</v>
          </cell>
          <cell r="Q1276" t="str">
            <v xml:space="preserve"> </v>
          </cell>
          <cell r="T1276" t="str">
            <v xml:space="preserve">ﾃｨｰｱｰﾙﾀﾞﾌﾞﾘｭｰｴｽｴｽｼﾞｪｲ </v>
          </cell>
          <cell r="V1276" t="str">
            <v>64</v>
          </cell>
        </row>
        <row r="1277">
          <cell r="B1277" t="str">
            <v>9262</v>
          </cell>
          <cell r="C1277" t="str">
            <v>#</v>
          </cell>
          <cell r="D1277" t="str">
            <v>三菱電線工業(株)</v>
          </cell>
          <cell r="F1277" t="str">
            <v>取締役社長</v>
          </cell>
          <cell r="G1277" t="str">
            <v>冨士  晴之助</v>
          </cell>
          <cell r="H1277">
            <v>17278</v>
          </cell>
          <cell r="I1277">
            <v>2218</v>
          </cell>
          <cell r="J1277" t="str">
            <v>100</v>
          </cell>
          <cell r="K1277" t="str">
            <v>千代田区丸の内3-4-1</v>
          </cell>
          <cell r="L1277" t="str">
            <v>新国際ビル</v>
          </cell>
          <cell r="M1277" t="str">
            <v>03-3216-1587</v>
          </cell>
          <cell r="N1277" t="str">
            <v>/3213-6464</v>
          </cell>
          <cell r="O1277" t="str">
            <v>ｶﾞｽｹｯﾄ､ﾊﾟｯｷﾝ</v>
          </cell>
          <cell r="Q1277" t="str">
            <v xml:space="preserve"> </v>
          </cell>
          <cell r="R1277" t="str">
            <v>□</v>
          </cell>
          <cell r="S1277" t="str">
            <v>☆</v>
          </cell>
          <cell r="T1277" t="str">
            <v>ﾐﾂﾋﾞｼﾃﾞﾝｾﾝｺｳｷﾞｮｳ</v>
          </cell>
          <cell r="V1277" t="str">
            <v>51</v>
          </cell>
        </row>
        <row r="1278">
          <cell r="B1278" t="str">
            <v>9264</v>
          </cell>
          <cell r="C1278" t="str">
            <v>#</v>
          </cell>
          <cell r="D1278" t="str">
            <v>日本ｻｰﾓｽﾀｯﾄ(株)</v>
          </cell>
          <cell r="F1278" t="str">
            <v>代表取締役社長</v>
          </cell>
          <cell r="G1278" t="str">
            <v>大西　祥敬</v>
          </cell>
          <cell r="H1278">
            <v>450</v>
          </cell>
          <cell r="I1278">
            <v>453</v>
          </cell>
          <cell r="J1278" t="str">
            <v>204</v>
          </cell>
          <cell r="K1278" t="str">
            <v>清瀬市中里6-59-2</v>
          </cell>
          <cell r="L1278" t="str">
            <v xml:space="preserve"> </v>
          </cell>
          <cell r="M1278" t="str">
            <v>0424-91-2201</v>
          </cell>
          <cell r="N1278" t="str">
            <v>/93-3085</v>
          </cell>
          <cell r="O1278" t="str">
            <v>ｻｰﾓｽﾀｯﾄ､ｻｰﾓｽｲｯﾁ</v>
          </cell>
          <cell r="Q1278" t="str">
            <v xml:space="preserve"> </v>
          </cell>
          <cell r="R1278" t="str">
            <v>□</v>
          </cell>
          <cell r="T1278" t="str">
            <v>ﾆﾎﾝｻｰﾓｽﾀｯﾄ</v>
          </cell>
          <cell r="V1278" t="str">
            <v>51</v>
          </cell>
        </row>
        <row r="1279">
          <cell r="B1279" t="str">
            <v>9267</v>
          </cell>
          <cell r="C1279" t="str">
            <v>#</v>
          </cell>
          <cell r="D1279" t="str">
            <v>ＴＤＫ(株)</v>
          </cell>
          <cell r="F1279" t="str">
            <v>代表取締役社長</v>
          </cell>
          <cell r="G1279" t="str">
            <v>大歳　寛</v>
          </cell>
          <cell r="H1279">
            <v>5470</v>
          </cell>
          <cell r="I1279">
            <v>6278</v>
          </cell>
          <cell r="J1279" t="str">
            <v>103</v>
          </cell>
          <cell r="K1279" t="str">
            <v>中央区日本橋1-13-1</v>
          </cell>
          <cell r="L1279" t="str">
            <v xml:space="preserve"> </v>
          </cell>
          <cell r="M1279" t="str">
            <v>03-3278-5111</v>
          </cell>
          <cell r="N1279" t="str">
            <v>/</v>
          </cell>
          <cell r="O1279" t="str">
            <v>ｼｰﾙﾄﾞﾙｰﾑ､電波暗室</v>
          </cell>
          <cell r="Q1279" t="str">
            <v xml:space="preserve"> </v>
          </cell>
          <cell r="T1279" t="str">
            <v>ﾃｨｰﾃﾞｨｰｹｰ</v>
          </cell>
          <cell r="V1279" t="str">
            <v>30</v>
          </cell>
        </row>
        <row r="1280">
          <cell r="B1280" t="str">
            <v>9268</v>
          </cell>
          <cell r="C1280" t="str">
            <v>#</v>
          </cell>
          <cell r="D1280" t="str">
            <v>三和精機(株)</v>
          </cell>
          <cell r="F1280" t="str">
            <v>代表取締役社長</v>
          </cell>
          <cell r="G1280" t="str">
            <v>内田　皓</v>
          </cell>
          <cell r="H1280">
            <v>34</v>
          </cell>
          <cell r="I1280">
            <v>119</v>
          </cell>
          <cell r="J1280" t="str">
            <v>464</v>
          </cell>
          <cell r="K1280" t="str">
            <v>名古屋市千種区千種3-38-6</v>
          </cell>
          <cell r="L1280" t="str">
            <v xml:space="preserve"> </v>
          </cell>
          <cell r="M1280" t="str">
            <v>0466-43-4981</v>
          </cell>
          <cell r="N1280" t="str">
            <v>/43-4982</v>
          </cell>
          <cell r="O1280" t="str">
            <v>ﾀｯﾌﾟ､ｴﾝﾄﾞﾐﾙﾄﾞﾘﾙ</v>
          </cell>
          <cell r="Q1280" t="str">
            <v xml:space="preserve"> </v>
          </cell>
          <cell r="R1280" t="str">
            <v>□</v>
          </cell>
          <cell r="T1280" t="str">
            <v>ｻﾝﾜｾｲｷ</v>
          </cell>
          <cell r="V1280" t="str">
            <v>30</v>
          </cell>
        </row>
        <row r="1281">
          <cell r="B1281" t="str">
            <v>9269</v>
          </cell>
          <cell r="C1281" t="str">
            <v>#</v>
          </cell>
          <cell r="D1281" t="str">
            <v>(株)エイチイーシー</v>
          </cell>
          <cell r="F1281" t="str">
            <v>取締役社長</v>
          </cell>
          <cell r="G1281" t="str">
            <v>野村  力</v>
          </cell>
          <cell r="H1281">
            <v>770</v>
          </cell>
          <cell r="I1281">
            <v>822</v>
          </cell>
          <cell r="J1281" t="str">
            <v>550</v>
          </cell>
          <cell r="K1281" t="str">
            <v>大阪市西区江戸堀2-6-33</v>
          </cell>
          <cell r="L1281" t="str">
            <v>江戸堀シミズビル</v>
          </cell>
          <cell r="M1281" t="str">
            <v>06 -447-5700</v>
          </cell>
          <cell r="N1281" t="str">
            <v>/</v>
          </cell>
          <cell r="O1281" t="str">
            <v>プレス部品 改修工事</v>
          </cell>
          <cell r="Q1281" t="str">
            <v xml:space="preserve"> </v>
          </cell>
          <cell r="R1281" t="str">
            <v>□</v>
          </cell>
          <cell r="T1281" t="str">
            <v>ｴｲﾁｲｰｼｰ</v>
          </cell>
          <cell r="V1281" t="str">
            <v>30</v>
          </cell>
        </row>
        <row r="1282">
          <cell r="B1282" t="str">
            <v>9269</v>
          </cell>
          <cell r="C1282" t="str">
            <v>A</v>
          </cell>
          <cell r="D1282" t="str">
            <v>(株)エイチイーシー</v>
          </cell>
          <cell r="E1282" t="str">
            <v>東京支社営業部</v>
          </cell>
          <cell r="F1282" t="str">
            <v>営業部長</v>
          </cell>
          <cell r="G1282" t="str">
            <v>児泉  亨</v>
          </cell>
          <cell r="J1282" t="str">
            <v>144</v>
          </cell>
          <cell r="K1282" t="str">
            <v>大田区南蒲田2-16-2</v>
          </cell>
          <cell r="L1282" t="str">
            <v>ﾃｸﾉﾎﾟｰﾄﾋﾞﾙﾃﾞｨﾝｸﾞ6F</v>
          </cell>
          <cell r="M1282" t="str">
            <v>03-3733-0551</v>
          </cell>
          <cell r="N1282" t="str">
            <v>/3733-0928</v>
          </cell>
          <cell r="O1282" t="str">
            <v>プレス部品 改修工事</v>
          </cell>
          <cell r="T1282" t="str">
            <v>ｴｲﾁｲｰｼｰ</v>
          </cell>
          <cell r="V1282" t="str">
            <v>30</v>
          </cell>
        </row>
        <row r="1283">
          <cell r="B1283" t="str">
            <v>9270</v>
          </cell>
          <cell r="C1283" t="str">
            <v>#</v>
          </cell>
          <cell r="D1283" t="str">
            <v>ワシマイヤー(株)</v>
          </cell>
          <cell r="F1283" t="str">
            <v>代表取締役社長</v>
          </cell>
          <cell r="G1283" t="str">
            <v>小野　光太郎</v>
          </cell>
          <cell r="H1283">
            <v>270</v>
          </cell>
          <cell r="I1283">
            <v>100</v>
          </cell>
          <cell r="J1283" t="str">
            <v>933-03</v>
          </cell>
          <cell r="K1283" t="str">
            <v>高岡市福田六家525</v>
          </cell>
          <cell r="L1283" t="str">
            <v xml:space="preserve"> </v>
          </cell>
          <cell r="M1283" t="str">
            <v>0766-31-0021</v>
          </cell>
          <cell r="N1283" t="str">
            <v>/31-1403</v>
          </cell>
          <cell r="O1283" t="str">
            <v>ｱﾙﾐﾎｨｰﾙ</v>
          </cell>
          <cell r="Q1283" t="str">
            <v xml:space="preserve"> </v>
          </cell>
          <cell r="T1283" t="str">
            <v>ﾜｼﾏｲﾔｰ</v>
          </cell>
          <cell r="V1283" t="str">
            <v>54</v>
          </cell>
        </row>
        <row r="1284">
          <cell r="B1284" t="str">
            <v>9271</v>
          </cell>
          <cell r="C1284" t="str">
            <v>#</v>
          </cell>
          <cell r="D1284" t="str">
            <v>日米礦油(株)</v>
          </cell>
          <cell r="F1284" t="str">
            <v>代表取締役社長</v>
          </cell>
          <cell r="G1284" t="str">
            <v>太田　重彦</v>
          </cell>
          <cell r="H1284">
            <v>255</v>
          </cell>
          <cell r="I1284">
            <v>1005</v>
          </cell>
          <cell r="J1284" t="str">
            <v>550</v>
          </cell>
          <cell r="K1284" t="str">
            <v>大阪市西区南堀江4-25-15</v>
          </cell>
          <cell r="L1284" t="str">
            <v xml:space="preserve"> </v>
          </cell>
          <cell r="M1284" t="str">
            <v xml:space="preserve">06-561-1761 </v>
          </cell>
          <cell r="N1284" t="str">
            <v>/561-1725</v>
          </cell>
          <cell r="O1284" t="str">
            <v>パーツクリーナー</v>
          </cell>
          <cell r="Q1284" t="str">
            <v xml:space="preserve"> </v>
          </cell>
          <cell r="T1284" t="str">
            <v>ﾆﾁﾍﾞｲｺｳﾕ</v>
          </cell>
          <cell r="V1284" t="str">
            <v>15</v>
          </cell>
        </row>
        <row r="1285">
          <cell r="B1285" t="str">
            <v>9271</v>
          </cell>
          <cell r="C1285" t="str">
            <v>A</v>
          </cell>
          <cell r="D1285" t="str">
            <v>日米礦油(株)</v>
          </cell>
          <cell r="E1285" t="str">
            <v>神奈川営業所</v>
          </cell>
          <cell r="F1285" t="str">
            <v>所長</v>
          </cell>
          <cell r="G1285" t="str">
            <v>後藤　真一</v>
          </cell>
          <cell r="J1285" t="str">
            <v>243</v>
          </cell>
          <cell r="K1285" t="str">
            <v>厚木市妻田北1-2-3</v>
          </cell>
          <cell r="L1285" t="str">
            <v xml:space="preserve"> </v>
          </cell>
          <cell r="M1285" t="str">
            <v>03-3567-4442</v>
          </cell>
          <cell r="N1285" t="str">
            <v>/3564-3087</v>
          </cell>
          <cell r="O1285" t="str">
            <v>パーツクリーナー</v>
          </cell>
          <cell r="Q1285" t="str">
            <v xml:space="preserve"> </v>
          </cell>
          <cell r="T1285" t="str">
            <v>ﾆﾁﾍﾞｲｺｳﾕ</v>
          </cell>
          <cell r="V1285" t="str">
            <v>15</v>
          </cell>
        </row>
        <row r="1286">
          <cell r="B1286" t="str">
            <v>9272</v>
          </cell>
          <cell r="C1286" t="str">
            <v>#</v>
          </cell>
          <cell r="D1286" t="str">
            <v>山武計装(株)</v>
          </cell>
          <cell r="F1286" t="str">
            <v>取締役社長</v>
          </cell>
          <cell r="G1286" t="str">
            <v>茂木　和男</v>
          </cell>
          <cell r="H1286">
            <v>300</v>
          </cell>
          <cell r="I1286">
            <v>910</v>
          </cell>
          <cell r="J1286" t="str">
            <v>108</v>
          </cell>
          <cell r="K1286" t="str">
            <v>港区芝浦4-3-4</v>
          </cell>
          <cell r="L1286" t="str">
            <v xml:space="preserve"> </v>
          </cell>
          <cell r="M1286" t="str">
            <v>03-3456-6211</v>
          </cell>
          <cell r="N1286" t="str">
            <v>/</v>
          </cell>
          <cell r="O1286" t="str">
            <v>制御機器</v>
          </cell>
          <cell r="Q1286" t="str">
            <v xml:space="preserve"> </v>
          </cell>
          <cell r="T1286" t="str">
            <v>ﾔﾏﾀｹｹｲｿｳ</v>
          </cell>
          <cell r="V1286" t="str">
            <v>30</v>
          </cell>
        </row>
        <row r="1287">
          <cell r="B1287" t="str">
            <v>9272</v>
          </cell>
          <cell r="C1287" t="str">
            <v>A</v>
          </cell>
          <cell r="D1287" t="str">
            <v>山武計装(株)</v>
          </cell>
          <cell r="E1287" t="str">
            <v>横浜支店　</v>
          </cell>
          <cell r="J1287" t="str">
            <v>220</v>
          </cell>
          <cell r="K1287" t="str">
            <v>横浜市西区北幸2-10-39</v>
          </cell>
          <cell r="L1287" t="str">
            <v>日総第５ビル</v>
          </cell>
          <cell r="M1287" t="str">
            <v>045-320-8714</v>
          </cell>
          <cell r="N1287" t="str">
            <v>/320-8720</v>
          </cell>
          <cell r="O1287" t="str">
            <v>制御機器</v>
          </cell>
          <cell r="Q1287" t="str">
            <v xml:space="preserve"> </v>
          </cell>
          <cell r="T1287" t="str">
            <v>ﾔﾏﾀｹｹｲｿｳ</v>
          </cell>
          <cell r="V1287" t="str">
            <v>30</v>
          </cell>
        </row>
        <row r="1288">
          <cell r="B1288" t="str">
            <v>9273</v>
          </cell>
          <cell r="C1288" t="str">
            <v>#</v>
          </cell>
          <cell r="D1288" t="str">
            <v>兼松ｴﾚｸﾄﾛﾆｸｽ(株)</v>
          </cell>
          <cell r="F1288" t="str">
            <v>代表取締役社長</v>
          </cell>
          <cell r="G1288" t="str">
            <v>堀    晋</v>
          </cell>
          <cell r="H1288">
            <v>8411</v>
          </cell>
          <cell r="I1288">
            <v>1018</v>
          </cell>
          <cell r="J1288" t="str">
            <v>104</v>
          </cell>
          <cell r="K1288" t="str">
            <v>中央区京橋2-17-5</v>
          </cell>
          <cell r="L1288" t="str">
            <v xml:space="preserve"> </v>
          </cell>
          <cell r="M1288" t="str">
            <v>03-5250-6405</v>
          </cell>
          <cell r="N1288" t="str">
            <v>/5250-6010</v>
          </cell>
          <cell r="O1288" t="str">
            <v>ｿﾌﾄｳｪｱ</v>
          </cell>
          <cell r="Q1288" t="str">
            <v xml:space="preserve"> </v>
          </cell>
          <cell r="T1288" t="str">
            <v>ｶﾈﾏﾂｴﾚｸﾄﾛﾆｸｽ</v>
          </cell>
          <cell r="V1288" t="str">
            <v>30</v>
          </cell>
        </row>
        <row r="1289">
          <cell r="B1289" t="str">
            <v>9274</v>
          </cell>
          <cell r="C1289" t="str">
            <v>#</v>
          </cell>
          <cell r="D1289" t="str">
            <v>日揮情報システム(株)</v>
          </cell>
          <cell r="F1289" t="str">
            <v>代表取締役社長</v>
          </cell>
          <cell r="G1289" t="str">
            <v>星　　協一</v>
          </cell>
          <cell r="H1289">
            <v>400</v>
          </cell>
          <cell r="I1289">
            <v>216</v>
          </cell>
          <cell r="J1289" t="str">
            <v>222</v>
          </cell>
          <cell r="K1289" t="str">
            <v>横浜市港北区新横浜3-6-12</v>
          </cell>
          <cell r="L1289" t="str">
            <v xml:space="preserve"> </v>
          </cell>
          <cell r="M1289" t="str">
            <v>045-474-7861</v>
          </cell>
          <cell r="N1289" t="str">
            <v>/</v>
          </cell>
          <cell r="O1289" t="str">
            <v>ｿﾌﾄｳｪｱ</v>
          </cell>
          <cell r="Q1289" t="str">
            <v xml:space="preserve"> </v>
          </cell>
          <cell r="T1289" t="str">
            <v>ﾆｯｷｼﾞｮｳﾎｳｼｽﾃﾑ</v>
          </cell>
          <cell r="V1289" t="str">
            <v>30</v>
          </cell>
        </row>
        <row r="1290">
          <cell r="B1290" t="str">
            <v>9275</v>
          </cell>
          <cell r="C1290" t="str">
            <v>#</v>
          </cell>
          <cell r="D1290" t="str">
            <v>大久保歯車工業(株)</v>
          </cell>
          <cell r="F1290" t="str">
            <v>代表取締役</v>
          </cell>
          <cell r="G1290" t="str">
            <v>大久保　勝夫</v>
          </cell>
          <cell r="H1290">
            <v>238</v>
          </cell>
          <cell r="J1290" t="str">
            <v>243</v>
          </cell>
          <cell r="K1290" t="str">
            <v>厚木市上依知3030</v>
          </cell>
          <cell r="L1290" t="str">
            <v xml:space="preserve"> </v>
          </cell>
          <cell r="M1290" t="str">
            <v>0462-85-1131</v>
          </cell>
          <cell r="N1290" t="str">
            <v>/85-1866</v>
          </cell>
          <cell r="O1290" t="str">
            <v>リヤアクスル(歯車加工)</v>
          </cell>
          <cell r="Q1290" t="str">
            <v xml:space="preserve"> </v>
          </cell>
          <cell r="T1290" t="str">
            <v>ｵｵｸﾎﾞﾊｸﾞﾙﾏｺｳｷﾞｮｳ</v>
          </cell>
          <cell r="V1290" t="str">
            <v>54</v>
          </cell>
        </row>
        <row r="1291">
          <cell r="B1291" t="str">
            <v>9276</v>
          </cell>
          <cell r="C1291" t="str">
            <v>#</v>
          </cell>
          <cell r="D1291" t="str">
            <v>中央電気工事(株)</v>
          </cell>
          <cell r="F1291" t="str">
            <v>取締役社長</v>
          </cell>
          <cell r="G1291" t="str">
            <v>加藤　英和</v>
          </cell>
          <cell r="H1291">
            <v>100</v>
          </cell>
          <cell r="J1291" t="str">
            <v>460</v>
          </cell>
          <cell r="K1291" t="str">
            <v>名古屋市中区栄3-14-22</v>
          </cell>
          <cell r="L1291" t="str">
            <v xml:space="preserve"> </v>
          </cell>
          <cell r="M1291" t="str">
            <v>052-262-2151</v>
          </cell>
          <cell r="N1291" t="str">
            <v>/251-6150</v>
          </cell>
          <cell r="O1291" t="str">
            <v>設備工事</v>
          </cell>
          <cell r="Q1291" t="str">
            <v xml:space="preserve"> </v>
          </cell>
          <cell r="T1291" t="str">
            <v>ﾁｭｳｵｳﾃﾞﾝｷｺｳｼﾞ</v>
          </cell>
          <cell r="V1291" t="str">
            <v>30</v>
          </cell>
        </row>
        <row r="1292">
          <cell r="B1292" t="str">
            <v>9276</v>
          </cell>
          <cell r="C1292" t="str">
            <v>A</v>
          </cell>
          <cell r="D1292" t="str">
            <v>中央電気工事(株)</v>
          </cell>
          <cell r="E1292" t="str">
            <v>東京支社</v>
          </cell>
          <cell r="J1292" t="str">
            <v>160</v>
          </cell>
          <cell r="K1292" t="str">
            <v>新宿区新宿5-7-17</v>
          </cell>
          <cell r="L1292" t="str">
            <v/>
          </cell>
          <cell r="M1292" t="str">
            <v>03-3341-0193</v>
          </cell>
          <cell r="N1292" t="str">
            <v>/3350-8378</v>
          </cell>
          <cell r="O1292" t="str">
            <v>設備工事</v>
          </cell>
          <cell r="Q1292" t="str">
            <v xml:space="preserve"> </v>
          </cell>
          <cell r="T1292" t="str">
            <v>ﾁｭｳｵｳﾃﾞﾝｷｺｳｼﾞ</v>
          </cell>
          <cell r="V1292" t="str">
            <v>30</v>
          </cell>
        </row>
        <row r="1293">
          <cell r="B1293" t="str">
            <v>9277</v>
          </cell>
          <cell r="C1293" t="str">
            <v>#</v>
          </cell>
          <cell r="D1293" t="str">
            <v>(株)エヌコア</v>
          </cell>
          <cell r="F1293" t="str">
            <v>代表取締役</v>
          </cell>
          <cell r="G1293" t="str">
            <v>高原  幸比虎</v>
          </cell>
          <cell r="H1293">
            <v>150</v>
          </cell>
          <cell r="I1293">
            <v>22</v>
          </cell>
          <cell r="J1293" t="str">
            <v>222</v>
          </cell>
          <cell r="K1293" t="str">
            <v>横浜市港北区新横浜2-13-13</v>
          </cell>
          <cell r="L1293" t="str">
            <v>KM第一ビル4F</v>
          </cell>
          <cell r="M1293" t="str">
            <v>045-476-2211</v>
          </cell>
          <cell r="N1293" t="str">
            <v>/476-2220</v>
          </cell>
          <cell r="O1293" t="str">
            <v>ｾﾗﾐｯｸﾏｯﾄ</v>
          </cell>
          <cell r="Q1293" t="str">
            <v xml:space="preserve"> </v>
          </cell>
          <cell r="T1293" t="str">
            <v>ｴﾇｺｱ</v>
          </cell>
          <cell r="V1293" t="str">
            <v>51</v>
          </cell>
        </row>
        <row r="1294">
          <cell r="B1294" t="str">
            <v>9278</v>
          </cell>
          <cell r="C1294" t="str">
            <v>#</v>
          </cell>
          <cell r="D1294" t="str">
            <v>富士通ｻﾎﾟｰﾄｱﾝﾄﾞｻｰﾋﾞｽ(株)</v>
          </cell>
          <cell r="F1294" t="str">
            <v>代表取締役社長</v>
          </cell>
          <cell r="G1294" t="str">
            <v>桑原  晟</v>
          </cell>
          <cell r="H1294">
            <v>1100</v>
          </cell>
          <cell r="I1294" t="str">
            <v>4250</v>
          </cell>
          <cell r="J1294" t="str">
            <v>140</v>
          </cell>
          <cell r="K1294" t="str">
            <v>品川区南大井6-26-1</v>
          </cell>
          <cell r="L1294" t="str">
            <v/>
          </cell>
          <cell r="M1294" t="str">
            <v>03-5471-4700</v>
          </cell>
          <cell r="N1294" t="str">
            <v>/5471-4710</v>
          </cell>
          <cell r="O1294" t="str">
            <v>ｻﾌﾟﾗｲ品販売</v>
          </cell>
          <cell r="T1294" t="str">
            <v>ﾌｼﾞﾂｳｻﾎﾟｰﾄｱﾝﾄﾞｻｰﾋﾞｽ</v>
          </cell>
          <cell r="V1294" t="str">
            <v>30</v>
          </cell>
        </row>
        <row r="1295">
          <cell r="B1295" t="str">
            <v>9279</v>
          </cell>
          <cell r="C1295" t="str">
            <v>#</v>
          </cell>
          <cell r="D1295" t="str">
            <v>横河電機(株)</v>
          </cell>
          <cell r="F1295" t="str">
            <v>代表取締役社長</v>
          </cell>
          <cell r="G1295" t="str">
            <v>美川  英二</v>
          </cell>
          <cell r="H1295">
            <v>32306</v>
          </cell>
          <cell r="I1295">
            <v>6527</v>
          </cell>
          <cell r="J1295">
            <v>180</v>
          </cell>
          <cell r="K1295" t="str">
            <v>武蔵野市中町2-9-32</v>
          </cell>
          <cell r="L1295" t="str">
            <v/>
          </cell>
          <cell r="M1295" t="str">
            <v>0422-52-5555</v>
          </cell>
          <cell r="N1295" t="str">
            <v>/55-0461</v>
          </cell>
          <cell r="O1295" t="str">
            <v>FAｺﾝﾋﾟｭｰﾀｰ･計測器</v>
          </cell>
          <cell r="P1295" t="str">
            <v xml:space="preserve">  </v>
          </cell>
          <cell r="Q1295" t="str">
            <v xml:space="preserve"> </v>
          </cell>
          <cell r="R1295" t="str">
            <v xml:space="preserve"> </v>
          </cell>
          <cell r="S1295" t="str">
            <v xml:space="preserve"> </v>
          </cell>
          <cell r="T1295" t="str">
            <v>ﾖｺｶﾞﾜﾃﾞﾝｷ KK</v>
          </cell>
          <cell r="U1295" t="str">
            <v xml:space="preserve"> </v>
          </cell>
          <cell r="V1295" t="str">
            <v>30</v>
          </cell>
        </row>
        <row r="1296">
          <cell r="B1296" t="str">
            <v>9279</v>
          </cell>
          <cell r="C1296" t="str">
            <v>A</v>
          </cell>
          <cell r="D1296" t="str">
            <v>横河電機(株)</v>
          </cell>
          <cell r="J1296" t="str">
            <v>163-06</v>
          </cell>
          <cell r="K1296" t="str">
            <v>新宿区西新宿1-25-1</v>
          </cell>
          <cell r="L1296" t="str">
            <v>新宿ｾﾝﾀｰﾋﾞﾙ50F</v>
          </cell>
          <cell r="M1296" t="str">
            <v>03-3349-0611</v>
          </cell>
          <cell r="N1296" t="str">
            <v>/3348-3705</v>
          </cell>
          <cell r="P1296" t="str">
            <v xml:space="preserve">  </v>
          </cell>
          <cell r="Q1296" t="str">
            <v xml:space="preserve"> </v>
          </cell>
          <cell r="R1296" t="str">
            <v xml:space="preserve"> </v>
          </cell>
          <cell r="S1296" t="str">
            <v xml:space="preserve"> </v>
          </cell>
          <cell r="T1296" t="str">
            <v>ﾖｺｶﾞﾜﾃﾞﾝｷ KK</v>
          </cell>
          <cell r="U1296" t="str">
            <v xml:space="preserve"> </v>
          </cell>
          <cell r="V1296" t="str">
            <v>30</v>
          </cell>
        </row>
        <row r="1297">
          <cell r="B1297" t="str">
            <v>9289</v>
          </cell>
          <cell r="C1297" t="str">
            <v>#</v>
          </cell>
          <cell r="D1297" t="str">
            <v>いすゞモーター神奈川(株)</v>
          </cell>
          <cell r="F1297" t="str">
            <v>代表取締役</v>
          </cell>
          <cell r="G1297" t="str">
            <v>内田  晋輔</v>
          </cell>
          <cell r="H1297" t="str">
            <v>910</v>
          </cell>
          <cell r="I1297" t="str">
            <v>507</v>
          </cell>
          <cell r="J1297" t="str">
            <v>234</v>
          </cell>
          <cell r="K1297" t="str">
            <v>横浜市港南区日野中央1-16-8</v>
          </cell>
          <cell r="L1297" t="str">
            <v/>
          </cell>
          <cell r="M1297" t="str">
            <v>044-222-3711</v>
          </cell>
          <cell r="N1297" t="str">
            <v>/222-1514</v>
          </cell>
          <cell r="O1297" t="str">
            <v>車両販売</v>
          </cell>
          <cell r="T1297" t="str">
            <v>ｲｽｽﾞﾓｰﾀｰｶﾅｶﾞﾜ</v>
          </cell>
          <cell r="V1297" t="str">
            <v>30</v>
          </cell>
        </row>
        <row r="1298">
          <cell r="B1298" t="str">
            <v>9290</v>
          </cell>
          <cell r="C1298" t="str">
            <v>#</v>
          </cell>
          <cell r="D1298" t="str">
            <v>(株)木村洋行</v>
          </cell>
          <cell r="F1298" t="str">
            <v>代表取締役</v>
          </cell>
          <cell r="G1298" t="str">
            <v>木村  芳正</v>
          </cell>
          <cell r="H1298">
            <v>1394</v>
          </cell>
          <cell r="I1298">
            <v>39</v>
          </cell>
          <cell r="J1298" t="str">
            <v>100</v>
          </cell>
          <cell r="K1298" t="str">
            <v>千代田区有楽町1-8-1</v>
          </cell>
          <cell r="L1298" t="str">
            <v>日比谷パークビル408号</v>
          </cell>
          <cell r="M1298" t="str">
            <v>03-3213-0258</v>
          </cell>
          <cell r="N1298" t="str">
            <v>/3213-0470</v>
          </cell>
          <cell r="O1298" t="str">
            <v>ｿﾚﾉｲﾄﾞ</v>
          </cell>
          <cell r="Q1298" t="str">
            <v xml:space="preserve"> </v>
          </cell>
          <cell r="S1298" t="str">
            <v>☆</v>
          </cell>
          <cell r="T1298" t="str">
            <v>ｷﾑﾗﾖｳｺｳ</v>
          </cell>
          <cell r="V1298" t="str">
            <v>75</v>
          </cell>
        </row>
        <row r="1299">
          <cell r="B1299" t="str">
            <v>9292</v>
          </cell>
          <cell r="C1299" t="str">
            <v>#</v>
          </cell>
          <cell r="D1299" t="str">
            <v>ｱﾗｲﾄﾞｼｸﾞﾅﾙ・ｼﾞｬﾊﾟﾝ(株)</v>
          </cell>
          <cell r="F1299" t="str">
            <v>代表取締役社長</v>
          </cell>
          <cell r="G1299" t="str">
            <v>稲次  哲郎</v>
          </cell>
          <cell r="H1299">
            <v>27</v>
          </cell>
          <cell r="I1299">
            <v>35</v>
          </cell>
          <cell r="J1299" t="str">
            <v>108</v>
          </cell>
          <cell r="K1299" t="str">
            <v>港区三田3-13-16</v>
          </cell>
          <cell r="L1299" t="str">
            <v>三田43森ビル4F</v>
          </cell>
          <cell r="M1299" t="str">
            <v>03-3769-8551</v>
          </cell>
          <cell r="N1299" t="str">
            <v>/3769-5806</v>
          </cell>
          <cell r="O1299" t="str">
            <v>ｴｱﾊﾞｯｸﾞ</v>
          </cell>
          <cell r="Q1299" t="str">
            <v>◎</v>
          </cell>
          <cell r="R1299" t="str">
            <v>□</v>
          </cell>
          <cell r="T1299" t="str">
            <v>ｱﾗｲﾄﾞｼｸﾞﾅﾙ･ｼﾞｬﾊﾟﾝ</v>
          </cell>
          <cell r="V1299" t="str">
            <v>75</v>
          </cell>
        </row>
        <row r="1300">
          <cell r="B1300" t="str">
            <v>9293</v>
          </cell>
          <cell r="C1300" t="str">
            <v>#</v>
          </cell>
          <cell r="D1300" t="str">
            <v>伸工貿易(株)</v>
          </cell>
          <cell r="F1300" t="str">
            <v>代表取締役</v>
          </cell>
          <cell r="G1300" t="str">
            <v>野沢  哲</v>
          </cell>
          <cell r="H1300">
            <v>20</v>
          </cell>
          <cell r="I1300">
            <v>14</v>
          </cell>
          <cell r="J1300" t="str">
            <v>150</v>
          </cell>
          <cell r="K1300" t="str">
            <v>渋谷区宇田川町3-14</v>
          </cell>
          <cell r="L1300" t="str">
            <v xml:space="preserve"> </v>
          </cell>
          <cell r="M1300" t="str">
            <v>03-3463-0941</v>
          </cell>
          <cell r="N1300" t="str">
            <v>/3463-1407</v>
          </cell>
          <cell r="O1300" t="str">
            <v>第5輪.ﾎｲｰﾙ.ﾌﾞﾚｰｷ部品</v>
          </cell>
          <cell r="T1300" t="str">
            <v>ｼﾝｺｳﾎﾞｳｴｷ</v>
          </cell>
          <cell r="V1300" t="str">
            <v>75</v>
          </cell>
        </row>
        <row r="1301">
          <cell r="B1301" t="str">
            <v>9294</v>
          </cell>
          <cell r="C1301" t="str">
            <v>#</v>
          </cell>
          <cell r="D1301" t="str">
            <v>興亜ビジネス(株)</v>
          </cell>
          <cell r="F1301" t="str">
            <v>代表取締役社長</v>
          </cell>
          <cell r="G1301" t="str">
            <v>宋    振遠</v>
          </cell>
          <cell r="H1301" t="str">
            <v>100</v>
          </cell>
          <cell r="I1301" t="str">
            <v>11</v>
          </cell>
          <cell r="J1301" t="str">
            <v>104</v>
          </cell>
          <cell r="K1301" t="str">
            <v>中央区銀座1-8-16</v>
          </cell>
          <cell r="L1301" t="str">
            <v>銀座アスタービル4F</v>
          </cell>
          <cell r="M1301" t="str">
            <v>03-3564-1388</v>
          </cell>
          <cell r="N1301" t="str">
            <v>/3564-1383</v>
          </cell>
          <cell r="O1301" t="str">
            <v>自動車部品と設備</v>
          </cell>
          <cell r="T1301" t="str">
            <v>ｺｳｱﾋﾞｼﾞﾈｽ</v>
          </cell>
          <cell r="V1301" t="str">
            <v>73</v>
          </cell>
        </row>
        <row r="1302">
          <cell r="B1302" t="str">
            <v>9377</v>
          </cell>
          <cell r="C1302" t="str">
            <v>#</v>
          </cell>
          <cell r="D1302" t="str">
            <v>(株)ｼﾞｰｹｰｴﾇ･ｼﾞｬﾊﾟﾝ</v>
          </cell>
          <cell r="F1302" t="str">
            <v>代表取締役社長</v>
          </cell>
          <cell r="G1302" t="str">
            <v>田中　治夫</v>
          </cell>
          <cell r="H1302">
            <v>100</v>
          </cell>
          <cell r="I1302">
            <v>34</v>
          </cell>
          <cell r="J1302" t="str">
            <v>105</v>
          </cell>
          <cell r="K1302" t="str">
            <v>港区芝浦3-7-12</v>
          </cell>
          <cell r="L1302" t="str">
            <v>シグマビル1F</v>
          </cell>
          <cell r="M1302" t="str">
            <v>03-5476-5901</v>
          </cell>
          <cell r="N1302" t="str">
            <v>/5476-5906</v>
          </cell>
          <cell r="O1302" t="str">
            <v>ｺﾝﾛｯﾄﾞ粗材</v>
          </cell>
          <cell r="Q1302" t="str">
            <v xml:space="preserve"> </v>
          </cell>
          <cell r="T1302" t="str">
            <v>ｼﾞｰｹｰｴﾇｼﾞｬﾊﾟﾝ</v>
          </cell>
          <cell r="U1302" t="str">
            <v>F.3592-0965</v>
          </cell>
          <cell r="V1302" t="str">
            <v>73</v>
          </cell>
        </row>
        <row r="1303">
          <cell r="B1303" t="str">
            <v>9381</v>
          </cell>
          <cell r="C1303" t="str">
            <v>#</v>
          </cell>
          <cell r="D1303" t="str">
            <v>東洋機製造(株)</v>
          </cell>
          <cell r="F1303" t="str">
            <v>取締役社長</v>
          </cell>
          <cell r="G1303" t="str">
            <v>島田　裕光</v>
          </cell>
          <cell r="H1303">
            <v>125</v>
          </cell>
          <cell r="I1303">
            <v>421</v>
          </cell>
          <cell r="J1303" t="str">
            <v>434</v>
          </cell>
          <cell r="K1303" t="str">
            <v>浜北市中瀬7800</v>
          </cell>
          <cell r="L1303" t="str">
            <v xml:space="preserve"> </v>
          </cell>
          <cell r="M1303" t="str">
            <v>053-588-0515</v>
          </cell>
          <cell r="N1303" t="str">
            <v>/588-3330</v>
          </cell>
          <cell r="O1303" t="str">
            <v>ｴｱｸﾘｰﾅｰ､ｵｲﾙｸﾘｰﾅｰ</v>
          </cell>
          <cell r="Q1303" t="str">
            <v xml:space="preserve"> </v>
          </cell>
          <cell r="T1303" t="str">
            <v>ﾄｳﾖｳﾛｷｾｲｿﾞｳ</v>
          </cell>
          <cell r="V1303" t="str">
            <v>51</v>
          </cell>
        </row>
        <row r="1304">
          <cell r="B1304" t="str">
            <v>9427</v>
          </cell>
          <cell r="C1304" t="str">
            <v>#</v>
          </cell>
          <cell r="D1304" t="str">
            <v>日本ナシｮナルシｰル(株)</v>
          </cell>
          <cell r="F1304" t="str">
            <v>取締役社長</v>
          </cell>
          <cell r="G1304" t="str">
            <v>重成  隼男</v>
          </cell>
          <cell r="H1304">
            <v>6267</v>
          </cell>
          <cell r="I1304">
            <v>2766</v>
          </cell>
          <cell r="J1304" t="str">
            <v>100</v>
          </cell>
          <cell r="K1304" t="str">
            <v>千代田区丸の内3-4-1</v>
          </cell>
          <cell r="L1304" t="str">
            <v>新国際ビル</v>
          </cell>
          <cell r="M1304" t="str">
            <v>03-3216-1551</v>
          </cell>
          <cell r="N1304" t="str">
            <v>/3213-6464</v>
          </cell>
          <cell r="O1304" t="str">
            <v>ｵｲﾙｼｰﾙ</v>
          </cell>
          <cell r="Q1304" t="str">
            <v xml:space="preserve"> </v>
          </cell>
          <cell r="T1304" t="str">
            <v>ﾆﾎﾝﾅｼｮﾅﾙｼｰﾙ</v>
          </cell>
          <cell r="V1304" t="str">
            <v>75</v>
          </cell>
        </row>
        <row r="1305">
          <cell r="B1305" t="str">
            <v>9441</v>
          </cell>
          <cell r="C1305" t="str">
            <v>#</v>
          </cell>
          <cell r="D1305" t="str">
            <v>ボッシュ(株)</v>
          </cell>
          <cell r="F1305" t="str">
            <v>代表取締役</v>
          </cell>
          <cell r="G1305" t="str">
            <v>ﾎﾙｽﾄ ｳﾞｨｯﾄ</v>
          </cell>
          <cell r="H1305">
            <v>6524</v>
          </cell>
          <cell r="I1305">
            <v>313</v>
          </cell>
          <cell r="J1305" t="str">
            <v>224</v>
          </cell>
          <cell r="K1305" t="str">
            <v>横浜市都筑区牛久保町3-9-1</v>
          </cell>
          <cell r="L1305" t="str">
            <v xml:space="preserve"> </v>
          </cell>
          <cell r="M1305" t="str">
            <v>045-912-8282</v>
          </cell>
          <cell r="N1305" t="str">
            <v>/912-3614</v>
          </cell>
          <cell r="O1305" t="str">
            <v>O2ｾﾝｻｰ</v>
          </cell>
          <cell r="Q1305" t="str">
            <v xml:space="preserve"> </v>
          </cell>
          <cell r="T1305" t="str">
            <v>ﾎﾞｯｼｭ</v>
          </cell>
          <cell r="V1305" t="str">
            <v>51</v>
          </cell>
        </row>
        <row r="1306">
          <cell r="B1306" t="str">
            <v>9441</v>
          </cell>
          <cell r="C1306" t="str">
            <v>##</v>
          </cell>
          <cell r="D1306" t="str">
            <v>ボッシュ(株)</v>
          </cell>
          <cell r="G1306" t="str">
            <v>ﾓｰｻﾞｰ</v>
          </cell>
          <cell r="K1306" t="str">
            <v xml:space="preserve"> </v>
          </cell>
          <cell r="L1306" t="str">
            <v xml:space="preserve"> </v>
          </cell>
          <cell r="N1306" t="str">
            <v>/</v>
          </cell>
          <cell r="Q1306" t="str">
            <v xml:space="preserve"> </v>
          </cell>
          <cell r="T1306" t="str">
            <v>ﾎﾞｯｼｭ</v>
          </cell>
          <cell r="V1306" t="str">
            <v>51</v>
          </cell>
        </row>
        <row r="1307">
          <cell r="B1307" t="str">
            <v>9457</v>
          </cell>
          <cell r="C1307" t="str">
            <v>#</v>
          </cell>
          <cell r="D1307" t="str">
            <v>三菱商事(株)</v>
          </cell>
          <cell r="F1307" t="str">
            <v>取締役社長</v>
          </cell>
          <cell r="G1307" t="str">
            <v>槙原  稔</v>
          </cell>
          <cell r="H1307">
            <v>125408</v>
          </cell>
          <cell r="I1307">
            <v>9852</v>
          </cell>
          <cell r="J1307" t="str">
            <v>100-86</v>
          </cell>
          <cell r="K1307" t="str">
            <v>千代田区丸の内2-6-3</v>
          </cell>
          <cell r="L1307" t="str">
            <v xml:space="preserve"> </v>
          </cell>
          <cell r="M1307" t="str">
            <v>03-3210-2121</v>
          </cell>
          <cell r="N1307" t="str">
            <v>/</v>
          </cell>
          <cell r="O1307" t="str">
            <v>業務委託</v>
          </cell>
          <cell r="Q1307" t="str">
            <v xml:space="preserve"> </v>
          </cell>
          <cell r="T1307" t="str">
            <v>ﾐﾂﾋﾞｼｼｮｳｼﾞ</v>
          </cell>
          <cell r="V1307" t="str">
            <v>75</v>
          </cell>
        </row>
        <row r="1308">
          <cell r="B1308" t="str">
            <v>9457</v>
          </cell>
          <cell r="C1308" t="str">
            <v>A</v>
          </cell>
          <cell r="D1308" t="str">
            <v>三菱商事(株)</v>
          </cell>
          <cell r="F1308" t="str">
            <v>自動車第四部長</v>
          </cell>
          <cell r="G1308" t="str">
            <v>新谷  剛郎</v>
          </cell>
          <cell r="J1308" t="str">
            <v>100</v>
          </cell>
          <cell r="K1308" t="str">
            <v>千代田区丸の内2-6-3</v>
          </cell>
          <cell r="L1308" t="str">
            <v xml:space="preserve"> </v>
          </cell>
          <cell r="M1308" t="str">
            <v>03-3210-4600</v>
          </cell>
          <cell r="N1308" t="str">
            <v>/</v>
          </cell>
          <cell r="O1308" t="str">
            <v>業務委託</v>
          </cell>
          <cell r="Q1308" t="str">
            <v xml:space="preserve"> </v>
          </cell>
          <cell r="T1308" t="str">
            <v>ﾐﾂﾋﾞｼｼｮｳｼﾞ</v>
          </cell>
          <cell r="V1308" t="str">
            <v>75</v>
          </cell>
        </row>
        <row r="1309">
          <cell r="B1309" t="str">
            <v>9461</v>
          </cell>
          <cell r="C1309" t="str">
            <v>#</v>
          </cell>
          <cell r="D1309" t="str">
            <v>ｾﾞｯﾄ･ｴﾌ･ｼﾞｬﾊﾟﾝ(株)</v>
          </cell>
          <cell r="F1309" t="str">
            <v>代表取締役</v>
          </cell>
          <cell r="G1309" t="str">
            <v>小澤　昭雄</v>
          </cell>
          <cell r="H1309">
            <v>28</v>
          </cell>
          <cell r="I1309">
            <v>6</v>
          </cell>
          <cell r="J1309" t="str">
            <v>210</v>
          </cell>
          <cell r="K1309" t="str">
            <v>川崎市川崎区砂子1-7-1</v>
          </cell>
          <cell r="L1309" t="str">
            <v>文学堂ビル5F</v>
          </cell>
          <cell r="M1309" t="str">
            <v>044-246-3017</v>
          </cell>
          <cell r="N1309" t="str">
            <v>/246-3020</v>
          </cell>
          <cell r="O1309" t="str">
            <v>トランスミッション,アクスル</v>
          </cell>
          <cell r="Q1309" t="str">
            <v>◎</v>
          </cell>
          <cell r="R1309" t="str">
            <v>□</v>
          </cell>
          <cell r="T1309" t="str">
            <v>ｾﾞｯﾄｴﾌｼﾞｬﾊﾟﾝ</v>
          </cell>
          <cell r="V1309" t="str">
            <v>75</v>
          </cell>
        </row>
        <row r="1310">
          <cell r="B1310" t="str">
            <v>9462</v>
          </cell>
          <cell r="C1310" t="str">
            <v>#</v>
          </cell>
          <cell r="D1310" t="str">
            <v>大宇ジャパン(株)</v>
          </cell>
          <cell r="F1310" t="str">
            <v>代表取締役社長</v>
          </cell>
          <cell r="G1310" t="str">
            <v xml:space="preserve"> 金   榮南</v>
          </cell>
          <cell r="H1310">
            <v>2350</v>
          </cell>
          <cell r="I1310">
            <v>100</v>
          </cell>
          <cell r="J1310" t="str">
            <v>100</v>
          </cell>
          <cell r="K1310" t="str">
            <v>千代田区霞が関3-8-1</v>
          </cell>
          <cell r="L1310" t="str">
            <v>虎ノ門三井ビル4F･3F</v>
          </cell>
          <cell r="M1310" t="str">
            <v>03-3597-7876</v>
          </cell>
          <cell r="N1310" t="str">
            <v>/</v>
          </cell>
          <cell r="O1310" t="str">
            <v>鋳鍛造品　</v>
          </cell>
          <cell r="Q1310" t="str">
            <v xml:space="preserve"> </v>
          </cell>
          <cell r="T1310" t="str">
            <v>ﾀﾞｲｳｼﾞｬﾊﾟﾝ</v>
          </cell>
          <cell r="V1310" t="str">
            <v>73</v>
          </cell>
        </row>
        <row r="1311">
          <cell r="B1311" t="str">
            <v>9507</v>
          </cell>
          <cell r="C1311" t="str">
            <v>#</v>
          </cell>
          <cell r="D1311" t="str">
            <v>ラビナル(株)</v>
          </cell>
          <cell r="F1311" t="str">
            <v>代表取締役</v>
          </cell>
          <cell r="G1311" t="str">
            <v>ｱﾓﾘ･ｱﾙﾅ･ﾃﾞｭ</v>
          </cell>
          <cell r="H1311">
            <v>15</v>
          </cell>
          <cell r="I1311">
            <v>14</v>
          </cell>
          <cell r="J1311" t="str">
            <v>105</v>
          </cell>
          <cell r="K1311" t="str">
            <v>港区西新橋3-8-2</v>
          </cell>
          <cell r="L1311" t="str">
            <v>東成ビル4F</v>
          </cell>
          <cell r="M1311" t="str">
            <v>03-3433-6370</v>
          </cell>
          <cell r="N1311" t="str">
            <v>/3433-6342</v>
          </cell>
          <cell r="O1311" t="str">
            <v>ﾃﾙﾏ電磁ﾘﾀｰﾀﾞ</v>
          </cell>
          <cell r="P1311" t="str">
            <v>▽</v>
          </cell>
          <cell r="T1311" t="str">
            <v>ﾗﾋﾞﾅﾙ</v>
          </cell>
          <cell r="V1311" t="str">
            <v>75</v>
          </cell>
        </row>
        <row r="1312">
          <cell r="B1312" t="str">
            <v>9507</v>
          </cell>
          <cell r="C1312" t="str">
            <v>##</v>
          </cell>
          <cell r="D1312" t="str">
            <v>ラビナル(株)</v>
          </cell>
          <cell r="G1312" t="str">
            <v xml:space="preserve">        ﾌﾚﾃｰ</v>
          </cell>
          <cell r="K1312" t="str">
            <v/>
          </cell>
          <cell r="L1312" t="str">
            <v/>
          </cell>
          <cell r="N1312" t="str">
            <v>/</v>
          </cell>
          <cell r="T1312" t="str">
            <v>ﾗﾋﾞﾅﾙ</v>
          </cell>
          <cell r="V1312" t="str">
            <v>75</v>
          </cell>
        </row>
        <row r="1313">
          <cell r="B1313" t="str">
            <v>9513</v>
          </cell>
          <cell r="C1313" t="str">
            <v>#</v>
          </cell>
          <cell r="D1313" t="str">
            <v>カイパーレカロ(株)</v>
          </cell>
          <cell r="F1313" t="str">
            <v>代表取締役</v>
          </cell>
          <cell r="G1313" t="str">
            <v>佐藤　英哉</v>
          </cell>
          <cell r="H1313">
            <v>500</v>
          </cell>
          <cell r="I1313">
            <v>49</v>
          </cell>
          <cell r="J1313" t="str">
            <v>606</v>
          </cell>
          <cell r="K1313" t="str">
            <v>京都市左京区岩倉幡枝町</v>
          </cell>
          <cell r="L1313" t="str">
            <v>1236番地</v>
          </cell>
          <cell r="M1313" t="str">
            <v>075-701-8401</v>
          </cell>
          <cell r="N1313" t="str">
            <v>/712-1040</v>
          </cell>
          <cell r="O1313" t="str">
            <v>レカロシート</v>
          </cell>
          <cell r="Q1313" t="str">
            <v>◎</v>
          </cell>
          <cell r="T1313" t="str">
            <v>ｶｲﾊﾟｰﾚｶﾛ</v>
          </cell>
          <cell r="V1313" t="str">
            <v>75</v>
          </cell>
        </row>
        <row r="1314">
          <cell r="B1314" t="str">
            <v>9514</v>
          </cell>
          <cell r="C1314" t="str">
            <v>#</v>
          </cell>
          <cell r="D1314" t="str">
            <v>(株)モートンニチユ</v>
          </cell>
          <cell r="F1314" t="str">
            <v>代表取締役社長</v>
          </cell>
          <cell r="G1314" t="str">
            <v>酒井  洋</v>
          </cell>
          <cell r="H1314">
            <v>50</v>
          </cell>
          <cell r="I1314">
            <v>15</v>
          </cell>
          <cell r="J1314" t="str">
            <v>222</v>
          </cell>
          <cell r="K1314" t="str">
            <v>横浜市港北区新横浜2-15-13</v>
          </cell>
          <cell r="L1314" t="str">
            <v/>
          </cell>
          <cell r="M1314" t="str">
            <v>045-471-2400</v>
          </cell>
          <cell r="N1314" t="str">
            <v>/471-2469</v>
          </cell>
          <cell r="O1314" t="str">
            <v>ｲﾝﾌﾚｰﾀｰ(ｴｱﾊﾞｯｸﾞ用)</v>
          </cell>
          <cell r="Q1314" t="str">
            <v>◎</v>
          </cell>
          <cell r="R1314" t="str">
            <v>□</v>
          </cell>
          <cell r="T1314" t="str">
            <v>ﾓｰﾄﾝﾆﾁﾕ</v>
          </cell>
          <cell r="V1314" t="str">
            <v>75</v>
          </cell>
        </row>
        <row r="1315">
          <cell r="B1315" t="str">
            <v>9520</v>
          </cell>
          <cell r="C1315" t="str">
            <v>#</v>
          </cell>
          <cell r="D1315" t="str">
            <v>(自動車鋳物(株))</v>
          </cell>
          <cell r="K1315" t="str">
            <v xml:space="preserve"> </v>
          </cell>
          <cell r="L1315" t="str">
            <v xml:space="preserve"> </v>
          </cell>
          <cell r="N1315" t="str">
            <v>/</v>
          </cell>
          <cell r="Q1315" t="str">
            <v>◎</v>
          </cell>
          <cell r="T1315" t="str">
            <v>ｼﾞﾄﾞｳｼｬｲﾓﾉ</v>
          </cell>
          <cell r="V1315" t="str">
            <v>73</v>
          </cell>
        </row>
        <row r="1316">
          <cell r="B1316" t="str">
            <v>9523</v>
          </cell>
          <cell r="C1316" t="str">
            <v>#</v>
          </cell>
          <cell r="D1316" t="str">
            <v>原田産業(株)</v>
          </cell>
          <cell r="F1316" t="str">
            <v>代表取締役</v>
          </cell>
          <cell r="G1316" t="str">
            <v>原田　富雄</v>
          </cell>
          <cell r="H1316">
            <v>300</v>
          </cell>
          <cell r="I1316">
            <v>145</v>
          </cell>
          <cell r="J1316" t="str">
            <v>542</v>
          </cell>
          <cell r="K1316" t="str">
            <v>大阪市中央区南船場2-10-14</v>
          </cell>
          <cell r="L1316" t="str">
            <v xml:space="preserve"> </v>
          </cell>
          <cell r="M1316" t="str">
            <v xml:space="preserve">06-244-0171 </v>
          </cell>
          <cell r="N1316" t="str">
            <v>/</v>
          </cell>
          <cell r="O1316" t="str">
            <v>輸入工作機械</v>
          </cell>
          <cell r="Q1316" t="str">
            <v xml:space="preserve"> </v>
          </cell>
          <cell r="T1316" t="str">
            <v>ﾊﾗﾀﾞｻﾝｷﾞｮｳ</v>
          </cell>
          <cell r="V1316" t="str">
            <v>30</v>
          </cell>
        </row>
        <row r="1317">
          <cell r="B1317" t="str">
            <v>9523</v>
          </cell>
          <cell r="C1317" t="str">
            <v>A</v>
          </cell>
          <cell r="D1317" t="str">
            <v>原田産業(株)</v>
          </cell>
          <cell r="E1317" t="str">
            <v>東京支店</v>
          </cell>
          <cell r="J1317" t="str">
            <v>100</v>
          </cell>
          <cell r="K1317" t="str">
            <v>千代田区丸の内1-2-1</v>
          </cell>
          <cell r="L1317" t="str">
            <v>東京海上ビル新館</v>
          </cell>
          <cell r="M1317" t="str">
            <v>03-3213-8271</v>
          </cell>
          <cell r="N1317" t="str">
            <v>/3213-8399</v>
          </cell>
          <cell r="O1317" t="str">
            <v>輸入工作機械</v>
          </cell>
          <cell r="Q1317" t="str">
            <v xml:space="preserve"> </v>
          </cell>
          <cell r="T1317" t="str">
            <v>ﾊﾗﾀﾞｻﾝｷﾞｮｳ</v>
          </cell>
          <cell r="V1317" t="str">
            <v>30</v>
          </cell>
        </row>
        <row r="1318">
          <cell r="B1318" t="str">
            <v>9527</v>
          </cell>
          <cell r="C1318" t="str">
            <v>#</v>
          </cell>
          <cell r="D1318" t="str">
            <v>(株)三起金型製作所</v>
          </cell>
          <cell r="F1318" t="str">
            <v>代表取締役</v>
          </cell>
          <cell r="G1318" t="str">
            <v>三留　釵缶良</v>
          </cell>
          <cell r="H1318">
            <v>20</v>
          </cell>
          <cell r="I1318">
            <v>28</v>
          </cell>
          <cell r="J1318" t="str">
            <v>144</v>
          </cell>
          <cell r="K1318" t="str">
            <v>大田区本羽田1-22-7</v>
          </cell>
          <cell r="L1318" t="str">
            <v xml:space="preserve"> </v>
          </cell>
          <cell r="M1318" t="str">
            <v>03-3744-1663</v>
          </cell>
          <cell r="N1318" t="str">
            <v>/</v>
          </cell>
          <cell r="O1318" t="str">
            <v>鋳造金型</v>
          </cell>
          <cell r="P1318" t="str">
            <v>▽</v>
          </cell>
          <cell r="Q1318" t="str">
            <v xml:space="preserve"> </v>
          </cell>
          <cell r="R1318" t="str">
            <v>□</v>
          </cell>
          <cell r="S1318" t="str">
            <v>☆</v>
          </cell>
          <cell r="T1318" t="str">
            <v>ｻﾝｷｶﾅｶﾞﾀｾｲｻｸｼｮ</v>
          </cell>
          <cell r="V1318" t="str">
            <v>30</v>
          </cell>
        </row>
        <row r="1319">
          <cell r="B1319" t="str">
            <v>9539</v>
          </cell>
          <cell r="C1319" t="str">
            <v>#</v>
          </cell>
          <cell r="D1319" t="str">
            <v>ﾄｷｺ東ﾒﾝﾃﾅﾝｽ(株)</v>
          </cell>
          <cell r="F1319" t="str">
            <v>取締役社長</v>
          </cell>
          <cell r="G1319" t="str">
            <v>小野田  智章</v>
          </cell>
          <cell r="H1319">
            <v>50</v>
          </cell>
          <cell r="I1319">
            <v>335</v>
          </cell>
          <cell r="J1319" t="str">
            <v>230</v>
          </cell>
          <cell r="K1319" t="str">
            <v>横浜市鶴見区鶴見中央3-9-27</v>
          </cell>
          <cell r="L1319" t="str">
            <v xml:space="preserve"> </v>
          </cell>
          <cell r="M1319" t="str">
            <v>0463-91-5811</v>
          </cell>
          <cell r="N1319" t="str">
            <v>/</v>
          </cell>
          <cell r="O1319" t="str">
            <v>給油施設及び給油機の修理</v>
          </cell>
          <cell r="Q1319" t="str">
            <v xml:space="preserve"> </v>
          </cell>
          <cell r="T1319" t="str">
            <v>ﾄｷｺﾋｶﾞｼﾒﾝﾃﾅﾝｽ</v>
          </cell>
          <cell r="V1319" t="str">
            <v>30</v>
          </cell>
        </row>
        <row r="1320">
          <cell r="B1320" t="str">
            <v>9543</v>
          </cell>
          <cell r="C1320" t="str">
            <v>#</v>
          </cell>
          <cell r="D1320" t="str">
            <v>(有)新井木型製作所</v>
          </cell>
          <cell r="F1320" t="str">
            <v>代表取締役</v>
          </cell>
          <cell r="G1320" t="str">
            <v>新井　悦太郎</v>
          </cell>
          <cell r="H1320">
            <v>5</v>
          </cell>
          <cell r="I1320">
            <v>40</v>
          </cell>
          <cell r="J1320" t="str">
            <v>370-05</v>
          </cell>
          <cell r="K1320" t="str">
            <v>群馬県邑楽郡大泉町</v>
          </cell>
          <cell r="L1320" t="str">
            <v>大字下小泉633-3</v>
          </cell>
          <cell r="M1320" t="str">
            <v>0276-62-3585</v>
          </cell>
          <cell r="N1320" t="str">
            <v>/</v>
          </cell>
          <cell r="O1320" t="str">
            <v>ﾓﾃﾞﾙ･木型･ｹﾞｰｼﾞ</v>
          </cell>
          <cell r="P1320" t="str">
            <v>▽</v>
          </cell>
          <cell r="Q1320" t="str">
            <v xml:space="preserve"> </v>
          </cell>
          <cell r="T1320" t="str">
            <v>ｱﾗｲｷｶﾞﾀｾｲｻｸｼｮ</v>
          </cell>
          <cell r="V1320" t="str">
            <v>30</v>
          </cell>
        </row>
        <row r="1321">
          <cell r="B1321" t="str">
            <v>9550</v>
          </cell>
          <cell r="C1321" t="str">
            <v>#</v>
          </cell>
          <cell r="D1321" t="str">
            <v>黎明マイクロ(株)</v>
          </cell>
          <cell r="F1321" t="str">
            <v>代表取締役</v>
          </cell>
          <cell r="G1321" t="str">
            <v>荒木　伸二</v>
          </cell>
          <cell r="H1321">
            <v>32.5</v>
          </cell>
          <cell r="I1321">
            <v>88</v>
          </cell>
          <cell r="J1321" t="str">
            <v>210</v>
          </cell>
          <cell r="K1321" t="str">
            <v>川崎市川崎区榎町6-9</v>
          </cell>
          <cell r="L1321" t="str">
            <v xml:space="preserve"> </v>
          </cell>
          <cell r="M1321" t="str">
            <v>044-222-3701</v>
          </cell>
          <cell r="N1321" t="str">
            <v>/</v>
          </cell>
          <cell r="O1321" t="str">
            <v>マイクロフィルム,写真</v>
          </cell>
          <cell r="Q1321" t="str">
            <v xml:space="preserve"> </v>
          </cell>
          <cell r="T1321" t="str">
            <v>ﾚｲﾒｲﾏｲｸﾛ</v>
          </cell>
          <cell r="V1321" t="str">
            <v>30</v>
          </cell>
        </row>
        <row r="1322">
          <cell r="B1322" t="str">
            <v>9560</v>
          </cell>
          <cell r="C1322" t="str">
            <v>#</v>
          </cell>
          <cell r="D1322" t="str">
            <v>(株)フクトク</v>
          </cell>
          <cell r="F1322" t="str">
            <v>代表取締役</v>
          </cell>
          <cell r="G1322" t="str">
            <v>続木　定</v>
          </cell>
          <cell r="H1322">
            <v>15</v>
          </cell>
          <cell r="I1322">
            <v>15</v>
          </cell>
          <cell r="J1322" t="str">
            <v>140</v>
          </cell>
          <cell r="K1322" t="str">
            <v>品川区北品川3-9-29</v>
          </cell>
          <cell r="L1322" t="str">
            <v xml:space="preserve"> </v>
          </cell>
          <cell r="M1322" t="str">
            <v>03-3474-4001</v>
          </cell>
          <cell r="N1322" t="str">
            <v>/</v>
          </cell>
          <cell r="O1322" t="str">
            <v>切削工具</v>
          </cell>
          <cell r="Q1322" t="str">
            <v xml:space="preserve"> </v>
          </cell>
          <cell r="T1322" t="str">
            <v>ﾌｸﾄｸ</v>
          </cell>
          <cell r="V1322" t="str">
            <v>30</v>
          </cell>
        </row>
        <row r="1323">
          <cell r="B1323" t="str">
            <v>9562</v>
          </cell>
          <cell r="C1323" t="str">
            <v>#</v>
          </cell>
          <cell r="D1323" t="str">
            <v>特殊メタル(株)</v>
          </cell>
          <cell r="F1323" t="str">
            <v>代表取締役社長</v>
          </cell>
          <cell r="G1323" t="str">
            <v>鈴木　健</v>
          </cell>
          <cell r="H1323">
            <v>32</v>
          </cell>
          <cell r="I1323">
            <v>75</v>
          </cell>
          <cell r="J1323" t="str">
            <v>334</v>
          </cell>
          <cell r="K1323" t="str">
            <v>川口市宮町18-19</v>
          </cell>
          <cell r="L1323" t="str">
            <v>(川口金属工業内)</v>
          </cell>
          <cell r="M1323" t="str">
            <v>0482-53-6264</v>
          </cell>
          <cell r="N1323" t="str">
            <v>/</v>
          </cell>
          <cell r="O1323" t="str">
            <v>ハブ</v>
          </cell>
          <cell r="P1323" t="str">
            <v>▽</v>
          </cell>
          <cell r="Q1323" t="str">
            <v xml:space="preserve"> </v>
          </cell>
          <cell r="T1323" t="str">
            <v>ﾄｸｼｭﾒﾀﾙ</v>
          </cell>
          <cell r="V1323" t="str">
            <v>53</v>
          </cell>
        </row>
        <row r="1324">
          <cell r="B1324" t="str">
            <v>9563</v>
          </cell>
          <cell r="C1324" t="str">
            <v>#</v>
          </cell>
          <cell r="D1324" t="str">
            <v>ソニーテクトロニクス(株)</v>
          </cell>
          <cell r="F1324" t="str">
            <v>代表取締役社長</v>
          </cell>
          <cell r="G1324" t="str">
            <v>桃井  好一</v>
          </cell>
          <cell r="H1324">
            <v>400</v>
          </cell>
          <cell r="I1324">
            <v>1000</v>
          </cell>
          <cell r="J1324" t="str">
            <v>141</v>
          </cell>
          <cell r="K1324" t="str">
            <v>品川区北品川5-9-31</v>
          </cell>
          <cell r="L1324" t="str">
            <v xml:space="preserve"> </v>
          </cell>
          <cell r="M1324" t="str">
            <v>03-3448-4611</v>
          </cell>
          <cell r="N1324" t="str">
            <v>/</v>
          </cell>
          <cell r="O1324" t="str">
            <v>計測機器</v>
          </cell>
          <cell r="Q1324" t="str">
            <v xml:space="preserve"> </v>
          </cell>
          <cell r="T1324" t="str">
            <v>ｿﾆｰﾃｸﾄﾛﾆｸｽ</v>
          </cell>
          <cell r="V1324" t="str">
            <v>30</v>
          </cell>
        </row>
        <row r="1325">
          <cell r="B1325" t="str">
            <v>9565</v>
          </cell>
          <cell r="C1325" t="str">
            <v>#</v>
          </cell>
          <cell r="D1325" t="str">
            <v>日本トラック(株)</v>
          </cell>
          <cell r="F1325" t="str">
            <v>代表取締役社長</v>
          </cell>
          <cell r="G1325" t="str">
            <v>和田  由紀夫</v>
          </cell>
          <cell r="J1325" t="str">
            <v/>
          </cell>
          <cell r="K1325" t="str">
            <v>大和市柳橋5-15-1</v>
          </cell>
          <cell r="L1325" t="str">
            <v/>
          </cell>
          <cell r="M1325" t="str">
            <v>0462-69-2002</v>
          </cell>
          <cell r="N1325" t="str">
            <v>/69-2007</v>
          </cell>
          <cell r="O1325" t="str">
            <v>運輸･倉庫賃貸</v>
          </cell>
          <cell r="Q1325" t="str">
            <v xml:space="preserve"> </v>
          </cell>
          <cell r="R1325" t="str">
            <v>□</v>
          </cell>
          <cell r="T1325" t="str">
            <v>ﾆﾎﾝﾄﾗｯｸ</v>
          </cell>
          <cell r="V1325" t="str">
            <v>15</v>
          </cell>
        </row>
        <row r="1326">
          <cell r="B1326" t="str">
            <v>9587</v>
          </cell>
          <cell r="C1326" t="str">
            <v>#</v>
          </cell>
          <cell r="D1326" t="str">
            <v>日本調理機(株)</v>
          </cell>
          <cell r="F1326" t="str">
            <v>代表取締役社長</v>
          </cell>
          <cell r="G1326" t="str">
            <v>西山　喜一</v>
          </cell>
          <cell r="H1326">
            <v>498</v>
          </cell>
          <cell r="I1326">
            <v>396</v>
          </cell>
          <cell r="J1326" t="str">
            <v>144</v>
          </cell>
          <cell r="K1326" t="str">
            <v>大田区東六郷3-15-8</v>
          </cell>
          <cell r="L1326" t="str">
            <v xml:space="preserve"> </v>
          </cell>
          <cell r="M1326" t="str">
            <v>03-3738-8259</v>
          </cell>
          <cell r="N1326" t="str">
            <v>/</v>
          </cell>
          <cell r="O1326" t="str">
            <v>厨房設備</v>
          </cell>
          <cell r="Q1326" t="str">
            <v xml:space="preserve"> </v>
          </cell>
          <cell r="T1326" t="str">
            <v>ﾆﾎﾝﾁｮｳﾘｷ</v>
          </cell>
          <cell r="V1326" t="str">
            <v>30</v>
          </cell>
        </row>
        <row r="1327">
          <cell r="B1327" t="str">
            <v>9587</v>
          </cell>
          <cell r="C1327" t="str">
            <v>A</v>
          </cell>
          <cell r="D1327" t="str">
            <v>日本調理機(株)</v>
          </cell>
          <cell r="E1327" t="str">
            <v>新橋支社</v>
          </cell>
          <cell r="J1327" t="str">
            <v>105</v>
          </cell>
          <cell r="K1327" t="str">
            <v>港区東新橋1-2-15</v>
          </cell>
          <cell r="L1327" t="str">
            <v>豊和ビル</v>
          </cell>
          <cell r="M1327" t="str">
            <v>03-3571-8251</v>
          </cell>
          <cell r="N1327" t="str">
            <v>/3574-8114</v>
          </cell>
          <cell r="O1327" t="str">
            <v>厨房設備</v>
          </cell>
          <cell r="Q1327" t="str">
            <v xml:space="preserve"> </v>
          </cell>
          <cell r="T1327" t="str">
            <v>ﾆﾎﾝﾁｮｳﾘｷ</v>
          </cell>
          <cell r="V1327" t="str">
            <v>30</v>
          </cell>
        </row>
        <row r="1328">
          <cell r="B1328" t="str">
            <v>9589</v>
          </cell>
          <cell r="C1328" t="str">
            <v>#</v>
          </cell>
          <cell r="D1328" t="str">
            <v>コロンビア貿易(株)</v>
          </cell>
          <cell r="F1328" t="str">
            <v>取締役社長</v>
          </cell>
          <cell r="G1328" t="str">
            <v>飛田　利一</v>
          </cell>
          <cell r="H1328">
            <v>25</v>
          </cell>
          <cell r="I1328">
            <v>125</v>
          </cell>
          <cell r="J1328" t="str">
            <v>100</v>
          </cell>
          <cell r="K1328" t="str">
            <v>千代田区神田猿楽町1-2-1</v>
          </cell>
          <cell r="L1328" t="str">
            <v xml:space="preserve"> </v>
          </cell>
          <cell r="M1328" t="str">
            <v>03-3291-0641</v>
          </cell>
          <cell r="N1328" t="str">
            <v>/</v>
          </cell>
          <cell r="O1328" t="str">
            <v>試験機</v>
          </cell>
          <cell r="Q1328" t="str">
            <v xml:space="preserve"> </v>
          </cell>
          <cell r="R1328" t="str">
            <v>□</v>
          </cell>
          <cell r="T1328" t="str">
            <v>ｺﾛﾝﾋﾞｱﾎﾞｳｴｷ</v>
          </cell>
          <cell r="V1328" t="str">
            <v>30</v>
          </cell>
        </row>
        <row r="1329">
          <cell r="B1329" t="str">
            <v>9592</v>
          </cell>
          <cell r="C1329" t="str">
            <v>#</v>
          </cell>
          <cell r="D1329" t="str">
            <v>日本電磁測器(株)</v>
          </cell>
          <cell r="F1329" t="str">
            <v>代表取締役</v>
          </cell>
          <cell r="G1329" t="str">
            <v>笠原　秀雄</v>
          </cell>
          <cell r="H1329">
            <v>10</v>
          </cell>
          <cell r="I1329">
            <v>35</v>
          </cell>
          <cell r="J1329" t="str">
            <v>190</v>
          </cell>
          <cell r="K1329" t="str">
            <v>立川市砂川8-61-3</v>
          </cell>
          <cell r="L1329" t="str">
            <v xml:space="preserve"> </v>
          </cell>
          <cell r="M1329" t="str">
            <v>0425-37-3511</v>
          </cell>
          <cell r="N1329" t="str">
            <v>/</v>
          </cell>
          <cell r="O1329" t="str">
            <v>測定機器</v>
          </cell>
          <cell r="Q1329" t="str">
            <v xml:space="preserve"> </v>
          </cell>
          <cell r="T1329" t="str">
            <v>ﾆﾎﾝﾃﾞﾝｼﾞｿｯｷ</v>
          </cell>
          <cell r="V1329" t="str">
            <v>30</v>
          </cell>
        </row>
        <row r="1330">
          <cell r="B1330" t="str">
            <v>9596</v>
          </cell>
          <cell r="C1330" t="str">
            <v>#</v>
          </cell>
          <cell r="D1330" t="str">
            <v>日本ﾋｭｰﾚｯﾄ･ﾊﾟｯｶｰﾄﾞ(株)</v>
          </cell>
          <cell r="F1330" t="str">
            <v>代表取締役社長</v>
          </cell>
          <cell r="G1330" t="str">
            <v>甲谷  勝人</v>
          </cell>
          <cell r="H1330">
            <v>7442</v>
          </cell>
          <cell r="I1330">
            <v>3711</v>
          </cell>
          <cell r="J1330" t="str">
            <v>168</v>
          </cell>
          <cell r="K1330" t="str">
            <v>杉並区高井戸東3-29-21</v>
          </cell>
          <cell r="L1330" t="str">
            <v xml:space="preserve"> </v>
          </cell>
          <cell r="M1330" t="str">
            <v>03-5371-1344</v>
          </cell>
          <cell r="N1330" t="str">
            <v>/5371-1403</v>
          </cell>
          <cell r="O1330" t="str">
            <v>ｺﾝﾋﾟｭｰﾀ 同周機器</v>
          </cell>
          <cell r="Q1330" t="str">
            <v xml:space="preserve"> </v>
          </cell>
          <cell r="T1330" t="str">
            <v>ﾆﾎﾝﾋｭｰﾚｯﾄﾊﾟｯｶｰﾄﾞ</v>
          </cell>
          <cell r="V1330" t="str">
            <v>30</v>
          </cell>
        </row>
        <row r="1331">
          <cell r="B1331" t="str">
            <v>9605</v>
          </cell>
          <cell r="C1331" t="str">
            <v>#</v>
          </cell>
          <cell r="D1331" t="str">
            <v>日本電子(株)</v>
          </cell>
          <cell r="F1331" t="str">
            <v>取締役社長</v>
          </cell>
          <cell r="G1331" t="str">
            <v>伊藤　一夫</v>
          </cell>
          <cell r="H1331">
            <v>3240</v>
          </cell>
          <cell r="I1331">
            <v>1577</v>
          </cell>
          <cell r="J1331" t="str">
            <v>196</v>
          </cell>
          <cell r="K1331" t="str">
            <v>昭島市中神町1418</v>
          </cell>
          <cell r="L1331" t="str">
            <v xml:space="preserve"> </v>
          </cell>
          <cell r="M1331" t="str">
            <v>0425-43-1111</v>
          </cell>
          <cell r="N1331" t="str">
            <v>/</v>
          </cell>
          <cell r="O1331" t="str">
            <v>電子機器</v>
          </cell>
          <cell r="Q1331" t="str">
            <v xml:space="preserve"> </v>
          </cell>
          <cell r="T1331" t="str">
            <v>ﾆﾎﾝﾃﾞﾝｼ</v>
          </cell>
          <cell r="V1331" t="str">
            <v>30</v>
          </cell>
        </row>
        <row r="1332">
          <cell r="B1332" t="str">
            <v>9605</v>
          </cell>
          <cell r="C1332" t="str">
            <v>A</v>
          </cell>
          <cell r="D1332" t="str">
            <v>日本電子(株)</v>
          </cell>
          <cell r="E1332" t="str">
            <v>東京第二営業所</v>
          </cell>
          <cell r="J1332" t="str">
            <v>160</v>
          </cell>
          <cell r="K1332" t="str">
            <v>新宿区西新宿1-26-2</v>
          </cell>
          <cell r="L1332" t="str">
            <v>新宿野村ビル34F</v>
          </cell>
          <cell r="M1332" t="str">
            <v>03-3348-5541</v>
          </cell>
          <cell r="N1332" t="str">
            <v>/</v>
          </cell>
          <cell r="O1332" t="str">
            <v>ビーム熔接機</v>
          </cell>
          <cell r="Q1332" t="str">
            <v xml:space="preserve"> </v>
          </cell>
          <cell r="T1332" t="str">
            <v>ﾆﾎﾝﾃﾞﾝｼ</v>
          </cell>
          <cell r="V1332" t="str">
            <v>30</v>
          </cell>
        </row>
        <row r="1333">
          <cell r="B1333" t="str">
            <v>9611</v>
          </cell>
          <cell r="C1333" t="str">
            <v>#</v>
          </cell>
          <cell r="D1333" t="str">
            <v>マルカキカイ(株)</v>
          </cell>
          <cell r="F1333" t="str">
            <v>取締役社長</v>
          </cell>
          <cell r="G1333" t="str">
            <v>乾　　孝義</v>
          </cell>
          <cell r="H1333">
            <v>200</v>
          </cell>
          <cell r="I1333">
            <v>168</v>
          </cell>
          <cell r="J1333" t="str">
            <v>567</v>
          </cell>
          <cell r="K1333" t="str">
            <v>茨木市五日市緑町2-28</v>
          </cell>
          <cell r="L1333" t="str">
            <v xml:space="preserve"> </v>
          </cell>
          <cell r="M1333" t="str">
            <v>0726-25-6721</v>
          </cell>
          <cell r="N1333" t="str">
            <v>/</v>
          </cell>
          <cell r="O1333" t="str">
            <v>工作機械</v>
          </cell>
          <cell r="Q1333" t="str">
            <v xml:space="preserve"> </v>
          </cell>
          <cell r="R1333" t="str">
            <v>□</v>
          </cell>
          <cell r="T1333" t="str">
            <v>ﾏﾙｶｷｶｲ</v>
          </cell>
          <cell r="V1333" t="str">
            <v>30</v>
          </cell>
        </row>
        <row r="1334">
          <cell r="B1334" t="str">
            <v>9611</v>
          </cell>
          <cell r="C1334" t="str">
            <v>A</v>
          </cell>
          <cell r="D1334" t="str">
            <v>マルカキカイ(株)</v>
          </cell>
          <cell r="E1334" t="str">
            <v>東京営業所</v>
          </cell>
          <cell r="J1334" t="str">
            <v>103</v>
          </cell>
          <cell r="K1334" t="str">
            <v>中央区日本橋3-15-5</v>
          </cell>
          <cell r="L1334" t="str">
            <v>第2三木ビル</v>
          </cell>
          <cell r="M1334" t="str">
            <v>03-3274-1561</v>
          </cell>
          <cell r="N1334" t="str">
            <v>/3281-6878</v>
          </cell>
          <cell r="O1334" t="str">
            <v>工作機械</v>
          </cell>
          <cell r="Q1334" t="str">
            <v xml:space="preserve"> </v>
          </cell>
          <cell r="T1334" t="str">
            <v>ﾏﾙｶｷｶｲ</v>
          </cell>
          <cell r="V1334" t="str">
            <v>30</v>
          </cell>
        </row>
        <row r="1335">
          <cell r="B1335" t="str">
            <v>9629</v>
          </cell>
          <cell r="C1335" t="str">
            <v>#</v>
          </cell>
          <cell r="D1335" t="str">
            <v>(株)富士工業</v>
          </cell>
          <cell r="F1335" t="str">
            <v>代表取締役</v>
          </cell>
          <cell r="G1335" t="str">
            <v>藤田　実</v>
          </cell>
          <cell r="H1335">
            <v>10</v>
          </cell>
          <cell r="I1335">
            <v>28</v>
          </cell>
          <cell r="J1335" t="str">
            <v>144</v>
          </cell>
          <cell r="K1335" t="str">
            <v>大田区東蒲田2-3-12</v>
          </cell>
          <cell r="L1335" t="str">
            <v xml:space="preserve"> </v>
          </cell>
          <cell r="M1335" t="str">
            <v>03-3732-7631</v>
          </cell>
          <cell r="N1335" t="str">
            <v>/</v>
          </cell>
          <cell r="O1335" t="str">
            <v>厨房機器</v>
          </cell>
          <cell r="Q1335" t="str">
            <v xml:space="preserve"> </v>
          </cell>
          <cell r="T1335" t="str">
            <v>ﾌｼﾞｺｳｷﾞｮｳ</v>
          </cell>
          <cell r="V1335" t="str">
            <v>30</v>
          </cell>
        </row>
        <row r="1336">
          <cell r="B1336" t="str">
            <v>9632</v>
          </cell>
          <cell r="C1336" t="str">
            <v>#</v>
          </cell>
          <cell r="D1336" t="str">
            <v>(株)ミスミ</v>
          </cell>
          <cell r="F1336" t="str">
            <v>代表取締役</v>
          </cell>
          <cell r="G1336" t="str">
            <v>田口　弘</v>
          </cell>
          <cell r="H1336">
            <v>1800</v>
          </cell>
          <cell r="I1336">
            <v>51</v>
          </cell>
          <cell r="J1336" t="str">
            <v>135</v>
          </cell>
          <cell r="K1336" t="str">
            <v>江東区東陽2-4-43</v>
          </cell>
          <cell r="L1336" t="str">
            <v xml:space="preserve"> </v>
          </cell>
          <cell r="M1336" t="str">
            <v>03-3645-5111</v>
          </cell>
          <cell r="N1336" t="str">
            <v>/</v>
          </cell>
          <cell r="O1336" t="str">
            <v>治具･型用標準部品　</v>
          </cell>
          <cell r="Q1336" t="str">
            <v xml:space="preserve"> </v>
          </cell>
          <cell r="R1336" t="str">
            <v>□</v>
          </cell>
          <cell r="T1336" t="str">
            <v>ﾐｽﾐ</v>
          </cell>
          <cell r="V1336" t="str">
            <v>30</v>
          </cell>
        </row>
        <row r="1337">
          <cell r="B1337" t="str">
            <v>9632</v>
          </cell>
          <cell r="C1337" t="str">
            <v>A</v>
          </cell>
          <cell r="D1337" t="str">
            <v>(株)ミスミ</v>
          </cell>
          <cell r="E1337" t="str">
            <v>東日本受注ｾﾝﾀｰ</v>
          </cell>
          <cell r="F1337" t="str">
            <v>所長</v>
          </cell>
          <cell r="G1337" t="str">
            <v>荻須  明</v>
          </cell>
          <cell r="J1337" t="str">
            <v>220</v>
          </cell>
          <cell r="K1337" t="str">
            <v>横浜市西区平沼1-2-24</v>
          </cell>
          <cell r="L1337" t="str">
            <v>横浜NTビル3F</v>
          </cell>
          <cell r="M1337" t="str">
            <v>045-324-1141</v>
          </cell>
          <cell r="N1337" t="str">
            <v>/324-1143</v>
          </cell>
          <cell r="O1337" t="str">
            <v>治具･型用部品　</v>
          </cell>
          <cell r="Q1337" t="str">
            <v xml:space="preserve"> </v>
          </cell>
          <cell r="T1337" t="str">
            <v>ﾐｽﾐ</v>
          </cell>
          <cell r="V1337" t="str">
            <v>30</v>
          </cell>
        </row>
        <row r="1338">
          <cell r="B1338" t="str">
            <v>9637</v>
          </cell>
          <cell r="C1338" t="str">
            <v>#</v>
          </cell>
          <cell r="D1338" t="str">
            <v>富士ゼロックス(株)</v>
          </cell>
          <cell r="F1338" t="str">
            <v>代表取締役社長</v>
          </cell>
          <cell r="G1338" t="str">
            <v>小林　陽太郎</v>
          </cell>
          <cell r="H1338">
            <v>10000</v>
          </cell>
          <cell r="I1338">
            <v>8100</v>
          </cell>
          <cell r="J1338" t="str">
            <v>107</v>
          </cell>
          <cell r="K1338" t="str">
            <v>港区赤坂3-3-5</v>
          </cell>
          <cell r="L1338" t="str">
            <v>国際山王ビル</v>
          </cell>
          <cell r="M1338" t="str">
            <v>03-3585-3211</v>
          </cell>
          <cell r="N1338" t="str">
            <v>/</v>
          </cell>
          <cell r="O1338" t="str">
            <v>複写事務機</v>
          </cell>
          <cell r="Q1338" t="str">
            <v xml:space="preserve"> </v>
          </cell>
          <cell r="T1338" t="str">
            <v>ﾌｼﾞｾﾞﾛｯｸｽ</v>
          </cell>
          <cell r="V1338" t="str">
            <v>30</v>
          </cell>
        </row>
        <row r="1339">
          <cell r="B1339" t="str">
            <v>9637</v>
          </cell>
          <cell r="C1339" t="str">
            <v>A</v>
          </cell>
          <cell r="D1339" t="str">
            <v>富士ゼロックス(株)</v>
          </cell>
          <cell r="E1339" t="str">
            <v>東神奈川営業所</v>
          </cell>
          <cell r="J1339" t="str">
            <v>220-81</v>
          </cell>
          <cell r="K1339" t="str">
            <v>横浜市西区みなとみらい2-2-</v>
          </cell>
          <cell r="L1339" t="str">
            <v>1-1  ﾗﾝﾄﾞﾏｰｸﾀﾜｰ23F</v>
          </cell>
          <cell r="M1339" t="str">
            <v>045-224-1313</v>
          </cell>
          <cell r="N1339" t="str">
            <v>/224-1348</v>
          </cell>
          <cell r="O1339" t="str">
            <v>複写事務機</v>
          </cell>
          <cell r="Q1339" t="str">
            <v xml:space="preserve"> </v>
          </cell>
          <cell r="T1339" t="str">
            <v>ﾌｼﾞｾﾞﾛｯｸｽ</v>
          </cell>
          <cell r="V1339" t="str">
            <v>30</v>
          </cell>
        </row>
        <row r="1340">
          <cell r="B1340" t="str">
            <v>9655</v>
          </cell>
          <cell r="C1340" t="str">
            <v>#</v>
          </cell>
          <cell r="D1340" t="str">
            <v>日本鋪道(株)</v>
          </cell>
          <cell r="F1340" t="str">
            <v>取締役社長</v>
          </cell>
          <cell r="G1340" t="str">
            <v>物部　幸保</v>
          </cell>
          <cell r="H1340">
            <v>5000</v>
          </cell>
          <cell r="I1340">
            <v>2964</v>
          </cell>
          <cell r="J1340" t="str">
            <v>104</v>
          </cell>
          <cell r="K1340" t="str">
            <v>中央区京橋1-19-11</v>
          </cell>
          <cell r="L1340" t="str">
            <v xml:space="preserve"> </v>
          </cell>
          <cell r="M1340" t="str">
            <v>03-3563-6761</v>
          </cell>
          <cell r="N1340" t="str">
            <v>/3567-7059</v>
          </cell>
          <cell r="O1340" t="str">
            <v>舗装工事</v>
          </cell>
          <cell r="Q1340" t="str">
            <v xml:space="preserve"> </v>
          </cell>
          <cell r="T1340" t="str">
            <v>ﾆﾎﾝﾎﾄﾞｳ</v>
          </cell>
          <cell r="V1340" t="str">
            <v>30</v>
          </cell>
        </row>
        <row r="1341">
          <cell r="B1341" t="str">
            <v>9660</v>
          </cell>
          <cell r="C1341" t="str">
            <v>#</v>
          </cell>
          <cell r="D1341" t="str">
            <v>鳥羽工研(株)</v>
          </cell>
          <cell r="F1341" t="str">
            <v>代表取締役</v>
          </cell>
          <cell r="G1341" t="str">
            <v>傍島　慎朗</v>
          </cell>
          <cell r="H1341">
            <v>99</v>
          </cell>
          <cell r="I1341">
            <v>179</v>
          </cell>
          <cell r="J1341" t="str">
            <v>509-01</v>
          </cell>
          <cell r="K1341" t="str">
            <v>各務原市各務おがせ町9-260</v>
          </cell>
          <cell r="L1341" t="str">
            <v xml:space="preserve"> </v>
          </cell>
          <cell r="M1341" t="str">
            <v>0583-84-1225</v>
          </cell>
          <cell r="N1341" t="str">
            <v>/</v>
          </cell>
          <cell r="O1341" t="str">
            <v>金型</v>
          </cell>
          <cell r="P1341" t="str">
            <v>▽</v>
          </cell>
          <cell r="Q1341" t="str">
            <v xml:space="preserve"> </v>
          </cell>
          <cell r="T1341" t="str">
            <v>ﾄﾊﾞｺｳｹﾝ</v>
          </cell>
          <cell r="V1341" t="str">
            <v>30</v>
          </cell>
        </row>
        <row r="1342">
          <cell r="B1342" t="str">
            <v>9670</v>
          </cell>
          <cell r="C1342" t="str">
            <v>#</v>
          </cell>
          <cell r="D1342" t="str">
            <v>(有)ふじ商会</v>
          </cell>
          <cell r="F1342" t="str">
            <v>取締役</v>
          </cell>
          <cell r="G1342" t="str">
            <v>今井　孝幸</v>
          </cell>
          <cell r="H1342">
            <v>3</v>
          </cell>
          <cell r="I1342">
            <v>7</v>
          </cell>
          <cell r="J1342" t="str">
            <v>142</v>
          </cell>
          <cell r="K1342" t="str">
            <v>品川区旗の台4-14-1</v>
          </cell>
          <cell r="L1342" t="str">
            <v xml:space="preserve"> </v>
          </cell>
          <cell r="M1342" t="str">
            <v>03-3787-8007</v>
          </cell>
          <cell r="N1342" t="str">
            <v>/3772-0127</v>
          </cell>
          <cell r="O1342" t="str">
            <v>保護具･作業着</v>
          </cell>
          <cell r="P1342" t="str">
            <v>▽</v>
          </cell>
          <cell r="Q1342" t="str">
            <v xml:space="preserve"> </v>
          </cell>
          <cell r="R1342" t="str">
            <v>□</v>
          </cell>
          <cell r="T1342" t="str">
            <v>ﾌｼﾞｼｮｳｶｲ</v>
          </cell>
          <cell r="V1342" t="str">
            <v>15</v>
          </cell>
        </row>
        <row r="1343">
          <cell r="B1343" t="str">
            <v>9677</v>
          </cell>
          <cell r="C1343" t="str">
            <v>#</v>
          </cell>
          <cell r="D1343" t="str">
            <v>(株)コシダテック</v>
          </cell>
          <cell r="F1343" t="str">
            <v>取締役社長</v>
          </cell>
          <cell r="G1343" t="str">
            <v>戸枝  弘</v>
          </cell>
          <cell r="H1343">
            <v>94</v>
          </cell>
          <cell r="I1343">
            <v>313</v>
          </cell>
          <cell r="J1343" t="str">
            <v>105</v>
          </cell>
          <cell r="K1343" t="str">
            <v>港区東新橋2-2-9</v>
          </cell>
          <cell r="L1343" t="str">
            <v xml:space="preserve"> </v>
          </cell>
          <cell r="M1343" t="str">
            <v>03-3432-5961</v>
          </cell>
          <cell r="N1343" t="str">
            <v>/</v>
          </cell>
          <cell r="O1343" t="str">
            <v>ｶﾞﾊﾞﾅｰ</v>
          </cell>
          <cell r="P1343" t="str">
            <v>▽</v>
          </cell>
          <cell r="Q1343" t="str">
            <v xml:space="preserve"> </v>
          </cell>
          <cell r="T1343" t="str">
            <v>ｺｼﾀﾞﾃｯｸ</v>
          </cell>
          <cell r="V1343" t="str">
            <v>51</v>
          </cell>
        </row>
        <row r="1344">
          <cell r="B1344" t="str">
            <v>9677</v>
          </cell>
          <cell r="C1344" t="str">
            <v>A</v>
          </cell>
          <cell r="D1344" t="str">
            <v>(株)コシダテック</v>
          </cell>
          <cell r="E1344" t="str">
            <v>多摩川工場</v>
          </cell>
          <cell r="J1344" t="str">
            <v>145</v>
          </cell>
          <cell r="K1344" t="str">
            <v>大田区田園調布南1-7</v>
          </cell>
          <cell r="L1344" t="str">
            <v xml:space="preserve"> </v>
          </cell>
          <cell r="M1344" t="str">
            <v>03-3750-4181</v>
          </cell>
          <cell r="N1344" t="str">
            <v>/3750-4187</v>
          </cell>
          <cell r="P1344" t="str">
            <v>▽</v>
          </cell>
          <cell r="Q1344" t="str">
            <v xml:space="preserve"> </v>
          </cell>
          <cell r="T1344" t="str">
            <v>ｺｼﾀﾞﾃｯｸ</v>
          </cell>
          <cell r="V1344" t="str">
            <v>51</v>
          </cell>
        </row>
        <row r="1345">
          <cell r="B1345" t="str">
            <v>9681</v>
          </cell>
          <cell r="C1345" t="str">
            <v>#</v>
          </cell>
          <cell r="D1345" t="str">
            <v>(株)大和木型製作所</v>
          </cell>
          <cell r="F1345" t="str">
            <v>取締役社長</v>
          </cell>
          <cell r="G1345" t="str">
            <v>和久田　三郎</v>
          </cell>
          <cell r="H1345">
            <v>10</v>
          </cell>
          <cell r="I1345">
            <v>32</v>
          </cell>
          <cell r="J1345" t="str">
            <v>417</v>
          </cell>
          <cell r="K1345" t="str">
            <v>富士市大渕町2470</v>
          </cell>
          <cell r="L1345" t="str">
            <v xml:space="preserve"> </v>
          </cell>
          <cell r="M1345" t="str">
            <v>0545-35-0350</v>
          </cell>
          <cell r="N1345" t="str">
            <v>/</v>
          </cell>
          <cell r="O1345" t="str">
            <v>ﾓﾃﾞﾙ･木型･ｹﾞｰｼﾞ</v>
          </cell>
          <cell r="P1345" t="str">
            <v>▽</v>
          </cell>
          <cell r="Q1345" t="str">
            <v xml:space="preserve"> </v>
          </cell>
          <cell r="S1345" t="str">
            <v>☆</v>
          </cell>
          <cell r="T1345" t="str">
            <v>ﾀﾞｲﾜｷｶﾞﾀｾｲｻｸｼｮ</v>
          </cell>
          <cell r="V1345" t="str">
            <v>30</v>
          </cell>
        </row>
        <row r="1346">
          <cell r="B1346" t="str">
            <v>9686</v>
          </cell>
          <cell r="C1346" t="str">
            <v>#</v>
          </cell>
          <cell r="D1346" t="str">
            <v>(株)ヨコハマ機工</v>
          </cell>
          <cell r="F1346" t="str">
            <v>代表取締役社長</v>
          </cell>
          <cell r="G1346" t="str">
            <v>吉岡　璋</v>
          </cell>
          <cell r="H1346">
            <v>12</v>
          </cell>
          <cell r="I1346">
            <v>18</v>
          </cell>
          <cell r="J1346" t="str">
            <v>236</v>
          </cell>
          <cell r="K1346" t="str">
            <v>横浜市金沢区幸浦2-15-4</v>
          </cell>
          <cell r="L1346" t="str">
            <v xml:space="preserve"> </v>
          </cell>
          <cell r="M1346" t="str">
            <v>045-784-2626</v>
          </cell>
          <cell r="N1346" t="str">
            <v>/784-2632</v>
          </cell>
          <cell r="O1346" t="str">
            <v>リベット・リベッター</v>
          </cell>
          <cell r="Q1346" t="str">
            <v xml:space="preserve"> </v>
          </cell>
          <cell r="T1346" t="str">
            <v>ﾖｺﾊﾏｷｺｳ</v>
          </cell>
          <cell r="V1346" t="str">
            <v>30</v>
          </cell>
        </row>
        <row r="1347">
          <cell r="B1347" t="str">
            <v>9692</v>
          </cell>
          <cell r="C1347" t="str">
            <v>#</v>
          </cell>
          <cell r="D1347" t="str">
            <v>岡田工業(株)</v>
          </cell>
          <cell r="F1347" t="str">
            <v>代表取締役</v>
          </cell>
          <cell r="G1347" t="str">
            <v>岡田　和夫</v>
          </cell>
          <cell r="H1347">
            <v>19</v>
          </cell>
          <cell r="I1347">
            <v>45</v>
          </cell>
          <cell r="J1347" t="str">
            <v>370-04</v>
          </cell>
          <cell r="K1347" t="str">
            <v>太田市新道町1201</v>
          </cell>
          <cell r="L1347" t="str">
            <v xml:space="preserve"> </v>
          </cell>
          <cell r="M1347" t="str">
            <v>0276-31-7194</v>
          </cell>
          <cell r="N1347" t="str">
            <v>/</v>
          </cell>
          <cell r="O1347" t="str">
            <v>パレット</v>
          </cell>
          <cell r="Q1347" t="str">
            <v xml:space="preserve"> </v>
          </cell>
          <cell r="T1347" t="str">
            <v>ｵｶﾀﾞｺｳｷﾞｮｳ</v>
          </cell>
          <cell r="V1347" t="str">
            <v>30</v>
          </cell>
        </row>
        <row r="1348">
          <cell r="B1348" t="str">
            <v>9693</v>
          </cell>
          <cell r="C1348" t="str">
            <v>#</v>
          </cell>
          <cell r="D1348" t="str">
            <v>三井物産工作機械(株)</v>
          </cell>
          <cell r="F1348" t="str">
            <v>代表取締役</v>
          </cell>
          <cell r="G1348" t="str">
            <v>石原　宏</v>
          </cell>
          <cell r="H1348">
            <v>50</v>
          </cell>
          <cell r="I1348">
            <v>97</v>
          </cell>
          <cell r="J1348" t="str">
            <v>150</v>
          </cell>
          <cell r="K1348" t="str">
            <v>渋谷区広尾5-4-12</v>
          </cell>
          <cell r="L1348" t="str">
            <v>大成ビル</v>
          </cell>
          <cell r="M1348" t="str">
            <v>03-3442-8371</v>
          </cell>
          <cell r="N1348" t="str">
            <v>/</v>
          </cell>
          <cell r="O1348" t="str">
            <v>鈑金プレスM/C修理</v>
          </cell>
          <cell r="Q1348" t="str">
            <v xml:space="preserve"> </v>
          </cell>
          <cell r="T1348" t="str">
            <v>ﾐﾂｲﾌﾞｯｻﾝｺｳｻｸｷｶｲ</v>
          </cell>
          <cell r="V1348" t="str">
            <v>30</v>
          </cell>
        </row>
        <row r="1349">
          <cell r="B1349" t="str">
            <v>9693</v>
          </cell>
          <cell r="C1349" t="str">
            <v>A</v>
          </cell>
          <cell r="D1349" t="str">
            <v>三井物産工作機械(株)</v>
          </cell>
          <cell r="E1349" t="str">
            <v>西関東支店横浜営業所</v>
          </cell>
          <cell r="J1349" t="str">
            <v>222</v>
          </cell>
          <cell r="K1349" t="str">
            <v>横浜市港北区新横浜2-6-13</v>
          </cell>
          <cell r="L1349" t="str">
            <v/>
          </cell>
          <cell r="M1349" t="str">
            <v>045-472-4144</v>
          </cell>
          <cell r="N1349" t="str">
            <v>/472-5643</v>
          </cell>
          <cell r="T1349" t="str">
            <v>ﾐﾂｲﾌﾞｯｻﾝｺｳｻｸｷｶｲ</v>
          </cell>
          <cell r="V1349" t="str">
            <v>30</v>
          </cell>
        </row>
        <row r="1350">
          <cell r="B1350" t="str">
            <v>9696</v>
          </cell>
          <cell r="C1350" t="str">
            <v>#</v>
          </cell>
          <cell r="D1350" t="str">
            <v>首都圏ﾊﾟﾅｿﾆｯｸFA(株)</v>
          </cell>
          <cell r="F1350" t="str">
            <v>代表取締役社長</v>
          </cell>
          <cell r="G1350" t="str">
            <v>古市　善教</v>
          </cell>
          <cell r="H1350">
            <v>20</v>
          </cell>
          <cell r="I1350">
            <v>114</v>
          </cell>
          <cell r="J1350" t="str">
            <v>152</v>
          </cell>
          <cell r="K1350" t="str">
            <v>目黒区碑文谷3-3-19</v>
          </cell>
          <cell r="L1350" t="str">
            <v xml:space="preserve"> </v>
          </cell>
          <cell r="M1350" t="str">
            <v>03-5721-3811</v>
          </cell>
          <cell r="N1350" t="str">
            <v>/</v>
          </cell>
          <cell r="O1350" t="str">
            <v>計測器</v>
          </cell>
          <cell r="Q1350" t="str">
            <v xml:space="preserve"> </v>
          </cell>
          <cell r="R1350" t="str">
            <v>□</v>
          </cell>
          <cell r="T1350" t="str">
            <v>ｼｭﾄｹﾝﾊﾟﾅｿﾆｯｸｴﾌｴｰ</v>
          </cell>
          <cell r="V1350" t="str">
            <v>30</v>
          </cell>
        </row>
        <row r="1351">
          <cell r="B1351" t="str">
            <v>9699</v>
          </cell>
          <cell r="C1351" t="str">
            <v>#</v>
          </cell>
          <cell r="D1351" t="str">
            <v>矢崎化工(株)</v>
          </cell>
          <cell r="F1351" t="str">
            <v>代表取締役</v>
          </cell>
          <cell r="G1351" t="str">
            <v>矢崎　敦彦</v>
          </cell>
          <cell r="H1351">
            <v>100</v>
          </cell>
          <cell r="I1351">
            <v>979</v>
          </cell>
          <cell r="J1351" t="str">
            <v>422</v>
          </cell>
          <cell r="K1351" t="str">
            <v>静岡市小鹿2-24-1</v>
          </cell>
          <cell r="L1351" t="str">
            <v xml:space="preserve"> </v>
          </cell>
          <cell r="M1351" t="str">
            <v>0542-81-0111</v>
          </cell>
          <cell r="N1351" t="str">
            <v>/</v>
          </cell>
          <cell r="O1351" t="str">
            <v>パレット</v>
          </cell>
          <cell r="Q1351" t="str">
            <v xml:space="preserve"> </v>
          </cell>
          <cell r="T1351" t="str">
            <v>ﾔｻﾞｷｶｺｳ</v>
          </cell>
          <cell r="V1351" t="str">
            <v>30</v>
          </cell>
        </row>
        <row r="1352">
          <cell r="B1352" t="str">
            <v>9699</v>
          </cell>
          <cell r="C1352" t="str">
            <v>A</v>
          </cell>
          <cell r="D1352" t="str">
            <v>矢崎化工(株)</v>
          </cell>
          <cell r="E1352" t="str">
            <v>神奈川ブロック</v>
          </cell>
          <cell r="J1352" t="str">
            <v>257</v>
          </cell>
          <cell r="K1352" t="str">
            <v>秦野市名古木3-4</v>
          </cell>
          <cell r="L1352" t="str">
            <v/>
          </cell>
          <cell r="M1352" t="str">
            <v>0463-81-2511</v>
          </cell>
          <cell r="N1352" t="str">
            <v>/82-9070</v>
          </cell>
          <cell r="O1352" t="str">
            <v>パレット</v>
          </cell>
          <cell r="Q1352" t="str">
            <v xml:space="preserve"> </v>
          </cell>
          <cell r="T1352" t="str">
            <v>ﾔｻﾞｷｶｺｳ</v>
          </cell>
          <cell r="V1352" t="str">
            <v>30</v>
          </cell>
        </row>
        <row r="1353">
          <cell r="B1353" t="str">
            <v>9700</v>
          </cell>
          <cell r="C1353" t="str">
            <v>#</v>
          </cell>
          <cell r="D1353" t="str">
            <v>オイレス工業(株)</v>
          </cell>
          <cell r="F1353" t="str">
            <v>代表取締役社長</v>
          </cell>
          <cell r="G1353" t="str">
            <v>江草  利幸</v>
          </cell>
          <cell r="H1353">
            <v>8585</v>
          </cell>
          <cell r="I1353">
            <v>1018</v>
          </cell>
          <cell r="J1353" t="str">
            <v>105</v>
          </cell>
          <cell r="K1353" t="str">
            <v>港区芝大門1-3-2</v>
          </cell>
          <cell r="L1353" t="str">
            <v>芝細田ビル</v>
          </cell>
          <cell r="M1353" t="str">
            <v>0462-62-2661</v>
          </cell>
          <cell r="N1353" t="str">
            <v>/62-2494</v>
          </cell>
          <cell r="O1353" t="str">
            <v>含油プッシュ,ワッシャー</v>
          </cell>
          <cell r="Q1353" t="str">
            <v xml:space="preserve"> </v>
          </cell>
          <cell r="S1353" t="str">
            <v>☆</v>
          </cell>
          <cell r="T1353" t="str">
            <v>ｵｲﾚｽｺｳｷﾞｮｳ</v>
          </cell>
          <cell r="V1353" t="str">
            <v>54</v>
          </cell>
        </row>
        <row r="1354">
          <cell r="B1354" t="str">
            <v>9702</v>
          </cell>
          <cell r="C1354" t="str">
            <v>#</v>
          </cell>
          <cell r="D1354" t="str">
            <v>サンスター技研(株)</v>
          </cell>
          <cell r="F1354" t="str">
            <v>代表取締役社長</v>
          </cell>
          <cell r="G1354" t="str">
            <v>金田　博夫</v>
          </cell>
          <cell r="H1354">
            <v>3125</v>
          </cell>
          <cell r="I1354">
            <v>670</v>
          </cell>
          <cell r="J1354" t="str">
            <v>569</v>
          </cell>
          <cell r="K1354" t="str">
            <v>高槻市明田町7-1</v>
          </cell>
          <cell r="L1354" t="str">
            <v xml:space="preserve"> </v>
          </cell>
          <cell r="M1354" t="str">
            <v>0726-81-0351</v>
          </cell>
          <cell r="N1354" t="str">
            <v>/</v>
          </cell>
          <cell r="O1354" t="str">
            <v>ベタシール551・接着剤</v>
          </cell>
          <cell r="Q1354" t="str">
            <v xml:space="preserve"> </v>
          </cell>
          <cell r="R1354" t="str">
            <v>□</v>
          </cell>
          <cell r="T1354" t="str">
            <v>ｻﾝｽﾀｰｷﾞｹﾝ</v>
          </cell>
          <cell r="V1354" t="str">
            <v>15</v>
          </cell>
        </row>
        <row r="1355">
          <cell r="B1355" t="str">
            <v>9702</v>
          </cell>
          <cell r="C1355" t="str">
            <v>A</v>
          </cell>
          <cell r="D1355" t="str">
            <v>サンスター技研(株)</v>
          </cell>
          <cell r="E1355" t="str">
            <v>東京支店</v>
          </cell>
          <cell r="F1355" t="str">
            <v>支店長</v>
          </cell>
          <cell r="G1355" t="str">
            <v>中出　信次</v>
          </cell>
          <cell r="J1355" t="str">
            <v>108</v>
          </cell>
          <cell r="K1355" t="str">
            <v>港区六本木6-2-31</v>
          </cell>
          <cell r="L1355" t="str">
            <v>東京日産ビル</v>
          </cell>
          <cell r="M1355" t="str">
            <v>03-5410-1711</v>
          </cell>
          <cell r="N1355" t="str">
            <v>/</v>
          </cell>
          <cell r="Q1355" t="str">
            <v xml:space="preserve"> </v>
          </cell>
          <cell r="T1355" t="str">
            <v>ｻﾝｽﾀｰｷﾞｹﾝ</v>
          </cell>
          <cell r="V1355" t="str">
            <v>15</v>
          </cell>
        </row>
        <row r="1356">
          <cell r="B1356" t="str">
            <v>9702</v>
          </cell>
          <cell r="C1356" t="str">
            <v>B</v>
          </cell>
          <cell r="D1356" t="str">
            <v>サンスター技研(株)</v>
          </cell>
          <cell r="E1356" t="str">
            <v>町田営業所</v>
          </cell>
          <cell r="F1356" t="str">
            <v>所長</v>
          </cell>
          <cell r="G1356" t="str">
            <v>下代  宗光</v>
          </cell>
          <cell r="I1356">
            <v>11</v>
          </cell>
          <cell r="J1356" t="str">
            <v>194</v>
          </cell>
          <cell r="K1356" t="str">
            <v>町田市木曽町2314</v>
          </cell>
          <cell r="L1356" t="str">
            <v xml:space="preserve"> </v>
          </cell>
          <cell r="M1356" t="str">
            <v>0427-92-0111</v>
          </cell>
          <cell r="N1356" t="str">
            <v>/92-0120</v>
          </cell>
          <cell r="O1356" t="str">
            <v>ｶﾞﾗｽ用接着剤</v>
          </cell>
          <cell r="Q1356" t="str">
            <v xml:space="preserve"> </v>
          </cell>
          <cell r="T1356" t="str">
            <v>ｻﾝｽﾀｰｷﾞｹﾝ</v>
          </cell>
          <cell r="V1356" t="str">
            <v>15</v>
          </cell>
        </row>
        <row r="1357">
          <cell r="B1357" t="str">
            <v>9704</v>
          </cell>
          <cell r="C1357" t="str">
            <v>#</v>
          </cell>
          <cell r="D1357" t="str">
            <v>大林道路(株)</v>
          </cell>
          <cell r="F1357" t="str">
            <v>取締役社長</v>
          </cell>
          <cell r="G1357" t="str">
            <v>小西  明夫</v>
          </cell>
          <cell r="H1357">
            <v>6293</v>
          </cell>
          <cell r="I1357">
            <v>1627</v>
          </cell>
          <cell r="J1357" t="str">
            <v>107</v>
          </cell>
          <cell r="K1357" t="str">
            <v>港区南青山1-24-1</v>
          </cell>
          <cell r="L1357" t="str">
            <v xml:space="preserve"> </v>
          </cell>
          <cell r="M1357" t="str">
            <v>03-3796-6508</v>
          </cell>
          <cell r="N1357" t="str">
            <v>/3796-6519</v>
          </cell>
          <cell r="O1357" t="str">
            <v>舗装工事</v>
          </cell>
          <cell r="Q1357" t="str">
            <v xml:space="preserve"> </v>
          </cell>
          <cell r="T1357" t="str">
            <v>ｵｵﾊﾞﾔｼﾄﾞｳﾛ</v>
          </cell>
          <cell r="V1357" t="str">
            <v>30</v>
          </cell>
        </row>
        <row r="1358">
          <cell r="B1358" t="str">
            <v>9706</v>
          </cell>
          <cell r="C1358" t="str">
            <v>#</v>
          </cell>
          <cell r="D1358" t="str">
            <v>(株)シマセイ</v>
          </cell>
          <cell r="F1358" t="str">
            <v>取締役社長</v>
          </cell>
          <cell r="G1358" t="str">
            <v>本山　松二</v>
          </cell>
          <cell r="H1358">
            <v>15</v>
          </cell>
          <cell r="I1358">
            <v>35</v>
          </cell>
          <cell r="J1358" t="str">
            <v>210</v>
          </cell>
          <cell r="K1358" t="str">
            <v>川崎市川崎区南町18-5</v>
          </cell>
          <cell r="L1358" t="str">
            <v xml:space="preserve"> </v>
          </cell>
          <cell r="M1358" t="str">
            <v>044-211-3431</v>
          </cell>
          <cell r="N1358" t="str">
            <v>/222-9591</v>
          </cell>
          <cell r="O1358" t="str">
            <v>試験機</v>
          </cell>
          <cell r="Q1358" t="str">
            <v xml:space="preserve"> </v>
          </cell>
          <cell r="R1358" t="str">
            <v>□</v>
          </cell>
          <cell r="T1358" t="str">
            <v>ｼﾏｾｲ</v>
          </cell>
          <cell r="V1358" t="str">
            <v>30</v>
          </cell>
        </row>
        <row r="1359">
          <cell r="B1359" t="str">
            <v>9710</v>
          </cell>
          <cell r="C1359" t="str">
            <v>#</v>
          </cell>
          <cell r="D1359" t="str">
            <v>三春工業(株)</v>
          </cell>
          <cell r="F1359" t="str">
            <v>代表取締役</v>
          </cell>
          <cell r="G1359" t="str">
            <v>津田　宣之</v>
          </cell>
          <cell r="H1359">
            <v>30</v>
          </cell>
          <cell r="I1359">
            <v>34</v>
          </cell>
          <cell r="J1359" t="str">
            <v>238</v>
          </cell>
          <cell r="K1359" t="str">
            <v>横須賀市三春町2-30</v>
          </cell>
          <cell r="L1359" t="str">
            <v xml:space="preserve"> </v>
          </cell>
          <cell r="M1359" t="str">
            <v>0468-23-5665</v>
          </cell>
          <cell r="N1359" t="str">
            <v>/</v>
          </cell>
          <cell r="O1359" t="str">
            <v>清掃業</v>
          </cell>
          <cell r="Q1359" t="str">
            <v>◎</v>
          </cell>
          <cell r="R1359" t="str">
            <v>□</v>
          </cell>
          <cell r="S1359" t="str">
            <v>☆</v>
          </cell>
          <cell r="T1359" t="str">
            <v>ﾐﾊﾙｺｳｷﾞｮｳ</v>
          </cell>
          <cell r="V1359" t="str">
            <v>30</v>
          </cell>
        </row>
        <row r="1360">
          <cell r="B1360" t="str">
            <v>9720</v>
          </cell>
          <cell r="C1360" t="str">
            <v>#</v>
          </cell>
          <cell r="D1360" t="str">
            <v>日本ﾃﾞｲﾄﾝﾌﾟﾛｸﾞﾚｽ(株)</v>
          </cell>
          <cell r="F1360" t="str">
            <v>代表取締役</v>
          </cell>
          <cell r="G1360" t="str">
            <v>尾島　聡</v>
          </cell>
          <cell r="H1360">
            <v>10</v>
          </cell>
          <cell r="I1360">
            <v>37</v>
          </cell>
          <cell r="J1360" t="str">
            <v>229</v>
          </cell>
          <cell r="K1360" t="str">
            <v>相模原市橋本台2-7-35</v>
          </cell>
          <cell r="L1360" t="str">
            <v/>
          </cell>
          <cell r="M1360" t="str">
            <v>0427-74-0821</v>
          </cell>
          <cell r="N1360" t="str">
            <v>/73-4955</v>
          </cell>
          <cell r="O1360" t="str">
            <v>ﾊﾟﾝﾁ･ﾀﾞｲ･ﾘﾃｰﾅｰ</v>
          </cell>
          <cell r="P1360" t="str">
            <v>▽</v>
          </cell>
          <cell r="Q1360" t="str">
            <v xml:space="preserve"> </v>
          </cell>
          <cell r="T1360" t="str">
            <v>ﾆﾎﾝﾃﾞｲﾄﾝﾌﾟﾛｸﾞﾚｽ</v>
          </cell>
          <cell r="V1360" t="str">
            <v>30</v>
          </cell>
        </row>
        <row r="1361">
          <cell r="B1361" t="str">
            <v>9722</v>
          </cell>
          <cell r="C1361" t="str">
            <v>#</v>
          </cell>
          <cell r="D1361" t="str">
            <v>日本ｴﾝｼﾞﾆｱﾘﾝｸﾞ(株)</v>
          </cell>
          <cell r="F1361" t="str">
            <v>代表取締役社長</v>
          </cell>
          <cell r="G1361" t="str">
            <v>上野　誠</v>
          </cell>
          <cell r="H1361">
            <v>61</v>
          </cell>
          <cell r="I1361">
            <v>102</v>
          </cell>
          <cell r="J1361" t="str">
            <v>230</v>
          </cell>
          <cell r="K1361" t="str">
            <v>横浜市鶴見区弁天町3</v>
          </cell>
          <cell r="L1361" t="str">
            <v xml:space="preserve"> </v>
          </cell>
          <cell r="M1361" t="str">
            <v>045-501-4786</v>
          </cell>
          <cell r="N1361" t="str">
            <v>/</v>
          </cell>
          <cell r="O1361" t="str">
            <v>厨房器具</v>
          </cell>
          <cell r="Q1361" t="str">
            <v xml:space="preserve"> </v>
          </cell>
          <cell r="T1361" t="str">
            <v>ﾆﾎﾝｴﾝｼﾞﾆｱﾘﾝｸﾞ</v>
          </cell>
          <cell r="V1361" t="str">
            <v>30</v>
          </cell>
        </row>
        <row r="1362">
          <cell r="B1362" t="str">
            <v>9726</v>
          </cell>
          <cell r="C1362" t="str">
            <v>#</v>
          </cell>
          <cell r="D1362" t="str">
            <v>東京ｱｲ･ｲｰ･ｼｰ(株)</v>
          </cell>
          <cell r="F1362" t="str">
            <v>代表取締役</v>
          </cell>
          <cell r="G1362" t="str">
            <v>高岡  孝</v>
          </cell>
          <cell r="H1362">
            <v>50</v>
          </cell>
          <cell r="I1362">
            <v>33</v>
          </cell>
          <cell r="J1362" t="str">
            <v>243</v>
          </cell>
          <cell r="K1362" t="str">
            <v>厚木市旭町4-2-9</v>
          </cell>
          <cell r="L1362" t="str">
            <v xml:space="preserve"> </v>
          </cell>
          <cell r="M1362" t="str">
            <v>0462-28-7651</v>
          </cell>
          <cell r="N1362" t="str">
            <v>/29-2052</v>
          </cell>
          <cell r="O1362" t="str">
            <v>ｴｱﾎﾟﾝﾌﾟ</v>
          </cell>
          <cell r="Q1362" t="str">
            <v xml:space="preserve"> </v>
          </cell>
          <cell r="R1362" t="str">
            <v>□</v>
          </cell>
          <cell r="T1362" t="str">
            <v>ﾄｳｷｮｳｱｲ･ｲｰ･ｼｰ</v>
          </cell>
          <cell r="V1362" t="str">
            <v>30</v>
          </cell>
        </row>
        <row r="1363">
          <cell r="B1363" t="str">
            <v>9734</v>
          </cell>
          <cell r="C1363" t="str">
            <v>#</v>
          </cell>
          <cell r="D1363" t="str">
            <v>(株)ﾌｨｱﾛｺｰﾎﾟﾚｰｼｮﾝ</v>
          </cell>
          <cell r="F1363" t="str">
            <v>代表取締役社長</v>
          </cell>
          <cell r="G1363" t="str">
            <v>岩崎　武一郎</v>
          </cell>
          <cell r="H1363">
            <v>20</v>
          </cell>
          <cell r="I1363">
            <v>156</v>
          </cell>
          <cell r="J1363" t="str">
            <v>352</v>
          </cell>
          <cell r="K1363" t="str">
            <v>新座市野火止8-2-3</v>
          </cell>
          <cell r="L1363" t="str">
            <v xml:space="preserve"> </v>
          </cell>
          <cell r="M1363" t="str">
            <v>0484-78-6187</v>
          </cell>
          <cell r="N1363" t="str">
            <v>/</v>
          </cell>
          <cell r="O1363" t="str">
            <v>各種モデル木型製作</v>
          </cell>
          <cell r="P1363" t="str">
            <v>▽</v>
          </cell>
          <cell r="Q1363" t="str">
            <v xml:space="preserve"> </v>
          </cell>
          <cell r="T1363" t="str">
            <v>ﾌｨｱﾛｺｰﾎﾟﾚｰｼｮﾝ</v>
          </cell>
          <cell r="V1363" t="str">
            <v>30</v>
          </cell>
        </row>
        <row r="1364">
          <cell r="B1364" t="str">
            <v>9740</v>
          </cell>
          <cell r="C1364" t="str">
            <v>#</v>
          </cell>
          <cell r="D1364" t="str">
            <v>(株)城下ｴﾝｼﾞﾆｱﾘﾝｸﾞ</v>
          </cell>
          <cell r="F1364" t="str">
            <v>代表取締役</v>
          </cell>
          <cell r="G1364" t="str">
            <v>屋加比　政一</v>
          </cell>
          <cell r="H1364">
            <v>40</v>
          </cell>
          <cell r="I1364">
            <v>50</v>
          </cell>
          <cell r="J1364" t="str">
            <v>458</v>
          </cell>
          <cell r="K1364" t="str">
            <v>名古屋市緑区鳴海町字杜若</v>
          </cell>
          <cell r="L1364" t="str">
            <v>11-1</v>
          </cell>
          <cell r="M1364" t="str">
            <v>052-891-4111</v>
          </cell>
          <cell r="N1364" t="str">
            <v>/</v>
          </cell>
          <cell r="O1364" t="str">
            <v>熔接治具</v>
          </cell>
          <cell r="Q1364" t="str">
            <v xml:space="preserve"> </v>
          </cell>
          <cell r="T1364" t="str">
            <v>ｼﾛｼﾀｴﾝｼﾞﾆｱﾘﾝｸﾞ</v>
          </cell>
          <cell r="V1364" t="str">
            <v>30</v>
          </cell>
        </row>
        <row r="1365">
          <cell r="B1365" t="str">
            <v>9742</v>
          </cell>
          <cell r="C1365" t="str">
            <v>#</v>
          </cell>
          <cell r="D1365" t="str">
            <v>(株)Ｔｏｏ</v>
          </cell>
          <cell r="F1365" t="str">
            <v>取締役社長</v>
          </cell>
          <cell r="G1365" t="str">
            <v>石井　英一</v>
          </cell>
          <cell r="H1365">
            <v>136</v>
          </cell>
          <cell r="I1365">
            <v>863</v>
          </cell>
          <cell r="J1365" t="str">
            <v>150</v>
          </cell>
          <cell r="K1365" t="str">
            <v>渋谷区恵比寿1-20-8</v>
          </cell>
          <cell r="L1365" t="str">
            <v>エビススバルビル</v>
          </cell>
          <cell r="M1365" t="str">
            <v>03-3440-1511</v>
          </cell>
          <cell r="N1365" t="str">
            <v>/</v>
          </cell>
          <cell r="O1365" t="str">
            <v>工業デザイン材料</v>
          </cell>
          <cell r="Q1365" t="str">
            <v xml:space="preserve"> </v>
          </cell>
          <cell r="T1365" t="str">
            <v>ﾄｩｰ</v>
          </cell>
          <cell r="V1365" t="str">
            <v>15</v>
          </cell>
        </row>
        <row r="1366">
          <cell r="B1366" t="str">
            <v>9744</v>
          </cell>
          <cell r="C1366" t="str">
            <v>#</v>
          </cell>
          <cell r="D1366" t="str">
            <v>(株)中央設備商会</v>
          </cell>
          <cell r="F1366" t="str">
            <v>代表取締役</v>
          </cell>
          <cell r="G1366" t="str">
            <v>名内　茂</v>
          </cell>
          <cell r="H1366">
            <v>20</v>
          </cell>
          <cell r="I1366">
            <v>23</v>
          </cell>
          <cell r="J1366" t="str">
            <v>160</v>
          </cell>
          <cell r="K1366" t="str">
            <v>新宿区西新宿4-14-7-201</v>
          </cell>
          <cell r="L1366" t="str">
            <v xml:space="preserve"> </v>
          </cell>
          <cell r="M1366" t="str">
            <v>03-3378-1321</v>
          </cell>
          <cell r="N1366" t="str">
            <v>/</v>
          </cell>
          <cell r="O1366" t="str">
            <v>圧縮空気除湿装置</v>
          </cell>
          <cell r="Q1366" t="str">
            <v xml:space="preserve"> </v>
          </cell>
          <cell r="R1366" t="str">
            <v>□</v>
          </cell>
          <cell r="T1366" t="str">
            <v>ﾁｭｳｵｳｾﾂﾋﾞｼｮｳｶｲ</v>
          </cell>
          <cell r="V1366" t="str">
            <v>30</v>
          </cell>
        </row>
        <row r="1367">
          <cell r="B1367" t="str">
            <v>9745</v>
          </cell>
          <cell r="C1367" t="str">
            <v>#</v>
          </cell>
          <cell r="D1367" t="str">
            <v>東京貿易(株)</v>
          </cell>
          <cell r="F1367" t="str">
            <v>代表取締役社長</v>
          </cell>
          <cell r="G1367" t="str">
            <v>松宮　康夫</v>
          </cell>
          <cell r="H1367">
            <v>520</v>
          </cell>
          <cell r="I1367">
            <v>500</v>
          </cell>
          <cell r="J1367" t="str">
            <v>104</v>
          </cell>
          <cell r="K1367" t="str">
            <v>中央区八丁堀2-13-8</v>
          </cell>
          <cell r="L1367" t="str">
            <v>第二長岡ビル</v>
          </cell>
          <cell r="M1367" t="str">
            <v>03-3552-7211</v>
          </cell>
          <cell r="N1367" t="str">
            <v>/</v>
          </cell>
          <cell r="O1367" t="str">
            <v>試験機械</v>
          </cell>
          <cell r="Q1367" t="str">
            <v xml:space="preserve"> </v>
          </cell>
          <cell r="T1367" t="str">
            <v>ﾄｳｷｮｳﾎﾞｳｴｷ</v>
          </cell>
          <cell r="V1367" t="str">
            <v>30</v>
          </cell>
        </row>
        <row r="1368">
          <cell r="B1368" t="str">
            <v>9746</v>
          </cell>
          <cell r="C1368" t="str">
            <v>#</v>
          </cell>
          <cell r="D1368" t="str">
            <v>藤沢市興業公社(株)</v>
          </cell>
          <cell r="F1368" t="str">
            <v>代表取締役</v>
          </cell>
          <cell r="G1368" t="str">
            <v>森　　富治</v>
          </cell>
          <cell r="H1368">
            <v>10</v>
          </cell>
          <cell r="I1368">
            <v>83</v>
          </cell>
          <cell r="J1368" t="str">
            <v>251</v>
          </cell>
          <cell r="K1368" t="str">
            <v>藤沢市鵠沼神明1-1-7</v>
          </cell>
          <cell r="L1368" t="str">
            <v xml:space="preserve"> </v>
          </cell>
          <cell r="M1368" t="str">
            <v>0466-22-9141</v>
          </cell>
          <cell r="N1368" t="str">
            <v>/</v>
          </cell>
          <cell r="O1368" t="str">
            <v>浄化槽清掃</v>
          </cell>
          <cell r="Q1368" t="str">
            <v xml:space="preserve"> </v>
          </cell>
          <cell r="T1368" t="str">
            <v>ﾌｼﾞｻﾜｼｺｳｷﾞｮｳｺｳｼｬ</v>
          </cell>
          <cell r="V1368" t="str">
            <v>30</v>
          </cell>
        </row>
        <row r="1369">
          <cell r="B1369" t="str">
            <v>9749</v>
          </cell>
          <cell r="C1369" t="str">
            <v>#</v>
          </cell>
          <cell r="D1369" t="str">
            <v>(有)東洋金型製作所</v>
          </cell>
          <cell r="F1369" t="str">
            <v>代表取締役</v>
          </cell>
          <cell r="G1369" t="str">
            <v>庄垣内　武</v>
          </cell>
          <cell r="H1369">
            <v>10</v>
          </cell>
          <cell r="I1369">
            <v>12</v>
          </cell>
          <cell r="J1369" t="str">
            <v>211</v>
          </cell>
          <cell r="K1369" t="str">
            <v>川崎市中原区宮内1268</v>
          </cell>
          <cell r="L1369" t="str">
            <v xml:space="preserve"> </v>
          </cell>
          <cell r="M1369" t="str">
            <v>044-766-8940</v>
          </cell>
          <cell r="N1369" t="str">
            <v>/</v>
          </cell>
          <cell r="O1369" t="str">
            <v>鍛金型造</v>
          </cell>
          <cell r="P1369" t="str">
            <v>▽</v>
          </cell>
          <cell r="Q1369" t="str">
            <v xml:space="preserve"> </v>
          </cell>
          <cell r="T1369" t="str">
            <v>ﾄｳﾖｳｶﾅｶﾞﾀｾｲｻｸｼｮ</v>
          </cell>
          <cell r="V1369" t="str">
            <v>30</v>
          </cell>
        </row>
        <row r="1370">
          <cell r="B1370" t="str">
            <v>9754</v>
          </cell>
          <cell r="C1370" t="str">
            <v>#</v>
          </cell>
          <cell r="D1370" t="str">
            <v xml:space="preserve">(株)銭高組 </v>
          </cell>
          <cell r="F1370" t="str">
            <v>取締役社長</v>
          </cell>
          <cell r="G1370" t="str">
            <v>銭高　善雄</v>
          </cell>
          <cell r="H1370">
            <v>3675</v>
          </cell>
          <cell r="I1370">
            <v>2960</v>
          </cell>
          <cell r="J1370" t="str">
            <v>102</v>
          </cell>
          <cell r="K1370" t="str">
            <v>千代田区一番町31</v>
          </cell>
          <cell r="L1370" t="str">
            <v xml:space="preserve"> </v>
          </cell>
          <cell r="M1370" t="str">
            <v>03-3265-4611</v>
          </cell>
          <cell r="N1370" t="str">
            <v>/</v>
          </cell>
          <cell r="O1370" t="str">
            <v>総合建設業</v>
          </cell>
          <cell r="Q1370" t="str">
            <v xml:space="preserve"> </v>
          </cell>
          <cell r="T1370" t="str">
            <v>ｾﾞﾆﾀｶｸﾞﾐ</v>
          </cell>
          <cell r="V1370" t="str">
            <v>30</v>
          </cell>
        </row>
        <row r="1371">
          <cell r="B1371" t="str">
            <v>9757</v>
          </cell>
          <cell r="C1371" t="str">
            <v>#</v>
          </cell>
          <cell r="D1371" t="str">
            <v>ソマール(株)</v>
          </cell>
          <cell r="F1371" t="str">
            <v>代表取締役</v>
          </cell>
          <cell r="G1371" t="str">
            <v>平野　静二</v>
          </cell>
          <cell r="H1371">
            <v>360</v>
          </cell>
          <cell r="I1371">
            <v>633</v>
          </cell>
          <cell r="J1371" t="str">
            <v>104</v>
          </cell>
          <cell r="K1371" t="str">
            <v>中央区銀座4-11-2</v>
          </cell>
          <cell r="L1371" t="str">
            <v xml:space="preserve"> </v>
          </cell>
          <cell r="M1371" t="str">
            <v>03-3542-2151</v>
          </cell>
          <cell r="N1371" t="str">
            <v>/</v>
          </cell>
          <cell r="O1371" t="str">
            <v>写真室用製品</v>
          </cell>
          <cell r="Q1371" t="str">
            <v xml:space="preserve"> </v>
          </cell>
          <cell r="T1371" t="str">
            <v>ｿﾏｰﾙ</v>
          </cell>
          <cell r="V1371" t="str">
            <v>30</v>
          </cell>
        </row>
        <row r="1372">
          <cell r="B1372" t="str">
            <v>9759</v>
          </cell>
          <cell r="C1372" t="str">
            <v>#</v>
          </cell>
          <cell r="D1372" t="str">
            <v>(協)富士金属金型ｾﾝﾀｰ</v>
          </cell>
          <cell r="F1372" t="str">
            <v>代表理事</v>
          </cell>
          <cell r="G1372" t="str">
            <v>福島  喜代三</v>
          </cell>
          <cell r="H1372">
            <v>10</v>
          </cell>
          <cell r="I1372">
            <v>25</v>
          </cell>
          <cell r="J1372" t="str">
            <v>416</v>
          </cell>
          <cell r="K1372" t="str">
            <v>富士市五貫島811</v>
          </cell>
          <cell r="L1372" t="str">
            <v>石川鉄工咜気付</v>
          </cell>
          <cell r="M1372" t="str">
            <v>0545-61-7972</v>
          </cell>
          <cell r="N1372" t="str">
            <v>/</v>
          </cell>
          <cell r="O1372" t="str">
            <v>プレス金型・治具</v>
          </cell>
          <cell r="P1372" t="str">
            <v>▽</v>
          </cell>
          <cell r="Q1372" t="str">
            <v xml:space="preserve"> </v>
          </cell>
          <cell r="T1372" t="str">
            <v>ﾌｼﾞｷﾝｿﾞｸｶﾅｶﾞﾀｾﾝﾀｰ</v>
          </cell>
          <cell r="V1372" t="str">
            <v>30</v>
          </cell>
        </row>
        <row r="1373">
          <cell r="B1373" t="str">
            <v>9760</v>
          </cell>
          <cell r="C1373" t="str">
            <v>#</v>
          </cell>
          <cell r="D1373" t="str">
            <v>ミドリ安全(株)</v>
          </cell>
          <cell r="F1373" t="str">
            <v>代表取締役社長</v>
          </cell>
          <cell r="G1373" t="str">
            <v>松村　不二夫</v>
          </cell>
          <cell r="H1373">
            <v>603</v>
          </cell>
          <cell r="I1373">
            <v>1162</v>
          </cell>
          <cell r="J1373" t="str">
            <v>150</v>
          </cell>
          <cell r="K1373" t="str">
            <v>渋谷区広尾5-4-3</v>
          </cell>
          <cell r="L1373" t="str">
            <v xml:space="preserve"> </v>
          </cell>
          <cell r="M1373" t="str">
            <v>03-3442-8281</v>
          </cell>
          <cell r="N1373" t="str">
            <v>/</v>
          </cell>
          <cell r="O1373" t="str">
            <v>保護具</v>
          </cell>
          <cell r="Q1373" t="str">
            <v xml:space="preserve"> </v>
          </cell>
          <cell r="R1373" t="str">
            <v>□</v>
          </cell>
          <cell r="T1373" t="str">
            <v>ﾐﾄﾞﾘｱﾝｾﾞﾝ</v>
          </cell>
          <cell r="V1373" t="str">
            <v>15</v>
          </cell>
        </row>
        <row r="1374">
          <cell r="B1374" t="str">
            <v>9760</v>
          </cell>
          <cell r="C1374" t="str">
            <v>A</v>
          </cell>
          <cell r="D1374" t="str">
            <v>ミドリ安全(株)</v>
          </cell>
          <cell r="E1374" t="str">
            <v>川崎支店</v>
          </cell>
          <cell r="F1374" t="str">
            <v>支店長</v>
          </cell>
          <cell r="G1374" t="str">
            <v>原口  文明</v>
          </cell>
          <cell r="J1374" t="str">
            <v>210</v>
          </cell>
          <cell r="K1374" t="str">
            <v>川崎市川崎区藤崎3-4-4</v>
          </cell>
          <cell r="L1374" t="str">
            <v xml:space="preserve"> </v>
          </cell>
          <cell r="M1374" t="str">
            <v>044-287-3081</v>
          </cell>
          <cell r="N1374" t="str">
            <v>/287-3086</v>
          </cell>
          <cell r="O1374" t="str">
            <v>保護具</v>
          </cell>
          <cell r="Q1374" t="str">
            <v xml:space="preserve"> </v>
          </cell>
          <cell r="T1374" t="str">
            <v>ﾐﾄﾞﾘｱﾝｾﾞﾝ</v>
          </cell>
          <cell r="V1374" t="str">
            <v>15</v>
          </cell>
        </row>
        <row r="1375">
          <cell r="B1375" t="str">
            <v>9762</v>
          </cell>
          <cell r="C1375" t="str">
            <v>#</v>
          </cell>
          <cell r="D1375" t="str">
            <v>山口木材(株)</v>
          </cell>
          <cell r="F1375" t="str">
            <v>代表取締役</v>
          </cell>
          <cell r="G1375" t="str">
            <v>山口　一</v>
          </cell>
          <cell r="H1375">
            <v>15</v>
          </cell>
          <cell r="I1375">
            <v>42</v>
          </cell>
          <cell r="J1375" t="str">
            <v>328</v>
          </cell>
          <cell r="K1375" t="str">
            <v>栃木市城内町2-53-35</v>
          </cell>
          <cell r="L1375" t="str">
            <v xml:space="preserve"> </v>
          </cell>
          <cell r="M1375" t="str">
            <v>0282-24-8161</v>
          </cell>
          <cell r="N1375" t="str">
            <v>/23-1665</v>
          </cell>
          <cell r="O1375" t="str">
            <v>木材・木材加工品</v>
          </cell>
          <cell r="Q1375" t="str">
            <v xml:space="preserve"> </v>
          </cell>
          <cell r="T1375" t="str">
            <v>ﾔﾏｸﾞﾁﾓｸｻﾞｲ</v>
          </cell>
          <cell r="V1375" t="str">
            <v>15</v>
          </cell>
        </row>
        <row r="1376">
          <cell r="B1376" t="str">
            <v>9763</v>
          </cell>
          <cell r="C1376" t="str">
            <v>#</v>
          </cell>
          <cell r="D1376" t="str">
            <v>ベリョーザ環衛(株)</v>
          </cell>
          <cell r="F1376" t="str">
            <v>取締役社長</v>
          </cell>
          <cell r="G1376" t="str">
            <v>石川　寿万子</v>
          </cell>
          <cell r="H1376">
            <v>10</v>
          </cell>
          <cell r="I1376">
            <v>9</v>
          </cell>
          <cell r="J1376" t="str">
            <v>211</v>
          </cell>
          <cell r="K1376" t="str">
            <v>川崎市中原区上小田中1703</v>
          </cell>
          <cell r="L1376" t="str">
            <v xml:space="preserve"> </v>
          </cell>
          <cell r="M1376" t="str">
            <v>044-788-6411</v>
          </cell>
          <cell r="N1376" t="str">
            <v>/</v>
          </cell>
          <cell r="O1376" t="str">
            <v>浄化槽維持管理</v>
          </cell>
          <cell r="Q1376" t="str">
            <v xml:space="preserve"> </v>
          </cell>
          <cell r="T1376" t="str">
            <v>ﾍﾞﾘｮｰｻﾞｶﾝｴｲ</v>
          </cell>
          <cell r="V1376" t="str">
            <v>30</v>
          </cell>
        </row>
        <row r="1377">
          <cell r="B1377" t="str">
            <v>9765</v>
          </cell>
          <cell r="C1377" t="str">
            <v>#</v>
          </cell>
          <cell r="D1377" t="str">
            <v>前田建設工業(株)</v>
          </cell>
          <cell r="F1377" t="str">
            <v>取締役社長</v>
          </cell>
          <cell r="G1377" t="str">
            <v>前田　又兵衛</v>
          </cell>
          <cell r="H1377">
            <v>8114</v>
          </cell>
          <cell r="I1377">
            <v>4695</v>
          </cell>
          <cell r="J1377" t="str">
            <v>102</v>
          </cell>
          <cell r="K1377" t="str">
            <v>千代田区富士見2-10-26</v>
          </cell>
          <cell r="L1377" t="str">
            <v xml:space="preserve"> </v>
          </cell>
          <cell r="M1377" t="str">
            <v>03-3265-5551</v>
          </cell>
          <cell r="N1377" t="str">
            <v>/</v>
          </cell>
          <cell r="O1377" t="str">
            <v>総合建設業</v>
          </cell>
          <cell r="Q1377" t="str">
            <v xml:space="preserve"> </v>
          </cell>
          <cell r="T1377" t="str">
            <v>ﾏｴﾀﾞｹﾝｾﾂｺｳｷﾞｮｳ</v>
          </cell>
          <cell r="V1377" t="str">
            <v>30</v>
          </cell>
        </row>
        <row r="1378">
          <cell r="B1378" t="str">
            <v>9765</v>
          </cell>
          <cell r="C1378" t="str">
            <v>A</v>
          </cell>
          <cell r="D1378" t="str">
            <v>前田建設工業(株)</v>
          </cell>
          <cell r="E1378" t="str">
            <v>横浜支店</v>
          </cell>
          <cell r="J1378" t="str">
            <v>221</v>
          </cell>
          <cell r="K1378" t="str">
            <v>横浜市神奈川区反町2-16-8</v>
          </cell>
          <cell r="L1378" t="str">
            <v/>
          </cell>
          <cell r="M1378" t="str">
            <v>045-313-7000</v>
          </cell>
          <cell r="N1378" t="str">
            <v>321-8340</v>
          </cell>
          <cell r="O1378" t="str">
            <v>総合建設業</v>
          </cell>
          <cell r="Q1378" t="str">
            <v xml:space="preserve"> </v>
          </cell>
          <cell r="T1378" t="str">
            <v>ﾏｴﾀﾞｹﾝｾﾂｺｳｷﾞｮｳ</v>
          </cell>
          <cell r="V1378" t="str">
            <v>30</v>
          </cell>
        </row>
        <row r="1379">
          <cell r="B1379" t="str">
            <v>9766</v>
          </cell>
          <cell r="C1379" t="str">
            <v>#</v>
          </cell>
          <cell r="D1379" t="str">
            <v>東京プラント(株)</v>
          </cell>
          <cell r="F1379" t="str">
            <v>代表取締役</v>
          </cell>
          <cell r="G1379" t="str">
            <v>田中　清風</v>
          </cell>
          <cell r="H1379">
            <v>10</v>
          </cell>
          <cell r="I1379">
            <v>17</v>
          </cell>
          <cell r="J1379" t="str">
            <v>196</v>
          </cell>
          <cell r="K1379" t="str">
            <v>昭島市宮沢町515-5</v>
          </cell>
          <cell r="L1379" t="str">
            <v xml:space="preserve"> </v>
          </cell>
          <cell r="M1379" t="str">
            <v>0425-46-6500</v>
          </cell>
          <cell r="N1379" t="str">
            <v>/46-6600</v>
          </cell>
          <cell r="O1379" t="str">
            <v>水動力計</v>
          </cell>
          <cell r="Q1379" t="str">
            <v xml:space="preserve"> </v>
          </cell>
          <cell r="T1379" t="str">
            <v>ﾄｳｷｮｳﾌﾟﾗﾝﾄ</v>
          </cell>
          <cell r="V1379" t="str">
            <v>30</v>
          </cell>
        </row>
        <row r="1380">
          <cell r="B1380" t="str">
            <v>9770</v>
          </cell>
          <cell r="C1380" t="str">
            <v>#</v>
          </cell>
          <cell r="D1380" t="str">
            <v>ｴﾑ･ﾃｨ･ｴｽ･ｼﾞｬﾊﾟﾝ(株)</v>
          </cell>
          <cell r="F1380" t="str">
            <v>代表取締役</v>
          </cell>
          <cell r="G1380" t="str">
            <v>松下　光祥</v>
          </cell>
          <cell r="H1380">
            <v>40</v>
          </cell>
          <cell r="I1380">
            <v>19</v>
          </cell>
          <cell r="J1380" t="str">
            <v>102</v>
          </cell>
          <cell r="K1380" t="str">
            <v>千代田区九段南4-8-13</v>
          </cell>
          <cell r="L1380" t="str">
            <v>自動車会館</v>
          </cell>
          <cell r="M1380" t="str">
            <v>03-3239-0704</v>
          </cell>
          <cell r="N1380" t="str">
            <v>/3262-7780</v>
          </cell>
          <cell r="O1380" t="str">
            <v>電気油圧試験装置</v>
          </cell>
          <cell r="Q1380" t="str">
            <v xml:space="preserve"> </v>
          </cell>
          <cell r="T1380" t="str">
            <v>ｴﾑ･ﾃｨ･ｴｽ･ｼﾞｬﾊﾟﾝ</v>
          </cell>
          <cell r="V1380" t="str">
            <v>30</v>
          </cell>
        </row>
        <row r="1381">
          <cell r="B1381" t="str">
            <v>9772</v>
          </cell>
          <cell r="C1381" t="str">
            <v>#</v>
          </cell>
          <cell r="D1381" t="str">
            <v>日型工業(株)</v>
          </cell>
          <cell r="F1381" t="str">
            <v>取締役社長</v>
          </cell>
          <cell r="G1381" t="str">
            <v>清水　和生</v>
          </cell>
          <cell r="H1381">
            <v>20</v>
          </cell>
          <cell r="I1381">
            <v>65</v>
          </cell>
          <cell r="J1381" t="str">
            <v>243-04</v>
          </cell>
          <cell r="K1381" t="str">
            <v>海老名市本郷1760-1</v>
          </cell>
          <cell r="L1381" t="str">
            <v xml:space="preserve"> </v>
          </cell>
          <cell r="M1381" t="str">
            <v>0462-38-5711</v>
          </cell>
          <cell r="N1381" t="str">
            <v>/</v>
          </cell>
          <cell r="O1381" t="str">
            <v>プレス金型</v>
          </cell>
          <cell r="P1381" t="str">
            <v>▽</v>
          </cell>
          <cell r="Q1381" t="str">
            <v xml:space="preserve"> </v>
          </cell>
          <cell r="S1381" t="str">
            <v>☆</v>
          </cell>
          <cell r="T1381" t="str">
            <v>ﾆｯｹｲｺｳｷﾞｮｳ</v>
          </cell>
          <cell r="V1381" t="str">
            <v>30</v>
          </cell>
        </row>
        <row r="1382">
          <cell r="B1382" t="str">
            <v>9773</v>
          </cell>
          <cell r="C1382" t="str">
            <v>#</v>
          </cell>
          <cell r="D1382" t="str">
            <v>マルスン(株)</v>
          </cell>
          <cell r="F1382" t="str">
            <v>代表取締役社長</v>
          </cell>
          <cell r="G1382" t="str">
            <v>鈴木　光一</v>
          </cell>
          <cell r="H1382">
            <v>85</v>
          </cell>
          <cell r="I1382">
            <v>120</v>
          </cell>
          <cell r="J1382" t="str">
            <v>417</v>
          </cell>
          <cell r="K1382" t="str">
            <v>富士市依田橋上三条90-1</v>
          </cell>
          <cell r="L1382" t="str">
            <v xml:space="preserve"> </v>
          </cell>
          <cell r="M1382" t="str">
            <v>0545-51-5211</v>
          </cell>
          <cell r="N1382" t="str">
            <v>/</v>
          </cell>
          <cell r="O1382" t="str">
            <v>プレス金型・治具</v>
          </cell>
          <cell r="P1382" t="str">
            <v>▽</v>
          </cell>
          <cell r="Q1382" t="str">
            <v xml:space="preserve"> </v>
          </cell>
          <cell r="S1382" t="str">
            <v>☆</v>
          </cell>
          <cell r="T1382" t="str">
            <v>ﾏﾙｽﾝ</v>
          </cell>
          <cell r="V1382" t="str">
            <v>30</v>
          </cell>
        </row>
        <row r="1383">
          <cell r="B1383" t="str">
            <v>9779</v>
          </cell>
          <cell r="C1383" t="str">
            <v>#</v>
          </cell>
          <cell r="D1383" t="str">
            <v>ファナック(株)</v>
          </cell>
          <cell r="F1383" t="str">
            <v>代表取締役社長</v>
          </cell>
          <cell r="G1383" t="str">
            <v>稲葉清右衛門</v>
          </cell>
          <cell r="H1383">
            <v>4368</v>
          </cell>
          <cell r="I1383">
            <v>1081</v>
          </cell>
          <cell r="J1383" t="str">
            <v>401-05</v>
          </cell>
          <cell r="K1383" t="str">
            <v>山梨県南都留郡忍野村</v>
          </cell>
          <cell r="L1383" t="str">
            <v>忍草字古場3580</v>
          </cell>
          <cell r="M1383" t="str">
            <v xml:space="preserve">0555-84-5555 </v>
          </cell>
          <cell r="N1383" t="str">
            <v>/84-5512</v>
          </cell>
          <cell r="O1383" t="str">
            <v>数値制御装置</v>
          </cell>
          <cell r="Q1383" t="str">
            <v xml:space="preserve"> </v>
          </cell>
          <cell r="T1383" t="str">
            <v>ﾌｧﾅｯｸ</v>
          </cell>
          <cell r="V1383" t="str">
            <v>30</v>
          </cell>
        </row>
        <row r="1384">
          <cell r="B1384" t="str">
            <v>9781</v>
          </cell>
          <cell r="C1384" t="str">
            <v>#</v>
          </cell>
          <cell r="D1384" t="str">
            <v>三協ｲﾝﾀﾅｼｮﾅﾙ(株)</v>
          </cell>
          <cell r="F1384" t="str">
            <v>代表取締役社長</v>
          </cell>
          <cell r="G1384" t="str">
            <v>宮本　進</v>
          </cell>
          <cell r="H1384">
            <v>90</v>
          </cell>
          <cell r="I1384">
            <v>56</v>
          </cell>
          <cell r="J1384" t="str">
            <v>103</v>
          </cell>
          <cell r="K1384" t="str">
            <v>中央区東日本橋1-7-11</v>
          </cell>
          <cell r="L1384" t="str">
            <v xml:space="preserve"> </v>
          </cell>
          <cell r="M1384" t="str">
            <v>03-5821-2511</v>
          </cell>
          <cell r="N1384" t="str">
            <v>/5821-2515</v>
          </cell>
          <cell r="O1384" t="str">
            <v>電子機器 測定機器</v>
          </cell>
          <cell r="Q1384" t="str">
            <v xml:space="preserve"> </v>
          </cell>
          <cell r="T1384" t="str">
            <v>ｻﾝｷｮｳｲﾝﾀｰﾅｼｮﾅﾙ</v>
          </cell>
          <cell r="V1384" t="str">
            <v>30</v>
          </cell>
        </row>
        <row r="1385">
          <cell r="B1385" t="str">
            <v>9783</v>
          </cell>
          <cell r="C1385" t="str">
            <v>#</v>
          </cell>
          <cell r="D1385" t="str">
            <v>ｲﾝｽﾄﾛﾝ･ｼﾞｬﾊﾟﾝ(株)</v>
          </cell>
          <cell r="F1385" t="str">
            <v>取締役社長</v>
          </cell>
          <cell r="G1385" t="str">
            <v>ｱﾀﾞﾑ･ﾊﾞｯｸｽﾀｰ</v>
          </cell>
          <cell r="H1385">
            <v>120</v>
          </cell>
          <cell r="I1385">
            <v>30</v>
          </cell>
          <cell r="J1385" t="str">
            <v>216</v>
          </cell>
          <cell r="K1385" t="str">
            <v>川崎市宮前区宮前平1-8-9</v>
          </cell>
          <cell r="L1385" t="str">
            <v xml:space="preserve"> </v>
          </cell>
          <cell r="M1385" t="str">
            <v>044-853-8520</v>
          </cell>
          <cell r="N1385" t="str">
            <v>/</v>
          </cell>
          <cell r="O1385" t="str">
            <v>材料引張試験機</v>
          </cell>
          <cell r="Q1385" t="str">
            <v xml:space="preserve"> </v>
          </cell>
          <cell r="T1385" t="str">
            <v>ｲﾝｽﾄﾛﾝ･ｼﾞｬﾊﾟﾝ</v>
          </cell>
          <cell r="V1385" t="str">
            <v>30</v>
          </cell>
        </row>
        <row r="1386">
          <cell r="B1386" t="str">
            <v>9784</v>
          </cell>
          <cell r="C1386" t="str">
            <v>#</v>
          </cell>
          <cell r="D1386" t="str">
            <v>三協オイルレス工業(株)</v>
          </cell>
          <cell r="F1386" t="str">
            <v>代表取締役</v>
          </cell>
          <cell r="G1386" t="str">
            <v>中村　孟</v>
          </cell>
          <cell r="H1386">
            <v>45</v>
          </cell>
          <cell r="I1386">
            <v>132</v>
          </cell>
          <cell r="J1386" t="str">
            <v>183</v>
          </cell>
          <cell r="K1386" t="str">
            <v>府中市日新町1-1-5</v>
          </cell>
          <cell r="L1386" t="str">
            <v xml:space="preserve"> </v>
          </cell>
          <cell r="M1386" t="str">
            <v>0423-64-1471</v>
          </cell>
          <cell r="N1386" t="str">
            <v>/</v>
          </cell>
          <cell r="O1386" t="str">
            <v>ｵｲﾙﾚｽﾌﾟﾚｰﾄ</v>
          </cell>
          <cell r="Q1386" t="str">
            <v xml:space="preserve"> </v>
          </cell>
          <cell r="R1386" t="str">
            <v>□</v>
          </cell>
          <cell r="T1386" t="str">
            <v>ｻﾝｷｮｳｵｲﾙﾚｽｺｳｷﾞｮｳ</v>
          </cell>
          <cell r="V1386" t="str">
            <v>30</v>
          </cell>
        </row>
        <row r="1387">
          <cell r="B1387" t="str">
            <v>9785</v>
          </cell>
          <cell r="C1387" t="str">
            <v>#</v>
          </cell>
          <cell r="D1387" t="str">
            <v>(株)明光商会</v>
          </cell>
          <cell r="F1387" t="str">
            <v>代表取締役</v>
          </cell>
          <cell r="G1387" t="str">
            <v>高木　礼二</v>
          </cell>
          <cell r="H1387">
            <v>112</v>
          </cell>
          <cell r="I1387">
            <v>100</v>
          </cell>
          <cell r="J1387" t="str">
            <v>102</v>
          </cell>
          <cell r="K1387" t="str">
            <v>千代田区五番町1-1</v>
          </cell>
          <cell r="L1387" t="str">
            <v xml:space="preserve"> </v>
          </cell>
          <cell r="M1387" t="str">
            <v>03-3262-1611</v>
          </cell>
          <cell r="N1387" t="str">
            <v>/3262-3148</v>
          </cell>
          <cell r="O1387" t="str">
            <v>ｼｭﾚｯﾀﾞｰ</v>
          </cell>
          <cell r="Q1387" t="str">
            <v xml:space="preserve"> </v>
          </cell>
          <cell r="T1387" t="str">
            <v>ﾒｲｺｳｼｮｳｶｲ</v>
          </cell>
          <cell r="V1387" t="str">
            <v>30</v>
          </cell>
        </row>
        <row r="1388">
          <cell r="B1388" t="str">
            <v>9794</v>
          </cell>
          <cell r="C1388" t="str">
            <v>#</v>
          </cell>
          <cell r="D1388" t="str">
            <v>(株)上野鉄工所</v>
          </cell>
          <cell r="F1388" t="str">
            <v>代表取締役社長</v>
          </cell>
          <cell r="G1388" t="str">
            <v>鵜野　俊雄</v>
          </cell>
          <cell r="H1388">
            <v>25</v>
          </cell>
          <cell r="I1388">
            <v>130</v>
          </cell>
          <cell r="J1388" t="str">
            <v>376</v>
          </cell>
          <cell r="K1388" t="str">
            <v>桐生市広沢町5-1311</v>
          </cell>
          <cell r="L1388" t="str">
            <v xml:space="preserve"> </v>
          </cell>
          <cell r="M1388" t="str">
            <v>0277-52-0546</v>
          </cell>
          <cell r="N1388" t="str">
            <v>/</v>
          </cell>
          <cell r="O1388" t="str">
            <v>治具</v>
          </cell>
          <cell r="Q1388" t="str">
            <v xml:space="preserve"> </v>
          </cell>
          <cell r="T1388" t="str">
            <v>ｳｴﾉﾃｯｺｳｼｮ</v>
          </cell>
          <cell r="V1388" t="str">
            <v>30</v>
          </cell>
        </row>
        <row r="1389">
          <cell r="B1389" t="str">
            <v>9795</v>
          </cell>
          <cell r="C1389" t="str">
            <v>#</v>
          </cell>
          <cell r="D1389" t="str">
            <v>ｺｰﾝｽﾞ&amp;ｶﾝﾊﾟﾆｰﾘﾐﾃｯﾄﾞ</v>
          </cell>
          <cell r="F1389" t="str">
            <v>取締役社長</v>
          </cell>
          <cell r="G1389" t="str">
            <v>高原　龍雄</v>
          </cell>
          <cell r="H1389">
            <v>150</v>
          </cell>
          <cell r="I1389">
            <v>390</v>
          </cell>
          <cell r="J1389" t="str">
            <v>103</v>
          </cell>
          <cell r="K1389" t="str">
            <v>中央区日本橋2-3-10</v>
          </cell>
          <cell r="L1389" t="str">
            <v>丸善ビル8F</v>
          </cell>
          <cell r="M1389" t="str">
            <v>03-3272-5771</v>
          </cell>
          <cell r="N1389" t="str">
            <v>/</v>
          </cell>
          <cell r="O1389" t="str">
            <v>ｲﾝﾀｰﾌｪﾚﾝｽ･ｱﾅﾗｲｻﾞｰ</v>
          </cell>
          <cell r="Q1389" t="str">
            <v xml:space="preserve"> </v>
          </cell>
          <cell r="T1389" t="str">
            <v>ｺｰﾝｽﾞ･ｱﾝﾄﾞ･ｶﾝﾊﾟﾆｰﾘﾐﾃｯﾄﾞ</v>
          </cell>
          <cell r="V1389" t="str">
            <v>30</v>
          </cell>
        </row>
        <row r="1390">
          <cell r="B1390" t="str">
            <v>9798</v>
          </cell>
          <cell r="C1390" t="str">
            <v>#</v>
          </cell>
          <cell r="D1390" t="str">
            <v>サカタインクス(株)</v>
          </cell>
          <cell r="F1390" t="str">
            <v>取締役社長</v>
          </cell>
          <cell r="G1390" t="str">
            <v>東野  俊彦</v>
          </cell>
          <cell r="H1390">
            <v>7200</v>
          </cell>
          <cell r="I1390">
            <v>1200</v>
          </cell>
          <cell r="J1390" t="str">
            <v>112</v>
          </cell>
          <cell r="K1390" t="str">
            <v>文京区後楽1-4-25</v>
          </cell>
          <cell r="L1390" t="str">
            <v>日教販ビル</v>
          </cell>
          <cell r="M1390" t="str">
            <v>03-5689-6653</v>
          </cell>
          <cell r="N1390" t="str">
            <v>/5689-6655</v>
          </cell>
          <cell r="O1390" t="str">
            <v>印刷インキ</v>
          </cell>
          <cell r="Q1390" t="str">
            <v xml:space="preserve"> </v>
          </cell>
          <cell r="T1390" t="str">
            <v>ｻｶﾀｲﾝｸｽ</v>
          </cell>
          <cell r="V1390" t="str">
            <v>30</v>
          </cell>
        </row>
        <row r="1391">
          <cell r="B1391" t="str">
            <v>9799</v>
          </cell>
          <cell r="C1391" t="str">
            <v>#</v>
          </cell>
          <cell r="D1391" t="str">
            <v>(株)佐山</v>
          </cell>
          <cell r="F1391" t="str">
            <v>取締役社長</v>
          </cell>
          <cell r="G1391" t="str">
            <v>佐山　謙</v>
          </cell>
          <cell r="H1391">
            <v>15</v>
          </cell>
          <cell r="I1391">
            <v>49</v>
          </cell>
          <cell r="J1391" t="str">
            <v>328</v>
          </cell>
          <cell r="K1391" t="str">
            <v>栃木市倭町11-6</v>
          </cell>
          <cell r="L1391" t="str">
            <v xml:space="preserve"> </v>
          </cell>
          <cell r="M1391" t="str">
            <v>0282-23-1381</v>
          </cell>
          <cell r="N1391" t="str">
            <v>/</v>
          </cell>
          <cell r="O1391" t="str">
            <v>金物雑貨</v>
          </cell>
          <cell r="Q1391" t="str">
            <v xml:space="preserve"> </v>
          </cell>
          <cell r="T1391" t="str">
            <v>ｻﾔﾏ</v>
          </cell>
          <cell r="V1391" t="str">
            <v>15</v>
          </cell>
        </row>
        <row r="1392">
          <cell r="B1392" t="str">
            <v>9800</v>
          </cell>
          <cell r="C1392" t="str">
            <v>#</v>
          </cell>
          <cell r="D1392" t="str">
            <v>陣上工業(株)</v>
          </cell>
          <cell r="F1392" t="str">
            <v>代表取締役社長</v>
          </cell>
          <cell r="G1392" t="str">
            <v>陣上　雅人</v>
          </cell>
          <cell r="H1392">
            <v>40</v>
          </cell>
          <cell r="I1392">
            <v>142</v>
          </cell>
          <cell r="J1392" t="str">
            <v>050</v>
          </cell>
          <cell r="K1392" t="str">
            <v>室蘭市仲町16</v>
          </cell>
          <cell r="L1392" t="str">
            <v xml:space="preserve"> </v>
          </cell>
          <cell r="M1392" t="str">
            <v>0143-45-5121</v>
          </cell>
          <cell r="N1392" t="str">
            <v>/</v>
          </cell>
          <cell r="O1392" t="str">
            <v>運送・建設・清掃業</v>
          </cell>
          <cell r="Q1392" t="str">
            <v xml:space="preserve"> </v>
          </cell>
          <cell r="T1392" t="str">
            <v>ｼﾞﾝｶﾞﾐｺｳｷﾞｮｳ</v>
          </cell>
          <cell r="V1392" t="str">
            <v>30</v>
          </cell>
        </row>
        <row r="1393">
          <cell r="B1393" t="str">
            <v>9801</v>
          </cell>
          <cell r="C1393" t="str">
            <v>#</v>
          </cell>
          <cell r="D1393" t="str">
            <v>新和産業(株)</v>
          </cell>
          <cell r="F1393" t="str">
            <v>代表取締役</v>
          </cell>
          <cell r="G1393" t="str">
            <v>岩倉　博</v>
          </cell>
          <cell r="H1393">
            <v>30</v>
          </cell>
          <cell r="I1393">
            <v>289</v>
          </cell>
          <cell r="J1393" t="str">
            <v>050</v>
          </cell>
          <cell r="K1393" t="str">
            <v>室蘭市輪西町2-28-7</v>
          </cell>
          <cell r="L1393" t="str">
            <v xml:space="preserve"> </v>
          </cell>
          <cell r="M1393" t="str">
            <v>0143-44-2175</v>
          </cell>
          <cell r="N1393" t="str">
            <v>/</v>
          </cell>
          <cell r="O1393" t="str">
            <v>装置関係清掃業</v>
          </cell>
          <cell r="Q1393" t="str">
            <v xml:space="preserve"> </v>
          </cell>
          <cell r="T1393" t="str">
            <v>ｼﾝﾜｻﾝｷﾞｮｳ</v>
          </cell>
          <cell r="V1393" t="str">
            <v>30</v>
          </cell>
        </row>
        <row r="1394">
          <cell r="B1394" t="str">
            <v>9802</v>
          </cell>
          <cell r="C1394" t="str">
            <v>#</v>
          </cell>
          <cell r="D1394" t="str">
            <v>トリニティ工業(株)</v>
          </cell>
          <cell r="F1394" t="str">
            <v>取締役社長</v>
          </cell>
          <cell r="G1394" t="str">
            <v>福沢  孝夫</v>
          </cell>
          <cell r="H1394">
            <v>1311</v>
          </cell>
          <cell r="I1394">
            <v>470</v>
          </cell>
          <cell r="J1394" t="str">
            <v>471</v>
          </cell>
          <cell r="K1394" t="str">
            <v>豊田市柿本町1-9</v>
          </cell>
          <cell r="L1394" t="str">
            <v xml:space="preserve"> </v>
          </cell>
          <cell r="M1394" t="str">
            <v>0565-28-1691</v>
          </cell>
          <cell r="N1394" t="str">
            <v>/</v>
          </cell>
          <cell r="O1394" t="str">
            <v>塗装設備他</v>
          </cell>
          <cell r="Q1394" t="str">
            <v xml:space="preserve"> </v>
          </cell>
          <cell r="T1394" t="str">
            <v>ﾄﾘﾆﾃｨｺｳｷﾞｮｳ</v>
          </cell>
          <cell r="V1394" t="str">
            <v>30</v>
          </cell>
        </row>
        <row r="1395">
          <cell r="B1395" t="str">
            <v>9803</v>
          </cell>
          <cell r="C1395" t="str">
            <v>#</v>
          </cell>
          <cell r="D1395" t="str">
            <v>中西金属工業(株)</v>
          </cell>
          <cell r="F1395" t="str">
            <v>取締役社長</v>
          </cell>
          <cell r="G1395" t="str">
            <v>中西　一雄</v>
          </cell>
          <cell r="H1395">
            <v>900</v>
          </cell>
          <cell r="I1395">
            <v>1303</v>
          </cell>
          <cell r="J1395" t="str">
            <v>530</v>
          </cell>
          <cell r="K1395" t="str">
            <v>大阪市北区天満橋3-3-5</v>
          </cell>
          <cell r="L1395" t="str">
            <v xml:space="preserve"> </v>
          </cell>
          <cell r="M1395" t="str">
            <v xml:space="preserve">06-351-4832 </v>
          </cell>
          <cell r="N1395" t="str">
            <v>/</v>
          </cell>
          <cell r="O1395" t="str">
            <v>ｺﾝﾍﾞｱ設備</v>
          </cell>
          <cell r="Q1395" t="str">
            <v xml:space="preserve"> </v>
          </cell>
          <cell r="T1395" t="str">
            <v>ﾅｶﾆｼｷﾝｿﾞｸｺｳｷﾞｮｳ</v>
          </cell>
          <cell r="V1395" t="str">
            <v>30</v>
          </cell>
        </row>
        <row r="1396">
          <cell r="B1396" t="str">
            <v>9804</v>
          </cell>
          <cell r="C1396" t="str">
            <v>#</v>
          </cell>
          <cell r="D1396" t="str">
            <v>日本物流機器(株)</v>
          </cell>
          <cell r="F1396" t="str">
            <v>代表取締役</v>
          </cell>
          <cell r="G1396" t="str">
            <v>吉田　鴻</v>
          </cell>
          <cell r="H1396">
            <v>30</v>
          </cell>
          <cell r="I1396">
            <v>10</v>
          </cell>
          <cell r="J1396" t="str">
            <v>231</v>
          </cell>
          <cell r="K1396" t="str">
            <v>横浜市中区常盤町3-25</v>
          </cell>
          <cell r="L1396" t="str">
            <v>サンビル</v>
          </cell>
          <cell r="M1396" t="str">
            <v>045-662-0251</v>
          </cell>
          <cell r="N1396" t="str">
            <v>/651-1180</v>
          </cell>
          <cell r="O1396" t="str">
            <v>パレット,コンベアー,棚</v>
          </cell>
          <cell r="P1396" t="str">
            <v>▽</v>
          </cell>
          <cell r="Q1396" t="str">
            <v xml:space="preserve"> </v>
          </cell>
          <cell r="T1396" t="str">
            <v>ﾆﾎﾝﾌﾞﾂﾘｭｳｷｷ</v>
          </cell>
          <cell r="V1396" t="str">
            <v>30</v>
          </cell>
        </row>
        <row r="1397">
          <cell r="B1397" t="str">
            <v>9806</v>
          </cell>
          <cell r="C1397" t="str">
            <v>#</v>
          </cell>
          <cell r="D1397" t="str">
            <v>(株)丸進</v>
          </cell>
          <cell r="F1397" t="str">
            <v>代表取締役</v>
          </cell>
          <cell r="G1397" t="str">
            <v>安原　文彦</v>
          </cell>
          <cell r="H1397">
            <v>50</v>
          </cell>
          <cell r="I1397">
            <v>78</v>
          </cell>
          <cell r="J1397" t="str">
            <v>105</v>
          </cell>
          <cell r="K1397" t="str">
            <v>港区浜松町1-22-1</v>
          </cell>
          <cell r="L1397" t="str">
            <v>ヨシミビル</v>
          </cell>
          <cell r="M1397" t="str">
            <v>03-3434-4931</v>
          </cell>
          <cell r="N1397" t="str">
            <v>/3433-7744</v>
          </cell>
          <cell r="O1397" t="str">
            <v>車体組立治具</v>
          </cell>
          <cell r="Q1397" t="str">
            <v xml:space="preserve"> </v>
          </cell>
          <cell r="R1397" t="str">
            <v>□</v>
          </cell>
          <cell r="T1397" t="str">
            <v>ﾏﾙｼﾝ</v>
          </cell>
          <cell r="V1397" t="str">
            <v>30</v>
          </cell>
        </row>
        <row r="1398">
          <cell r="B1398" t="str">
            <v>9807</v>
          </cell>
          <cell r="C1398" t="str">
            <v>#</v>
          </cell>
          <cell r="D1398" t="str">
            <v>(株)新和</v>
          </cell>
          <cell r="F1398" t="str">
            <v>取締役社長</v>
          </cell>
          <cell r="G1398" t="str">
            <v>山本  恒雄</v>
          </cell>
          <cell r="H1398">
            <v>10</v>
          </cell>
          <cell r="I1398">
            <v>33</v>
          </cell>
          <cell r="J1398" t="str">
            <v>143</v>
          </cell>
          <cell r="K1398" t="str">
            <v>大田区大森北1-33-4</v>
          </cell>
          <cell r="L1398" t="str">
            <v>広芸ビル4･5階</v>
          </cell>
          <cell r="M1398" t="str">
            <v>03-3762-7578</v>
          </cell>
          <cell r="N1398" t="str">
            <v>/3761-5887</v>
          </cell>
          <cell r="O1398" t="str">
            <v>機器類修理,営繕</v>
          </cell>
          <cell r="Q1398" t="str">
            <v xml:space="preserve"> </v>
          </cell>
          <cell r="R1398" t="str">
            <v>□</v>
          </cell>
          <cell r="T1398" t="str">
            <v>ｼﾝﾜ</v>
          </cell>
          <cell r="V1398" t="str">
            <v>30</v>
          </cell>
        </row>
        <row r="1399">
          <cell r="B1399" t="str">
            <v>9808</v>
          </cell>
          <cell r="C1399" t="str">
            <v>#</v>
          </cell>
          <cell r="D1399" t="str">
            <v>(株)ヒロテック</v>
          </cell>
          <cell r="F1399" t="str">
            <v>代表取締役社長</v>
          </cell>
          <cell r="G1399" t="str">
            <v>鵜野　俊雄</v>
          </cell>
          <cell r="H1399">
            <v>280</v>
          </cell>
          <cell r="I1399">
            <v>907</v>
          </cell>
          <cell r="J1399" t="str">
            <v>735</v>
          </cell>
          <cell r="K1399" t="str">
            <v>広島市東区温品1-3-1</v>
          </cell>
          <cell r="L1399" t="str">
            <v xml:space="preserve"> </v>
          </cell>
          <cell r="M1399" t="str">
            <v>082-289-1234</v>
          </cell>
          <cell r="N1399" t="str">
            <v>/</v>
          </cell>
          <cell r="O1399" t="str">
            <v>治具,金型</v>
          </cell>
          <cell r="Q1399" t="str">
            <v xml:space="preserve"> </v>
          </cell>
          <cell r="T1399" t="str">
            <v>ﾋﾛﾃｯｸ</v>
          </cell>
          <cell r="V1399" t="str">
            <v>30</v>
          </cell>
        </row>
        <row r="1400">
          <cell r="B1400" t="str">
            <v>9811</v>
          </cell>
          <cell r="C1400" t="str">
            <v>#</v>
          </cell>
          <cell r="D1400" t="str">
            <v>日研総業(株)</v>
          </cell>
          <cell r="F1400" t="str">
            <v>代表取締役</v>
          </cell>
          <cell r="G1400" t="str">
            <v>清水　好雄</v>
          </cell>
          <cell r="H1400">
            <v>3600</v>
          </cell>
          <cell r="I1400">
            <v>5938</v>
          </cell>
          <cell r="J1400" t="str">
            <v>144</v>
          </cell>
          <cell r="K1400" t="str">
            <v>大田区蒲田5-16-9</v>
          </cell>
          <cell r="L1400" t="str">
            <v>第一カワタビル4F</v>
          </cell>
          <cell r="M1400" t="str">
            <v>03-3736-1411</v>
          </cell>
          <cell r="N1400" t="str">
            <v>/</v>
          </cell>
          <cell r="O1400" t="str">
            <v>業務請負</v>
          </cell>
          <cell r="Q1400" t="str">
            <v xml:space="preserve"> </v>
          </cell>
          <cell r="T1400" t="str">
            <v>ﾆｯｹﾝｿｳｷﾞｮｳ</v>
          </cell>
          <cell r="V1400" t="str">
            <v>15</v>
          </cell>
        </row>
        <row r="1401">
          <cell r="B1401" t="str">
            <v>9811</v>
          </cell>
          <cell r="C1401" t="str">
            <v>A</v>
          </cell>
          <cell r="D1401" t="str">
            <v>日研総業(株)</v>
          </cell>
          <cell r="E1401" t="str">
            <v>厚木事業所</v>
          </cell>
          <cell r="F1401" t="str">
            <v>課長</v>
          </cell>
          <cell r="G1401" t="str">
            <v>岡元　英美</v>
          </cell>
          <cell r="J1401" t="str">
            <v>243</v>
          </cell>
          <cell r="K1401" t="str">
            <v>厚木市中町2-12-2</v>
          </cell>
          <cell r="L1401" t="str">
            <v>ラッキービル3F</v>
          </cell>
          <cell r="M1401" t="str">
            <v>0462-22-5411</v>
          </cell>
          <cell r="N1401" t="str">
            <v>/</v>
          </cell>
          <cell r="O1401" t="str">
            <v>業務請負</v>
          </cell>
          <cell r="Q1401" t="str">
            <v xml:space="preserve"> </v>
          </cell>
          <cell r="T1401" t="str">
            <v>ﾆｯｹﾝｿｳｷﾞｮｳ</v>
          </cell>
          <cell r="V1401" t="str">
            <v>15</v>
          </cell>
        </row>
        <row r="1402">
          <cell r="B1402" t="str">
            <v>9812</v>
          </cell>
          <cell r="C1402" t="str">
            <v>#</v>
          </cell>
          <cell r="D1402" t="str">
            <v>(株)リライアンス</v>
          </cell>
          <cell r="F1402" t="str">
            <v>代表取締役</v>
          </cell>
          <cell r="G1402" t="str">
            <v>高橋　一</v>
          </cell>
          <cell r="H1402">
            <v>10</v>
          </cell>
          <cell r="I1402">
            <v>888</v>
          </cell>
          <cell r="J1402" t="str">
            <v>220</v>
          </cell>
          <cell r="K1402" t="str">
            <v>横浜市西区北幸1-11-15</v>
          </cell>
          <cell r="L1402" t="str">
            <v>横浜ＳＴビ11F</v>
          </cell>
          <cell r="M1402" t="str">
            <v>045-313-6828</v>
          </cell>
          <cell r="N1402" t="str">
            <v>/</v>
          </cell>
          <cell r="O1402" t="str">
            <v>業務請負</v>
          </cell>
          <cell r="Q1402" t="str">
            <v xml:space="preserve"> </v>
          </cell>
          <cell r="T1402" t="str">
            <v>ﾘﾗｲｱﾝｽ</v>
          </cell>
          <cell r="V1402" t="str">
            <v>15</v>
          </cell>
        </row>
        <row r="1403">
          <cell r="B1403" t="str">
            <v>9817</v>
          </cell>
          <cell r="C1403" t="str">
            <v>#</v>
          </cell>
          <cell r="D1403" t="str">
            <v>(株)三光</v>
          </cell>
          <cell r="F1403" t="str">
            <v>代表取締役</v>
          </cell>
          <cell r="G1403" t="str">
            <v>三沢  幹夫</v>
          </cell>
          <cell r="H1403">
            <v>10</v>
          </cell>
          <cell r="I1403">
            <v>31</v>
          </cell>
          <cell r="J1403" t="str">
            <v>242</v>
          </cell>
          <cell r="K1403" t="str">
            <v>大和市西鶴間3-12-23</v>
          </cell>
          <cell r="L1403" t="str">
            <v>ﾏﾅｰﾋﾞﾙ</v>
          </cell>
          <cell r="M1403" t="str">
            <v>0462-62-9938</v>
          </cell>
          <cell r="N1403" t="str">
            <v>/</v>
          </cell>
          <cell r="O1403" t="str">
            <v>KD梱包作業</v>
          </cell>
          <cell r="P1403" t="str">
            <v>▽</v>
          </cell>
          <cell r="Q1403" t="str">
            <v xml:space="preserve"> </v>
          </cell>
          <cell r="T1403" t="str">
            <v>ｻﾝｺｳ</v>
          </cell>
          <cell r="V1403" t="str">
            <v>15</v>
          </cell>
        </row>
        <row r="1404">
          <cell r="B1404" t="str">
            <v>9835</v>
          </cell>
          <cell r="C1404" t="str">
            <v>#</v>
          </cell>
          <cell r="D1404" t="str">
            <v>TRI PETCH ISUZU SALES CO.LTD</v>
          </cell>
          <cell r="E1404" t="str">
            <v>TCH ISUZU SALES CO.LTD</v>
          </cell>
          <cell r="F1404" t="str">
            <v>取締役社長</v>
          </cell>
          <cell r="G1404" t="str">
            <v>川口　正美</v>
          </cell>
          <cell r="H1404">
            <v>20</v>
          </cell>
          <cell r="I1404">
            <v>440</v>
          </cell>
          <cell r="K1404" t="str">
            <v>1705 PHAHOLYUTHIN ROAD,LADYAO,BANGKHEN,BANGKOK</v>
          </cell>
          <cell r="L1404" t="str">
            <v xml:space="preserve"> </v>
          </cell>
          <cell r="M1404" t="str">
            <v xml:space="preserve">513-0101    </v>
          </cell>
          <cell r="N1404" t="str">
            <v>/</v>
          </cell>
          <cell r="O1404" t="str">
            <v>金型</v>
          </cell>
          <cell r="Q1404" t="str">
            <v xml:space="preserve"> </v>
          </cell>
          <cell r="T1404" t="str">
            <v>ﾃｨｰｱｰﾙｱｲ</v>
          </cell>
          <cell r="V1404" t="str">
            <v>30</v>
          </cell>
        </row>
        <row r="1405">
          <cell r="B1405" t="str">
            <v>9835</v>
          </cell>
          <cell r="C1405" t="str">
            <v>##</v>
          </cell>
          <cell r="D1405" t="str">
            <v>TRI PETCH ISUZU SALES CO.LTD</v>
          </cell>
          <cell r="E1405" t="str">
            <v>CO.LTD</v>
          </cell>
          <cell r="K1405" t="str">
            <v xml:space="preserve"> </v>
          </cell>
          <cell r="L1405" t="str">
            <v xml:space="preserve"> </v>
          </cell>
          <cell r="N1405" t="str">
            <v>/</v>
          </cell>
          <cell r="Q1405" t="str">
            <v xml:space="preserve"> </v>
          </cell>
          <cell r="T1405" t="str">
            <v>ﾃｨｰｱｰﾙｱｲ</v>
          </cell>
          <cell r="V1405" t="str">
            <v>30</v>
          </cell>
        </row>
        <row r="1406">
          <cell r="B1406" t="str">
            <v>9902</v>
          </cell>
          <cell r="C1406" t="str">
            <v>#</v>
          </cell>
          <cell r="D1406" t="str">
            <v>トピー実業(株)</v>
          </cell>
          <cell r="F1406" t="str">
            <v>代表取締役社長</v>
          </cell>
          <cell r="G1406" t="str">
            <v>福嶋  七郎</v>
          </cell>
          <cell r="H1406">
            <v>480</v>
          </cell>
          <cell r="I1406">
            <v>350</v>
          </cell>
          <cell r="J1406" t="str">
            <v>102</v>
          </cell>
          <cell r="K1406" t="str">
            <v>千代田区四番町5-9</v>
          </cell>
          <cell r="L1406" t="str">
            <v>東亜ビル4F</v>
          </cell>
          <cell r="M1406" t="str">
            <v>03-3230-6490</v>
          </cell>
          <cell r="N1406" t="str">
            <v>/3230-6439</v>
          </cell>
          <cell r="O1406" t="str">
            <v>ディスクホイール</v>
          </cell>
          <cell r="Q1406" t="str">
            <v xml:space="preserve"> </v>
          </cell>
          <cell r="R1406" t="str">
            <v>□</v>
          </cell>
          <cell r="T1406" t="str">
            <v>ﾄﾋﾟｰｼﾞﾂｷﾞｮｳ</v>
          </cell>
          <cell r="V1406" t="str">
            <v>64</v>
          </cell>
        </row>
        <row r="1407">
          <cell r="B1407" t="str">
            <v>9908</v>
          </cell>
          <cell r="C1407" t="str">
            <v>#</v>
          </cell>
          <cell r="D1407" t="str">
            <v>新明和ｵｰﾄｴﾝｼﾞﾆｱﾘﾝｸﾞ(株)</v>
          </cell>
          <cell r="F1407" t="str">
            <v>取締役社長</v>
          </cell>
          <cell r="G1407" t="str">
            <v>北尾  眞一</v>
          </cell>
          <cell r="H1407">
            <v>300</v>
          </cell>
          <cell r="I1407">
            <v>374</v>
          </cell>
          <cell r="J1407" t="str">
            <v>230</v>
          </cell>
          <cell r="K1407" t="str">
            <v>横浜市鶴見区尻手3-2-43</v>
          </cell>
          <cell r="L1407" t="str">
            <v xml:space="preserve"> </v>
          </cell>
          <cell r="M1407" t="str">
            <v>045-582-1521</v>
          </cell>
          <cell r="N1407" t="str">
            <v>/582-6945</v>
          </cell>
          <cell r="O1407" t="str">
            <v>車体架装</v>
          </cell>
          <cell r="Q1407" t="str">
            <v xml:space="preserve"> </v>
          </cell>
          <cell r="R1407" t="str">
            <v>□</v>
          </cell>
          <cell r="T1407" t="str">
            <v>ｼﾝﾒｲﾜｵｰﾄｴﾝｼﾞﾆｱﾘﾝｸﾞ</v>
          </cell>
          <cell r="V1407" t="str">
            <v>64</v>
          </cell>
        </row>
        <row r="1408">
          <cell r="B1408" t="str">
            <v>9909</v>
          </cell>
          <cell r="C1408" t="str">
            <v>#</v>
          </cell>
          <cell r="D1408" t="str">
            <v xml:space="preserve">(株)久永洋行  </v>
          </cell>
          <cell r="F1408" t="str">
            <v>代表取締役社長</v>
          </cell>
          <cell r="G1408" t="str">
            <v>宇田川  博司</v>
          </cell>
          <cell r="H1408">
            <v>40</v>
          </cell>
          <cell r="I1408">
            <v>78</v>
          </cell>
          <cell r="J1408">
            <v>211</v>
          </cell>
          <cell r="K1408" t="str">
            <v>川崎市幸区南加瀬4-11-29</v>
          </cell>
          <cell r="L1408" t="str">
            <v xml:space="preserve"> </v>
          </cell>
          <cell r="M1408" t="str">
            <v>044-588-4121</v>
          </cell>
          <cell r="N1408" t="str">
            <v>/588-4887</v>
          </cell>
          <cell r="O1408" t="str">
            <v>タイヤチェーン　</v>
          </cell>
          <cell r="Q1408" t="str">
            <v xml:space="preserve"> </v>
          </cell>
          <cell r="R1408" t="str">
            <v>□</v>
          </cell>
          <cell r="T1408" t="str">
            <v>ｷｭｳｴｲﾖｳｺｳ</v>
          </cell>
          <cell r="V1408" t="str">
            <v>64</v>
          </cell>
        </row>
        <row r="1409">
          <cell r="B1409" t="str">
            <v>9911</v>
          </cell>
          <cell r="C1409" t="str">
            <v>#</v>
          </cell>
          <cell r="D1409" t="str">
            <v>(株)日立ｵｰﾄｼｽﾃﾑｽﾞ</v>
          </cell>
          <cell r="F1409" t="str">
            <v>取締役社長</v>
          </cell>
          <cell r="G1409" t="str">
            <v>大竹　三郎</v>
          </cell>
          <cell r="H1409">
            <v>200</v>
          </cell>
          <cell r="I1409">
            <v>443</v>
          </cell>
          <cell r="J1409" t="str">
            <v>108</v>
          </cell>
          <cell r="K1409" t="str">
            <v>港区港南4-6-50</v>
          </cell>
          <cell r="L1409" t="str">
            <v/>
          </cell>
          <cell r="M1409" t="str">
            <v>03-3474-5351</v>
          </cell>
          <cell r="N1409" t="str">
            <v>/3474-1373</v>
          </cell>
          <cell r="O1409" t="str">
            <v>電装品</v>
          </cell>
          <cell r="Q1409" t="str">
            <v xml:space="preserve"> </v>
          </cell>
          <cell r="R1409" t="str">
            <v>□</v>
          </cell>
          <cell r="T1409" t="str">
            <v>ﾋﾀﾁｵｰﾄｼｽﾃﾑｽﾞ</v>
          </cell>
          <cell r="V1409" t="str">
            <v>64</v>
          </cell>
        </row>
        <row r="1410">
          <cell r="B1410" t="str">
            <v>9928</v>
          </cell>
          <cell r="C1410" t="str">
            <v>#</v>
          </cell>
          <cell r="D1410" t="str">
            <v>クシロブレーキ(株)</v>
          </cell>
          <cell r="F1410" t="str">
            <v>取締役社長</v>
          </cell>
          <cell r="G1410" t="str">
            <v>早津　功</v>
          </cell>
          <cell r="H1410">
            <v>200</v>
          </cell>
          <cell r="I1410">
            <v>191</v>
          </cell>
          <cell r="J1410" t="str">
            <v>105</v>
          </cell>
          <cell r="K1410" t="str">
            <v>港区虎ノ門2-8-5</v>
          </cell>
          <cell r="L1410" t="str">
            <v xml:space="preserve"> </v>
          </cell>
          <cell r="M1410" t="str">
            <v>03-3502-3073</v>
          </cell>
          <cell r="N1410" t="str">
            <v>/3502-3066</v>
          </cell>
          <cell r="O1410" t="str">
            <v>ブレーキライニング</v>
          </cell>
          <cell r="P1410" t="str">
            <v xml:space="preserve"> </v>
          </cell>
          <cell r="Q1410" t="str">
            <v xml:space="preserve"> </v>
          </cell>
          <cell r="R1410" t="str">
            <v>□</v>
          </cell>
          <cell r="S1410" t="str">
            <v>☆</v>
          </cell>
          <cell r="T1410" t="str">
            <v>ｸｼﾛﾌﾞﾚｰｷ KK</v>
          </cell>
          <cell r="V1410" t="str">
            <v>54</v>
          </cell>
        </row>
        <row r="1411">
          <cell r="B1411" t="str">
            <v>9932</v>
          </cell>
          <cell r="C1411" t="str">
            <v>#</v>
          </cell>
          <cell r="D1411" t="str">
            <v>三和建鉄(株)</v>
          </cell>
          <cell r="F1411" t="str">
            <v>代表取締役専務</v>
          </cell>
          <cell r="G1411" t="str">
            <v>大山  敏雄</v>
          </cell>
          <cell r="H1411">
            <v>94</v>
          </cell>
          <cell r="I1411">
            <v>50</v>
          </cell>
          <cell r="J1411" t="str">
            <v>242</v>
          </cell>
          <cell r="K1411" t="str">
            <v>大和市深見西4-10-14</v>
          </cell>
          <cell r="L1411" t="str">
            <v xml:space="preserve"> </v>
          </cell>
          <cell r="M1411" t="str">
            <v>0462-61-2410</v>
          </cell>
          <cell r="N1411" t="str">
            <v>/61-4097</v>
          </cell>
          <cell r="O1411" t="str">
            <v>パレット</v>
          </cell>
          <cell r="Q1411" t="str">
            <v>◎</v>
          </cell>
          <cell r="R1411" t="str">
            <v>□</v>
          </cell>
          <cell r="T1411" t="str">
            <v>ｻﾝﾜｹﾝﾃﾂ</v>
          </cell>
          <cell r="V1411" t="str">
            <v>30</v>
          </cell>
        </row>
        <row r="1412">
          <cell r="B1412" t="str">
            <v>9933</v>
          </cell>
          <cell r="C1412" t="str">
            <v>#</v>
          </cell>
          <cell r="D1412" t="str">
            <v>日発販売(株)</v>
          </cell>
          <cell r="F1412" t="str">
            <v>代表取締役社長</v>
          </cell>
          <cell r="G1412" t="str">
            <v>清野  栄一</v>
          </cell>
          <cell r="H1412">
            <v>1768</v>
          </cell>
          <cell r="I1412">
            <v>500</v>
          </cell>
          <cell r="J1412" t="str">
            <v>135</v>
          </cell>
          <cell r="K1412" t="str">
            <v>江東区枝川2-13-1</v>
          </cell>
          <cell r="L1412" t="str">
            <v xml:space="preserve"> </v>
          </cell>
          <cell r="M1412" t="str">
            <v>03-5690-3011</v>
          </cell>
          <cell r="N1412" t="str">
            <v>/5690-3027</v>
          </cell>
          <cell r="O1412" t="str">
            <v>ｽﾌﾟﾘﾝｸﾞ､ﾀｲﾔﾁｪｰﾝ</v>
          </cell>
          <cell r="Q1412" t="str">
            <v xml:space="preserve"> </v>
          </cell>
          <cell r="R1412" t="str">
            <v>□</v>
          </cell>
          <cell r="S1412" t="str">
            <v>☆</v>
          </cell>
          <cell r="T1412" t="str">
            <v>ﾆｯﾊﾟﾂﾊﾝﾊﾞｲ</v>
          </cell>
          <cell r="V1412" t="str">
            <v>64</v>
          </cell>
        </row>
        <row r="1413">
          <cell r="B1413" t="str">
            <v>9936</v>
          </cell>
          <cell r="C1413" t="str">
            <v>#</v>
          </cell>
          <cell r="D1413" t="str">
            <v>豊和工業(株)</v>
          </cell>
          <cell r="F1413" t="str">
            <v>代表取締役</v>
          </cell>
          <cell r="G1413" t="str">
            <v>野崎  東太郎</v>
          </cell>
          <cell r="H1413">
            <v>5799</v>
          </cell>
          <cell r="I1413">
            <v>2431</v>
          </cell>
          <cell r="J1413" t="str">
            <v>452</v>
          </cell>
          <cell r="K1413" t="str">
            <v>名古屋市外新川町須ヶ口</v>
          </cell>
          <cell r="L1413" t="str">
            <v xml:space="preserve"> </v>
          </cell>
          <cell r="M1413" t="str">
            <v>052-502-1111</v>
          </cell>
          <cell r="N1413" t="str">
            <v>/</v>
          </cell>
          <cell r="O1413" t="str">
            <v>ｷﾞﾔ類､ﾄﾗﾆｵﾝｼｬﾌﾄ</v>
          </cell>
          <cell r="Q1413" t="str">
            <v xml:space="preserve"> </v>
          </cell>
          <cell r="T1413" t="str">
            <v>ﾎｳﾜｺｳｷﾞｮｳ</v>
          </cell>
          <cell r="V1413" t="str">
            <v>64</v>
          </cell>
        </row>
        <row r="1414">
          <cell r="B1414" t="str">
            <v>9936</v>
          </cell>
          <cell r="C1414" t="str">
            <v>A</v>
          </cell>
          <cell r="D1414" t="str">
            <v>豊和工業(株)</v>
          </cell>
          <cell r="E1414" t="str">
            <v>東京営業所</v>
          </cell>
          <cell r="J1414" t="str">
            <v>105</v>
          </cell>
          <cell r="K1414" t="str">
            <v>港区東新橋1-2-15</v>
          </cell>
          <cell r="L1414" t="str">
            <v xml:space="preserve"> </v>
          </cell>
          <cell r="M1414" t="str">
            <v>03-3573-3621</v>
          </cell>
          <cell r="N1414" t="str">
            <v>/</v>
          </cell>
          <cell r="O1414" t="str">
            <v>ｷﾞﾔ類､ﾄﾗﾆｵﾝｼｬﾌﾄ</v>
          </cell>
          <cell r="Q1414" t="str">
            <v xml:space="preserve"> </v>
          </cell>
          <cell r="T1414" t="str">
            <v>ﾎｳﾜｺｳｷﾞｮｳ</v>
          </cell>
          <cell r="V1414" t="str">
            <v>64</v>
          </cell>
        </row>
        <row r="1415">
          <cell r="B1415" t="str">
            <v>9939</v>
          </cell>
          <cell r="C1415" t="str">
            <v>#</v>
          </cell>
          <cell r="D1415" t="str">
            <v>(株)日本礦油</v>
          </cell>
          <cell r="F1415" t="str">
            <v>取締役社長</v>
          </cell>
          <cell r="G1415" t="str">
            <v>古田　佳治</v>
          </cell>
          <cell r="H1415">
            <v>50</v>
          </cell>
          <cell r="I1415">
            <v>122</v>
          </cell>
          <cell r="J1415" t="str">
            <v>144</v>
          </cell>
          <cell r="K1415" t="str">
            <v>大田区西六郷3-22-5</v>
          </cell>
          <cell r="L1415" t="str">
            <v xml:space="preserve"> </v>
          </cell>
          <cell r="M1415" t="str">
            <v>03-3736-2401</v>
          </cell>
          <cell r="N1415" t="str">
            <v>/</v>
          </cell>
          <cell r="O1415" t="str">
            <v>ｷﾞﾔｵｲﾙ･ｸﾞﾘ-ｽ</v>
          </cell>
          <cell r="Q1415" t="str">
            <v xml:space="preserve"> </v>
          </cell>
          <cell r="T1415" t="str">
            <v>ﾆﾎﾝｺｳﾕ</v>
          </cell>
          <cell r="V1415" t="str">
            <v>64</v>
          </cell>
        </row>
        <row r="1416">
          <cell r="B1416" t="str">
            <v>9949</v>
          </cell>
          <cell r="C1416" t="str">
            <v>#</v>
          </cell>
          <cell r="D1416" t="str">
            <v>東奥いすゞﾓｰﾀｰ(株)</v>
          </cell>
          <cell r="F1416" t="str">
            <v>取締役社長</v>
          </cell>
          <cell r="G1416" t="str">
            <v>斉藤  守弘</v>
          </cell>
          <cell r="H1416">
            <v>80</v>
          </cell>
          <cell r="I1416">
            <v>165</v>
          </cell>
          <cell r="J1416" t="str">
            <v>030</v>
          </cell>
          <cell r="K1416" t="str">
            <v>青森市港町2-11-21</v>
          </cell>
          <cell r="L1416" t="str">
            <v xml:space="preserve"> </v>
          </cell>
          <cell r="M1416" t="str">
            <v>0177-42-4111</v>
          </cell>
          <cell r="N1416" t="str">
            <v>/</v>
          </cell>
          <cell r="O1416" t="str">
            <v>再生トランスミッション</v>
          </cell>
          <cell r="Q1416" t="str">
            <v xml:space="preserve"> </v>
          </cell>
          <cell r="T1416" t="str">
            <v>ﾄｳｵｳｲｽｽﾞﾓｰﾀｰ</v>
          </cell>
          <cell r="V1416" t="str">
            <v>64</v>
          </cell>
        </row>
        <row r="1417">
          <cell r="B1417" t="str">
            <v>9991</v>
          </cell>
          <cell r="C1417" t="str">
            <v>#</v>
          </cell>
          <cell r="D1417" t="str">
            <v>(株)ｱｲ･ｼｰ･ｴﾙ ｱｿｼｴ</v>
          </cell>
        </row>
      </sheetData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  <sheetName val="chetak2s"/>
      <sheetName val="Sheet4"/>
      <sheetName val="Sheet5"/>
      <sheetName val="CHETAK4S"/>
      <sheetName val="chetak4s (new)"/>
      <sheetName val="PWR-AKD"/>
      <sheetName val="PWR_AKD"/>
      <sheetName val="ghorpade "/>
    </sheetNames>
    <sheetDataSet>
      <sheetData sheetId="0" refreshError="1">
        <row r="2">
          <cell r="A2" t="str">
            <v>STAGE NO</v>
          </cell>
          <cell r="B2" t="str">
            <v>STAGE DESCRIPTION (RNT)</v>
          </cell>
          <cell r="C2">
            <v>0.2</v>
          </cell>
          <cell r="D2">
            <v>0.4</v>
          </cell>
          <cell r="E2">
            <v>0.6</v>
          </cell>
          <cell r="F2">
            <v>0.8</v>
          </cell>
          <cell r="G2">
            <v>1</v>
          </cell>
          <cell r="H2">
            <v>1.2</v>
          </cell>
          <cell r="I2">
            <v>1.4</v>
          </cell>
          <cell r="J2" t="str">
            <v>ELE. No</v>
          </cell>
          <cell r="K2" t="str">
            <v>ELEMENT</v>
          </cell>
          <cell r="L2" t="str">
            <v>IMPROVEMENTS PROPOSED</v>
          </cell>
          <cell r="M2" t="str">
            <v>RNT</v>
          </cell>
          <cell r="N2" t="str">
            <v>OLD RNT</v>
          </cell>
          <cell r="O2" t="str">
            <v>RNT AFTER IMPROVEMENTS</v>
          </cell>
        </row>
        <row r="3">
          <cell r="A3">
            <v>1</v>
          </cell>
          <cell r="B3" t="str">
            <v>NUMBER PUNCHING.</v>
          </cell>
          <cell r="J3">
            <v>1</v>
          </cell>
          <cell r="K3" t="str">
            <v>OBSERVE MATCHING OF C'CASE</v>
          </cell>
          <cell r="L3" t="str">
            <v>DOUBLE ELEMENT</v>
          </cell>
          <cell r="M3">
            <v>3.27E-2</v>
          </cell>
        </row>
        <row r="4">
          <cell r="J4">
            <v>2</v>
          </cell>
          <cell r="K4" t="str">
            <v>OBSERVE C'CASE SURFACE FOR TOOL MARK</v>
          </cell>
          <cell r="L4" t="str">
            <v>ELEMENT DELETED AT ENGINE ASSLY. CHECKING TO BE DONE AT FEDERS SHOP(i,e C'CASE DEPT)</v>
          </cell>
          <cell r="M4">
            <v>0.05</v>
          </cell>
        </row>
        <row r="5">
          <cell r="J5">
            <v>4</v>
          </cell>
          <cell r="K5" t="str">
            <v>CHECK CARB. STUD BEND BY GAUGE</v>
          </cell>
          <cell r="M5">
            <v>0.05</v>
          </cell>
        </row>
        <row r="6">
          <cell r="J6">
            <v>7</v>
          </cell>
          <cell r="K6" t="str">
            <v>CLEAN No. PUNCHING INSERTS AS &amp; WHEN REQUIRED</v>
          </cell>
          <cell r="M6">
            <v>5.0000000000000001E-3</v>
          </cell>
        </row>
        <row r="7">
          <cell r="J7">
            <v>13</v>
          </cell>
          <cell r="K7" t="str">
            <v>PRE-POSITION NUT &amp; BOLT ON R.B. LINK &amp; GIVE TO LINE</v>
          </cell>
          <cell r="L7" t="str">
            <v>CAN BE VENDORIZE</v>
          </cell>
          <cell r="M7">
            <v>0.10879999999999999</v>
          </cell>
        </row>
        <row r="8">
          <cell r="L8" t="str">
            <v>SUB-TOTAL</v>
          </cell>
          <cell r="M8">
            <v>0.2465</v>
          </cell>
          <cell r="N8">
            <v>1.0966</v>
          </cell>
          <cell r="O8">
            <v>0.85010000000000008</v>
          </cell>
        </row>
        <row r="9">
          <cell r="A9">
            <v>2</v>
          </cell>
          <cell r="B9" t="str">
            <v>MAIN SHAFT &amp; C'SHAFT BEARING FITMENT</v>
          </cell>
          <cell r="J9">
            <v>3</v>
          </cell>
          <cell r="K9" t="str">
            <v>MOVEMENT TIME FROM HEATING FIXTURE TO C'SHAFT PRESS &amp; KEEP ON PRESS</v>
          </cell>
          <cell r="L9" t="str">
            <v>HEATING NOT REQUIRED FOR 5-PORT</v>
          </cell>
          <cell r="M9">
            <v>6.3700000000000007E-2</v>
          </cell>
        </row>
        <row r="10">
          <cell r="J10">
            <v>4</v>
          </cell>
          <cell r="K10" t="str">
            <v>LOAD C'CASE ON PRESS &amp; PLACE C'SHAFT CL. SIDE BEARING &amp; TOOL FOR BRG. FITMENT</v>
          </cell>
          <cell r="L10" t="str">
            <v>COMBINED PRESS FOR M'SHAFT &amp; C'SHAFT BEARING</v>
          </cell>
          <cell r="M10">
            <v>0.2</v>
          </cell>
        </row>
        <row r="11">
          <cell r="J11">
            <v>5</v>
          </cell>
          <cell r="K11" t="str">
            <v>PRESS C'SHAFT CLUTCH SIDE BEARING</v>
          </cell>
          <cell r="M11">
            <v>0.12</v>
          </cell>
        </row>
        <row r="12">
          <cell r="J12">
            <v>9</v>
          </cell>
          <cell r="K12" t="str">
            <v>KEEP C'CASE ON OIL SEAL FITTING PRESS</v>
          </cell>
          <cell r="M12">
            <v>0.05</v>
          </cell>
        </row>
        <row r="13">
          <cell r="J13">
            <v>11</v>
          </cell>
          <cell r="K13" t="str">
            <v>UNPACK OIL SEALS 10Nos . AT A TIME</v>
          </cell>
          <cell r="L13" t="str">
            <v>PERSON GIVING BEARING ON LINE WILL DO THE JOB</v>
          </cell>
          <cell r="M13">
            <v>1.01E-2</v>
          </cell>
        </row>
        <row r="14">
          <cell r="L14" t="str">
            <v>SUB-TOTAL</v>
          </cell>
          <cell r="M14">
            <v>0.44380000000000003</v>
          </cell>
          <cell r="N14">
            <v>1.1503000000000001</v>
          </cell>
          <cell r="O14">
            <v>0.70650000000000013</v>
          </cell>
        </row>
        <row r="15">
          <cell r="A15">
            <v>3</v>
          </cell>
          <cell r="B15" t="str">
            <v>R. B. SHAFT FITMENT &amp; C'SHAFT FITMENT</v>
          </cell>
          <cell r="J15">
            <v>1</v>
          </cell>
          <cell r="K15" t="str">
            <v xml:space="preserve">UNPACK CL.SIDE C'SHAFT OIL SEAL </v>
          </cell>
          <cell r="L15" t="str">
            <v>PERSON GIVING BEARING ON LINE WILL DO THE JOB</v>
          </cell>
          <cell r="M15">
            <v>1.01E-2</v>
          </cell>
        </row>
        <row r="16">
          <cell r="J16">
            <v>2</v>
          </cell>
          <cell r="K16" t="str">
            <v>DIP OIL SEAL IN OIL TANK &amp; ARRANGE</v>
          </cell>
          <cell r="M16">
            <v>3.3700000000000001E-2</v>
          </cell>
        </row>
        <row r="17">
          <cell r="J17">
            <v>9</v>
          </cell>
          <cell r="K17" t="str">
            <v>TAKE OUT WEDGE &amp; KEEP ASIDE</v>
          </cell>
          <cell r="L17" t="str">
            <v>FOR C'SHAFT PULLING WEDGE IS NOT REQUIRED</v>
          </cell>
          <cell r="M17">
            <v>1.89E-2</v>
          </cell>
        </row>
        <row r="18">
          <cell r="J18">
            <v>4</v>
          </cell>
          <cell r="K18" t="str">
            <v>COLLECT &amp; POSITION OIL SEAL ON RAMP,OPERATE PRESS .FIT OIL SEAL &amp; RELEASE RAMP</v>
          </cell>
          <cell r="L18" t="str">
            <v>OIL SEAL IS FITTED ON PRIOR STAGE</v>
          </cell>
          <cell r="M18">
            <v>0.11</v>
          </cell>
        </row>
        <row r="19">
          <cell r="L19" t="str">
            <v>SUB-TOTAL</v>
          </cell>
          <cell r="M19">
            <v>0.17270000000000002</v>
          </cell>
          <cell r="N19">
            <v>1.0615000000000001</v>
          </cell>
          <cell r="O19">
            <v>0.88880000000000003</v>
          </cell>
        </row>
        <row r="20">
          <cell r="A20">
            <v>4</v>
          </cell>
          <cell r="B20" t="str">
            <v>KICK SHAFT FITMENT</v>
          </cell>
          <cell r="J20">
            <v>1</v>
          </cell>
          <cell r="K20" t="str">
            <v xml:space="preserve">COLLECT MAGNETO SIDE FROM TABLE &amp; KEEP ON HEATER </v>
          </cell>
          <cell r="L20" t="str">
            <v>HEATING NOT REQUIRED FOR 5-PORT</v>
          </cell>
          <cell r="M20">
            <v>0.03</v>
          </cell>
        </row>
        <row r="21">
          <cell r="L21" t="str">
            <v>SUB-TOTAL</v>
          </cell>
          <cell r="M21">
            <v>0.03</v>
          </cell>
          <cell r="N21">
            <v>0.99060000000000004</v>
          </cell>
          <cell r="O21">
            <v>0.96060000000000001</v>
          </cell>
        </row>
        <row r="22">
          <cell r="A22">
            <v>5</v>
          </cell>
          <cell r="B22" t="str">
            <v>CLUSTER FITMENT,M.G. PIN LOCKING</v>
          </cell>
          <cell r="J22">
            <v>2</v>
          </cell>
          <cell r="K22" t="str">
            <v xml:space="preserve">ENSURE ENGINE NUMBER OF CLUTCH &amp; MAGNETO ARE SAME </v>
          </cell>
          <cell r="L22" t="str">
            <v>ELEMENT IS IN STAGE NO 1</v>
          </cell>
          <cell r="M22">
            <v>3.27E-2</v>
          </cell>
        </row>
        <row r="23">
          <cell r="J23">
            <v>3</v>
          </cell>
          <cell r="K23" t="str">
            <v>COLLECT MAGNETO SIDE FROM TABLE &amp; KEEP IT ON CONVEYOR AS PER CLUTCH SIDE</v>
          </cell>
          <cell r="L23" t="str">
            <v>ELEMENT CANNOT BE PERFORMED BY OPERATOR</v>
          </cell>
          <cell r="M23">
            <v>0.05</v>
          </cell>
        </row>
        <row r="24">
          <cell r="J24">
            <v>9</v>
          </cell>
          <cell r="K24" t="str">
            <v>USE OF CLOTH FOR ROTATING M.G. PIN</v>
          </cell>
          <cell r="L24" t="str">
            <v>HAND GLOVES ARE PROVIDED TO OPERATORS NO EXTRA CLOTH REQUIRED</v>
          </cell>
          <cell r="M24">
            <v>3.1699999999999999E-2</v>
          </cell>
        </row>
        <row r="25">
          <cell r="L25" t="str">
            <v>SUB-TOTAL</v>
          </cell>
          <cell r="M25">
            <v>0.1144</v>
          </cell>
          <cell r="N25">
            <v>0.95650000000000002</v>
          </cell>
          <cell r="O25">
            <v>0.84210000000000007</v>
          </cell>
        </row>
        <row r="26">
          <cell r="A26">
            <v>6</v>
          </cell>
          <cell r="B26" t="str">
            <v>C'CASE GASKET &amp; M'SHAFT FITMENT</v>
          </cell>
          <cell r="J26">
            <v>6</v>
          </cell>
          <cell r="K26" t="str">
            <v>APPLY GREASE ON MAG. SIDE C'SHAFT BEARING INNER SURFACE &amp; C'SHAFT MAGNETO SIDE BEARING SLEEVE BY BRUSH</v>
          </cell>
          <cell r="L26" t="str">
            <v>ELEMENT CANNOT BE PERFORMED BY OPERATOR &amp; SO ELEMENT IS GIVEN ON ANOTHER STAGE</v>
          </cell>
          <cell r="M26">
            <v>0.05</v>
          </cell>
        </row>
        <row r="27">
          <cell r="J27">
            <v>7</v>
          </cell>
          <cell r="K27" t="str">
            <v>MOVEMENT TIME FOR COLLECTING M'SHAFT ,CL.SIDE C'CASE ,MAG. SIDE C'CASE</v>
          </cell>
          <cell r="M27">
            <v>0.3</v>
          </cell>
        </row>
        <row r="28">
          <cell r="L28" t="str">
            <v>SUB-TOTAL</v>
          </cell>
          <cell r="M28">
            <v>0.35</v>
          </cell>
          <cell r="N28">
            <v>1.1577</v>
          </cell>
          <cell r="O28">
            <v>0.80769999999999997</v>
          </cell>
        </row>
        <row r="29">
          <cell r="A29">
            <v>7</v>
          </cell>
          <cell r="B29" t="str">
            <v>CLAMPING</v>
          </cell>
          <cell r="L29" t="str">
            <v>SUB-TOTAL</v>
          </cell>
          <cell r="M29">
            <v>0</v>
          </cell>
          <cell r="N29">
            <v>0.86199999999999999</v>
          </cell>
          <cell r="O29">
            <v>0.86199999999999999</v>
          </cell>
        </row>
        <row r="30">
          <cell r="A30">
            <v>8</v>
          </cell>
          <cell r="B30" t="str">
            <v>UNLOADING &amp; LOADING FROM LINEAR CONVEYOR TO MAIN CONVEYOR RESPECTIVELY</v>
          </cell>
          <cell r="K30" t="str">
            <v>ADDTION OF FOUR CHAMBER NUTS CAN BE DONE &amp; ELEMENT No- 9 &amp; 10 OF STAGE No. - 9 CAN BE DELETED.</v>
          </cell>
        </row>
        <row r="31">
          <cell r="L31" t="str">
            <v>SUB-TOTAL</v>
          </cell>
          <cell r="M31">
            <v>0</v>
          </cell>
          <cell r="N31">
            <v>0.91920000000000002</v>
          </cell>
          <cell r="O31">
            <v>0.91920000000000002</v>
          </cell>
        </row>
        <row r="32">
          <cell r="A32">
            <v>9</v>
          </cell>
          <cell r="B32" t="str">
            <v>CHAMBER NUT</v>
          </cell>
          <cell r="J32">
            <v>3</v>
          </cell>
          <cell r="K32" t="str">
            <v>COLLECT 1 No. OF PLAIN &amp; SPRING WASHER ,PLACE IT ON CRANK CASE BOLT</v>
          </cell>
          <cell r="L32" t="str">
            <v>FLANGED TYPE BOLTS CAN BE USED</v>
          </cell>
          <cell r="M32">
            <v>0.503</v>
          </cell>
        </row>
        <row r="33">
          <cell r="J33">
            <v>8</v>
          </cell>
          <cell r="K33" t="str">
            <v>COLLECT ONE CLIP OF CHAMBER STUD &amp; PREPOSITION FOR SELF STATOR ENGINE</v>
          </cell>
          <cell r="L33" t="str">
            <v>ELEMENT NOT REQUIRED FOR 5-PORT</v>
          </cell>
          <cell r="M33">
            <v>0.03</v>
          </cell>
        </row>
        <row r="34">
          <cell r="J34">
            <v>9</v>
          </cell>
          <cell r="K34" t="str">
            <v>ROTATE TROLLEY BY 90 DEG.</v>
          </cell>
          <cell r="L34" t="str">
            <v>ELEMENT CAN BE PERFORMED ON STAGE 8</v>
          </cell>
          <cell r="M34">
            <v>1.9099999999999999E-2</v>
          </cell>
        </row>
        <row r="35">
          <cell r="J35">
            <v>10</v>
          </cell>
          <cell r="K35" t="str">
            <v xml:space="preserve">CUT THE EXTRA PORTION OF C'CASE PACKING </v>
          </cell>
          <cell r="L35" t="str">
            <v>ELEMENT CAN BE PERFORMED ON STAGE 8</v>
          </cell>
          <cell r="M35">
            <v>0.05</v>
          </cell>
        </row>
        <row r="36">
          <cell r="L36" t="str">
            <v>SUB-TOTAL</v>
          </cell>
          <cell r="M36">
            <v>0.60210000000000008</v>
          </cell>
          <cell r="N36">
            <v>1.0221</v>
          </cell>
          <cell r="O36">
            <v>0.41999999999999993</v>
          </cell>
        </row>
        <row r="37">
          <cell r="A37">
            <v>10</v>
          </cell>
          <cell r="B37" t="str">
            <v>COUPLING BOLTS</v>
          </cell>
          <cell r="J37">
            <v>4</v>
          </cell>
          <cell r="K37" t="str">
            <v>POSITION SPRING &amp; PLAIN WASHERS ON 4 BOLTS</v>
          </cell>
          <cell r="L37" t="str">
            <v>FLANGED TYPE BOLTS CAN BE USED</v>
          </cell>
          <cell r="M37">
            <v>0.20580000000000001</v>
          </cell>
        </row>
        <row r="38">
          <cell r="J38">
            <v>6</v>
          </cell>
          <cell r="K38" t="str">
            <v>ROTATE TROLLEY BY 90 DEG.</v>
          </cell>
          <cell r="L38" t="str">
            <v>CAN BE DELETED ONLY IF COUPLING BOLT AT LOWER END TO BE INSERTED FROM SAME SIDE THAT OF OTHER BOLTS</v>
          </cell>
          <cell r="M38">
            <v>1.9099999999999999E-2</v>
          </cell>
        </row>
        <row r="39">
          <cell r="J39">
            <v>8</v>
          </cell>
          <cell r="K39" t="str">
            <v>COLLECT &amp; POSITION PLAIN &amp; SPRING WASHER ON BOLT</v>
          </cell>
          <cell r="M39">
            <v>4.4499999999999998E-2</v>
          </cell>
        </row>
        <row r="40">
          <cell r="J40">
            <v>9</v>
          </cell>
          <cell r="K40" t="str">
            <v xml:space="preserve">COLLECT NUT &amp; PRE-POSITION ON LOWER SECURING BOLT </v>
          </cell>
          <cell r="M40">
            <v>4.2999999999999997E-2</v>
          </cell>
        </row>
        <row r="41">
          <cell r="J41">
            <v>11</v>
          </cell>
          <cell r="K41" t="str">
            <v xml:space="preserve">TIGHTEN 1 LOWER COUPLING BOLT NUT </v>
          </cell>
          <cell r="M41">
            <v>5.1200000000000002E-2</v>
          </cell>
        </row>
        <row r="42">
          <cell r="J42">
            <v>13</v>
          </cell>
          <cell r="K42" t="str">
            <v xml:space="preserve">ROTATE TROLLEY BY 180 DEG. &amp; TIGHTEN BOLT NUT FROM OPPOSITE SIDE </v>
          </cell>
          <cell r="M42">
            <v>7.0999999999999994E-2</v>
          </cell>
        </row>
        <row r="43">
          <cell r="J43">
            <v>14</v>
          </cell>
          <cell r="K43" t="str">
            <v>ALIGN. C'SHAFT &amp; MAKE IT FREE</v>
          </cell>
          <cell r="L43" t="str">
            <v>ELEMENT NOT REQUIRED FOR 5-PORT</v>
          </cell>
          <cell r="M43">
            <v>0.10730000000000001</v>
          </cell>
        </row>
        <row r="44">
          <cell r="L44" t="str">
            <v>SUB-TOTAL</v>
          </cell>
          <cell r="M44">
            <v>0.54190000000000005</v>
          </cell>
          <cell r="N44">
            <v>1.0485</v>
          </cell>
          <cell r="O44">
            <v>0.50659999999999994</v>
          </cell>
        </row>
        <row r="45">
          <cell r="A45">
            <v>11</v>
          </cell>
          <cell r="B45" t="str">
            <v>G.S. FITMENT</v>
          </cell>
          <cell r="J45">
            <v>4</v>
          </cell>
          <cell r="K45" t="str">
            <v>PLACE PLAIN &amp; SPRING WASHER ON 2 BOLTS</v>
          </cell>
          <cell r="L45" t="str">
            <v>FLANGED TYPE BOLTS CAN BE USED</v>
          </cell>
          <cell r="M45">
            <v>0.10059999999999999</v>
          </cell>
        </row>
        <row r="46">
          <cell r="J46">
            <v>15</v>
          </cell>
          <cell r="K46" t="str">
            <v>PLACE PLAIN &amp; SPRING WASHER &amp; PLACE ON GEAR SHIFTER STUD</v>
          </cell>
          <cell r="L46" t="str">
            <v>FLANGED TYPE NUTS CAN BE USED</v>
          </cell>
          <cell r="M46">
            <v>9.3100000000000002E-2</v>
          </cell>
        </row>
        <row r="47">
          <cell r="J47">
            <v>22</v>
          </cell>
          <cell r="K47" t="str">
            <v>GEAR SHIFTER TRAY HANDLING</v>
          </cell>
          <cell r="L47" t="str">
            <v>TRAY HANDLING BY LOGISTIC PERSON</v>
          </cell>
          <cell r="M47">
            <v>5.0000000000000001E-3</v>
          </cell>
        </row>
        <row r="48">
          <cell r="J48">
            <v>23</v>
          </cell>
          <cell r="K48" t="str">
            <v xml:space="preserve">CHECK CONTINUITY OF NEUTRAL SWITCH </v>
          </cell>
          <cell r="L48" t="str">
            <v>ELEMENT NOT REQUIRED FOR 5-PORT</v>
          </cell>
          <cell r="M48">
            <v>6.6699999999999995E-2</v>
          </cell>
        </row>
        <row r="49">
          <cell r="L49" t="str">
            <v>SUB-TOTAL</v>
          </cell>
          <cell r="M49">
            <v>0.26539999999999997</v>
          </cell>
          <cell r="N49">
            <v>1.0450999999999999</v>
          </cell>
          <cell r="O49">
            <v>0.77969999999999995</v>
          </cell>
        </row>
        <row r="50">
          <cell r="A50">
            <v>12</v>
          </cell>
          <cell r="B50" t="str">
            <v>MAGNETO OIL SEAL &amp; TORQUE APPLICATION</v>
          </cell>
          <cell r="J50">
            <v>3</v>
          </cell>
          <cell r="K50" t="str">
            <v>LOCK UNLOCK TROLLEY</v>
          </cell>
          <cell r="L50" t="str">
            <v>ELEMENT NOT REQUIRED.</v>
          </cell>
          <cell r="M50">
            <v>4.3799999999999999E-2</v>
          </cell>
        </row>
        <row r="51">
          <cell r="J51">
            <v>7</v>
          </cell>
          <cell r="K51" t="str">
            <v>ROTATE TROLLEY BY 180 DEG.</v>
          </cell>
          <cell r="L51" t="str">
            <v>CAN BE DELETED ONLY IF COUPLING BOLT AT LOWER END TO BE INSERTED FROM SAME SIDE THAT OF OTHER BOLTS</v>
          </cell>
          <cell r="M51">
            <v>3.3300000000000003E-2</v>
          </cell>
        </row>
        <row r="52">
          <cell r="L52" t="str">
            <v>SUB-TOTAL</v>
          </cell>
          <cell r="M52">
            <v>7.7100000000000002E-2</v>
          </cell>
          <cell r="N52">
            <v>1.1242000000000001</v>
          </cell>
          <cell r="O52">
            <v>1.0471000000000001</v>
          </cell>
        </row>
        <row r="53">
          <cell r="A53">
            <v>13</v>
          </cell>
          <cell r="B53" t="str">
            <v>CLUTCH FITMENT</v>
          </cell>
          <cell r="J53">
            <v>2</v>
          </cell>
          <cell r="K53" t="str">
            <v>OBSERVE KICK STARTER FREENESS</v>
          </cell>
          <cell r="L53" t="str">
            <v>ELEMENT IS IN STAGE NO 7</v>
          </cell>
          <cell r="M53">
            <v>1.7399999999999999E-2</v>
          </cell>
        </row>
        <row r="54">
          <cell r="J54">
            <v>9</v>
          </cell>
          <cell r="K54" t="str">
            <v>LOCK &amp; UNLOCK TROLLEY</v>
          </cell>
          <cell r="L54" t="str">
            <v>ELEMENT NOT REQUIRED</v>
          </cell>
          <cell r="M54">
            <v>4.3799999999999999E-2</v>
          </cell>
        </row>
        <row r="55">
          <cell r="J55">
            <v>12</v>
          </cell>
          <cell r="K55" t="str">
            <v>CLUTCH ASSLY TRAY HANDLING</v>
          </cell>
          <cell r="L55" t="str">
            <v>TRAY HANDLING BY LOGISTIC PERSON</v>
          </cell>
          <cell r="M55">
            <v>0.01</v>
          </cell>
        </row>
        <row r="56">
          <cell r="L56" t="str">
            <v>SUB-TOTAL</v>
          </cell>
          <cell r="M56">
            <v>7.1199999999999999E-2</v>
          </cell>
          <cell r="N56">
            <v>1.1498999999999999</v>
          </cell>
          <cell r="O56">
            <v>1.0787</v>
          </cell>
        </row>
        <row r="57">
          <cell r="A57">
            <v>14</v>
          </cell>
          <cell r="B57" t="str">
            <v>CYLINDER STUD FITMENT</v>
          </cell>
          <cell r="J57">
            <v>6</v>
          </cell>
          <cell r="K57" t="str">
            <v>COLLECTION OF CYL. STUDS FROM TRAY TO CONVEYOR POCKET</v>
          </cell>
          <cell r="L57" t="str">
            <v>ELEMENT NOT REQUIRED . CYLINDER STUD DIRECT ON LINE</v>
          </cell>
          <cell r="M57">
            <v>1.83E-2</v>
          </cell>
        </row>
        <row r="58">
          <cell r="J58">
            <v>8</v>
          </cell>
          <cell r="K58" t="str">
            <v>DIP STUDS IN SOLUTION &amp; POSITION THEM ON ENGINE</v>
          </cell>
          <cell r="L58" t="str">
            <v>ELEMENT NOT REQUIRED .</v>
          </cell>
          <cell r="M58">
            <v>0.1633</v>
          </cell>
        </row>
        <row r="59">
          <cell r="J59">
            <v>9</v>
          </cell>
          <cell r="K59" t="str">
            <v>COLLECT NUT RUNNER ,STUD DRIVER , POSITION STUD DRIVER ON PNR</v>
          </cell>
          <cell r="L59" t="str">
            <v>INSTEAD OF NUT RUNNER STUD RUNNER IS USED</v>
          </cell>
          <cell r="M59">
            <v>1.2999999999999999E-2</v>
          </cell>
        </row>
        <row r="60">
          <cell r="L60" t="str">
            <v>SUB-TOTAL</v>
          </cell>
          <cell r="M60">
            <v>0.19460000000000002</v>
          </cell>
          <cell r="N60">
            <v>0.94679999999999997</v>
          </cell>
          <cell r="O60">
            <v>0.75219999999999998</v>
          </cell>
        </row>
        <row r="61">
          <cell r="A61">
            <v>15</v>
          </cell>
          <cell r="B61" t="str">
            <v>CARB.HSG &amp; CARB. SUB ASSLY</v>
          </cell>
        </row>
        <row r="62">
          <cell r="L62" t="str">
            <v>SUB-TOTAL</v>
          </cell>
          <cell r="M62">
            <v>0</v>
          </cell>
          <cell r="N62">
            <v>0.98829999999999996</v>
          </cell>
          <cell r="O62">
            <v>0.98829999999999996</v>
          </cell>
        </row>
        <row r="63">
          <cell r="A63">
            <v>16</v>
          </cell>
          <cell r="B63" t="str">
            <v>REED VALVE &amp; CARB. HSG FITMENT</v>
          </cell>
          <cell r="J63">
            <v>1</v>
          </cell>
          <cell r="K63" t="str">
            <v>PRE-POSITION OF 2 SCREWS FOR REED VALVE</v>
          </cell>
          <cell r="L63" t="str">
            <v>FLANGED TYPE BOLTS USED INSTEAD OF PLAIN &amp; SPRING WASHER</v>
          </cell>
          <cell r="M63">
            <v>0.1</v>
          </cell>
        </row>
        <row r="64">
          <cell r="J64">
            <v>3</v>
          </cell>
          <cell r="K64" t="str">
            <v>DIP SCREWS IN THREAD SEALENT , INSERT 2 SCREWS INTO REED VALVE &amp; KEEP SUB ASSLY READY.</v>
          </cell>
          <cell r="L64" t="str">
            <v>ELEMENT NOT REQUIRED</v>
          </cell>
          <cell r="M64">
            <v>0.06</v>
          </cell>
        </row>
        <row r="65">
          <cell r="L65" t="str">
            <v>SUB-TOTAL</v>
          </cell>
          <cell r="M65">
            <v>0.16</v>
          </cell>
          <cell r="N65">
            <v>1.1504000000000001</v>
          </cell>
          <cell r="O65">
            <v>0.99040000000000006</v>
          </cell>
        </row>
        <row r="66">
          <cell r="A66">
            <v>17</v>
          </cell>
          <cell r="B66" t="str">
            <v>CYLINDER BLOCK FITMENT</v>
          </cell>
          <cell r="J66">
            <v>15</v>
          </cell>
          <cell r="K66" t="str">
            <v>OBSERVE KICK STARTER FREENESS</v>
          </cell>
          <cell r="L66" t="str">
            <v>ELEMENT IS IN STAGE NO 7 &amp; 18</v>
          </cell>
          <cell r="M66">
            <v>1.7399999999999999E-2</v>
          </cell>
        </row>
        <row r="67">
          <cell r="L67" t="str">
            <v>SUB-TOTAL</v>
          </cell>
          <cell r="M67">
            <v>1.7399999999999999E-2</v>
          </cell>
          <cell r="N67">
            <v>0.98380000000000001</v>
          </cell>
          <cell r="O67">
            <v>0.96640000000000004</v>
          </cell>
        </row>
        <row r="68">
          <cell r="A68">
            <v>18</v>
          </cell>
          <cell r="B68" t="str">
            <v>CYLINDER HEAD FITMENT</v>
          </cell>
          <cell r="J68">
            <v>3</v>
          </cell>
          <cell r="K68" t="str">
            <v>COLLECT PLAIN &amp; SPRING WASHER &amp; POSITION ON CYL. HEAD</v>
          </cell>
          <cell r="L68" t="str">
            <v>FLANGED TYPE NUTS USED INSTEAD OF PLAIN &amp; SPRING WASHER</v>
          </cell>
          <cell r="M68">
            <v>6.2E-2</v>
          </cell>
        </row>
        <row r="69">
          <cell r="L69" t="str">
            <v>SUB-TOTAL</v>
          </cell>
          <cell r="M69">
            <v>6.2E-2</v>
          </cell>
          <cell r="N69">
            <v>1.1054999999999999</v>
          </cell>
          <cell r="O69">
            <v>1.0434999999999999</v>
          </cell>
        </row>
        <row r="70">
          <cell r="A70">
            <v>19</v>
          </cell>
          <cell r="B70" t="str">
            <v>CARB. BOLT TORQUE &amp; STATOR PREFIT</v>
          </cell>
          <cell r="J70">
            <v>9</v>
          </cell>
          <cell r="K70" t="str">
            <v>PREPARATION OF AIR FILTER SCREW ASSLY FOR EXPORT ENGINES</v>
          </cell>
          <cell r="L70" t="str">
            <v>ELEMENT NOT REQUIRED</v>
          </cell>
          <cell r="M70">
            <v>0.05</v>
          </cell>
        </row>
        <row r="71">
          <cell r="J71">
            <v>10</v>
          </cell>
          <cell r="K71" t="str">
            <v>AIR FILTER TIGHTNING FOR EXPORT ENGINES</v>
          </cell>
          <cell r="L71" t="str">
            <v>ELEMENT NOT REQUIRED</v>
          </cell>
          <cell r="M71">
            <v>0.05</v>
          </cell>
        </row>
        <row r="72">
          <cell r="J72">
            <v>11</v>
          </cell>
          <cell r="K72" t="str">
            <v>THROW PACKING PAPER INSIDE MAGNETO ASSLY IN DUST BIN</v>
          </cell>
          <cell r="L72" t="str">
            <v>UNPACKING OF MAGNETO DONE BY STORE PERSON</v>
          </cell>
          <cell r="M72">
            <v>0.02</v>
          </cell>
        </row>
        <row r="73">
          <cell r="J73">
            <v>13</v>
          </cell>
          <cell r="K73" t="str">
            <v>AIR FILTER TRAY HANDLING</v>
          </cell>
          <cell r="L73" t="str">
            <v>TRAY HANDLING BY LOGISTIC PERSON</v>
          </cell>
          <cell r="M73">
            <v>5.0000000000000001E-3</v>
          </cell>
        </row>
        <row r="74">
          <cell r="L74" t="str">
            <v>SUB-TOTAL</v>
          </cell>
          <cell r="M74">
            <v>0.125</v>
          </cell>
          <cell r="N74">
            <v>1.1266</v>
          </cell>
          <cell r="O74">
            <v>1.0016</v>
          </cell>
        </row>
        <row r="75">
          <cell r="A75">
            <v>20</v>
          </cell>
          <cell r="B75" t="str">
            <v>STATOR PLATE &amp; ROTOR FITMENT</v>
          </cell>
          <cell r="J75">
            <v>3</v>
          </cell>
          <cell r="K75" t="str">
            <v>TROLLEY LOCK UNLOCK WHILE TIGHTNING STATOR PLATE</v>
          </cell>
          <cell r="L75" t="str">
            <v>ELEMENT NOT REQUIRED</v>
          </cell>
          <cell r="M75">
            <v>4.3799999999999999E-2</v>
          </cell>
        </row>
        <row r="76">
          <cell r="L76" t="str">
            <v>SUB-TOTAL</v>
          </cell>
          <cell r="M76">
            <v>4.3799999999999999E-2</v>
          </cell>
          <cell r="N76">
            <v>1.0692999999999999</v>
          </cell>
          <cell r="O76">
            <v>1.0254999999999999</v>
          </cell>
        </row>
        <row r="77">
          <cell r="A77">
            <v>21</v>
          </cell>
          <cell r="B77" t="str">
            <v>SPARK PLUG FITMENT</v>
          </cell>
        </row>
        <row r="78">
          <cell r="L78" t="str">
            <v>SUB-TOTAL</v>
          </cell>
          <cell r="M78">
            <v>0</v>
          </cell>
          <cell r="N78">
            <v>0.91320000000000001</v>
          </cell>
          <cell r="O78">
            <v>0.91320000000000001</v>
          </cell>
        </row>
        <row r="79">
          <cell r="A79">
            <v>22</v>
          </cell>
          <cell r="B79" t="str">
            <v>OIL FILLING</v>
          </cell>
          <cell r="J79">
            <v>1</v>
          </cell>
          <cell r="K79" t="str">
            <v>LOCK UNLOCK TROLLEY</v>
          </cell>
          <cell r="L79" t="str">
            <v>ELEMENT NOT REQUIRED</v>
          </cell>
          <cell r="M79">
            <v>4.3799999999999999E-2</v>
          </cell>
        </row>
        <row r="80">
          <cell r="J80">
            <v>2</v>
          </cell>
          <cell r="K80" t="str">
            <v>UPDATE MAGNETO NUT TORQUE (6 TO 6.5 Kgm ) WITH PAINT APPLICATION</v>
          </cell>
          <cell r="L80" t="str">
            <v>MAGNETO NUT TORQUE TO BE INTERCHANGE WITH CLUTCH COVER TORQUE</v>
          </cell>
          <cell r="M80">
            <v>0.14749999999999999</v>
          </cell>
        </row>
        <row r="81">
          <cell r="J81">
            <v>3</v>
          </cell>
          <cell r="K81" t="str">
            <v>ROTATE TROLLEY 180 DEG</v>
          </cell>
          <cell r="L81" t="str">
            <v>ELEMENT NOT REQUIRED AS MAGNETO NUT TORQUE NOT REQUIRED</v>
          </cell>
          <cell r="M81">
            <v>3.3300000000000003E-2</v>
          </cell>
        </row>
        <row r="82">
          <cell r="J82">
            <v>5</v>
          </cell>
          <cell r="K82" t="str">
            <v>FILL OIL IN OIL LEVEL MEASURING VESSEL &amp; CHECK THE OIL QTY.</v>
          </cell>
          <cell r="L82" t="str">
            <v>ELEMENT DONE BY PRS PERSON, LINE SUPERVISOR, &amp; POINT IS IN V9</v>
          </cell>
          <cell r="M82">
            <v>6.4000000000000003E-3</v>
          </cell>
        </row>
        <row r="83">
          <cell r="L83" t="str">
            <v>SUB-TOTAL</v>
          </cell>
          <cell r="M83">
            <v>0.23099999999999998</v>
          </cell>
          <cell r="N83">
            <v>1.0721000000000001</v>
          </cell>
          <cell r="O83">
            <v>0.84110000000000007</v>
          </cell>
        </row>
        <row r="84">
          <cell r="A84">
            <v>23</v>
          </cell>
          <cell r="B84" t="str">
            <v>DUST PLATE,BRAKE SHOE FITMENT</v>
          </cell>
          <cell r="J84">
            <v>0</v>
          </cell>
          <cell r="K84" t="str">
            <v>PREPARE A SET OF SILENCER BOLT WITH PLAIN &amp; SPRING WASHER</v>
          </cell>
          <cell r="L84" t="str">
            <v>ELEMENT NOT DONE ON LINE . AT PRESENT IT IS DONE ON STAGE NO-21</v>
          </cell>
          <cell r="M84">
            <v>6.5299999999999997E-2</v>
          </cell>
        </row>
        <row r="85">
          <cell r="J85">
            <v>1</v>
          </cell>
          <cell r="K85" t="str">
            <v>ROTATE TROLLEY 180 DEG</v>
          </cell>
          <cell r="L85" t="str">
            <v>NOT REQUIRED AS CLUTCH COVER BOLT TORQUE IS APPLIED AT STAGE 22</v>
          </cell>
          <cell r="M85">
            <v>3.3300000000000003E-2</v>
          </cell>
        </row>
        <row r="86">
          <cell r="J86">
            <v>13</v>
          </cell>
          <cell r="K86" t="str">
            <v xml:space="preserve">BRAKE SHOE ,DUST PLATE TRAY HANDLING </v>
          </cell>
          <cell r="L86" t="str">
            <v>ELEMENT DONE BY LOGISTIC PERSON</v>
          </cell>
          <cell r="M86">
            <v>0.01</v>
          </cell>
        </row>
        <row r="87">
          <cell r="J87">
            <v>14</v>
          </cell>
          <cell r="K87" t="str">
            <v>CHANGE TRAYS OF BRAKE SHOE &amp; DUST PLATE WHENEVER MODEL CHANGES</v>
          </cell>
          <cell r="L87" t="str">
            <v>ELEMENT DONE BY LOGISTIC PERSON</v>
          </cell>
          <cell r="M87">
            <v>0.01</v>
          </cell>
        </row>
        <row r="88">
          <cell r="J88">
            <v>15</v>
          </cell>
          <cell r="K88" t="str">
            <v>CHECK DUST PLATE ,DUST PLATE SCREWS , BRAKE SHOE IF REQUIRED .</v>
          </cell>
          <cell r="L88" t="str">
            <v>ELEMENT DELETED AT ENGINE ASSLY. CHECKING TO BE DONE AT FEDERS SHOP(i,e BY IRS)</v>
          </cell>
          <cell r="M88">
            <v>1.9099999999999999E-2</v>
          </cell>
        </row>
        <row r="89">
          <cell r="L89" t="str">
            <v>SUB-TOTAL</v>
          </cell>
          <cell r="M89">
            <v>0.13769999999999999</v>
          </cell>
          <cell r="N89">
            <v>1.0724</v>
          </cell>
          <cell r="O89">
            <v>0.93470000000000009</v>
          </cell>
        </row>
        <row r="90">
          <cell r="A90">
            <v>24</v>
          </cell>
          <cell r="B90" t="str">
            <v>BRAKE DRUM FITMENT</v>
          </cell>
          <cell r="J90">
            <v>5</v>
          </cell>
          <cell r="K90" t="str">
            <v>STICKER APPLICATION FOR EXPORT ENGINES</v>
          </cell>
          <cell r="L90" t="str">
            <v>ELEMENT DONE ONLY FOR EXPORT ENGINES AND IN PLACE OF (INSERT SPLIT PIN THROUGH NUT ,SHAFT  &amp; BEND IT)</v>
          </cell>
          <cell r="M90">
            <v>0.05</v>
          </cell>
        </row>
        <row r="91">
          <cell r="J91">
            <v>9</v>
          </cell>
          <cell r="K91" t="str">
            <v>TROLLEY / TRAY HANDLING</v>
          </cell>
          <cell r="L91" t="str">
            <v>ELEMENT DONE BY LOGISTIC PERSON</v>
          </cell>
          <cell r="M91">
            <v>2.5000000000000001E-2</v>
          </cell>
        </row>
        <row r="92">
          <cell r="L92" t="str">
            <v>SUB-TOTAL</v>
          </cell>
          <cell r="M92">
            <v>7.5000000000000011E-2</v>
          </cell>
          <cell r="N92">
            <v>1.1506000000000001</v>
          </cell>
          <cell r="O92">
            <v>1.0756000000000001</v>
          </cell>
        </row>
        <row r="93">
          <cell r="A93">
            <v>25</v>
          </cell>
          <cell r="B93" t="str">
            <v>FAN COWLING PREFITMENT</v>
          </cell>
          <cell r="J93">
            <v>1</v>
          </cell>
          <cell r="K93" t="str">
            <v>ROTATE TROLLEY 90 DEG</v>
          </cell>
          <cell r="L93" t="str">
            <v>ELEMENT NOT REQUIRED AS STAGE IS ON OTHER SIDE OF CONVEYOR</v>
          </cell>
          <cell r="M93">
            <v>1.9099999999999999E-2</v>
          </cell>
        </row>
        <row r="94">
          <cell r="J94">
            <v>4</v>
          </cell>
          <cell r="K94" t="str">
            <v>LOCK UNLOCK TROLLEY WHILE TIGHTENING OF FAN COVER ,COWLING</v>
          </cell>
          <cell r="L94" t="str">
            <v>ONLY FAN COVER PREFITMENT IS DONE &amp; NOT TIGHTNING</v>
          </cell>
          <cell r="M94">
            <v>4.3799999999999999E-2</v>
          </cell>
        </row>
        <row r="95">
          <cell r="J95">
            <v>15</v>
          </cell>
          <cell r="K95" t="str">
            <v>FAN COVER TRAY HANDLING</v>
          </cell>
          <cell r="L95" t="str">
            <v>TROLLEY IS MODFIED IN PLACE OF BIN &amp; TROLLEY IS ROTATED BY LOGISTIC PERSON</v>
          </cell>
          <cell r="M95">
            <v>5.0000000000000001E-3</v>
          </cell>
        </row>
        <row r="96">
          <cell r="J96">
            <v>16</v>
          </cell>
          <cell r="K96" t="str">
            <v xml:space="preserve">COWLING TROLLEY MOVEMENT </v>
          </cell>
          <cell r="L96" t="str">
            <v>TROLLEY IS MODFIED SUCH THAT COWLING &amp; FAN COVER ARE ON ONE TROLLEY.</v>
          </cell>
          <cell r="M96">
            <v>0.01</v>
          </cell>
        </row>
        <row r="97">
          <cell r="L97" t="str">
            <v>SUB-TOTAL</v>
          </cell>
          <cell r="M97">
            <v>7.7899999999999997E-2</v>
          </cell>
          <cell r="N97">
            <v>1.0375000000000001</v>
          </cell>
          <cell r="O97">
            <v>0.95960000000000012</v>
          </cell>
        </row>
        <row r="98">
          <cell r="A98">
            <v>26</v>
          </cell>
          <cell r="B98" t="str">
            <v>FAN COVER &amp; COWLING FITMENT</v>
          </cell>
          <cell r="J98">
            <v>10</v>
          </cell>
          <cell r="K98" t="str">
            <v>COLLECT CLIP FOR COWLING BOLT , INSERT THROUGH BOLT , PREFIT ON COWLING .ADDITIONAL TIME FOR CLIP FITMENT</v>
          </cell>
          <cell r="L98" t="str">
            <v>ADDITIONAL TIME FOR CLIP FITMENT NOT REQUIRED AS CLIP IS DELETED FROM COWLING.</v>
          </cell>
          <cell r="M98">
            <v>0.08</v>
          </cell>
        </row>
        <row r="99">
          <cell r="J99">
            <v>13</v>
          </cell>
          <cell r="K99" t="str">
            <v>CARB. COVER TRAY HANDLING</v>
          </cell>
          <cell r="L99" t="str">
            <v>ELEMENT DONE BY LOGISTIC PERSON</v>
          </cell>
          <cell r="M99">
            <v>8.0000000000000002E-3</v>
          </cell>
        </row>
        <row r="100">
          <cell r="L100" t="str">
            <v>SUB-TOTAL</v>
          </cell>
          <cell r="M100">
            <v>8.7999999999999995E-2</v>
          </cell>
          <cell r="N100">
            <v>1.0148999999999999</v>
          </cell>
          <cell r="O100">
            <v>0.92689999999999995</v>
          </cell>
        </row>
        <row r="101">
          <cell r="A101">
            <v>27</v>
          </cell>
          <cell r="B101" t="str">
            <v>SILENCER FITMENT</v>
          </cell>
        </row>
        <row r="102">
          <cell r="L102" t="str">
            <v>SUB-TOTAL</v>
          </cell>
          <cell r="M102">
            <v>0</v>
          </cell>
          <cell r="N102">
            <v>1.123</v>
          </cell>
          <cell r="O102">
            <v>1.123</v>
          </cell>
        </row>
        <row r="103">
          <cell r="A103">
            <v>28</v>
          </cell>
          <cell r="B103" t="str">
            <v>VISUAL INSPECTION &amp; SCANNING</v>
          </cell>
        </row>
        <row r="104">
          <cell r="L104" t="str">
            <v>SUB-TOTAL</v>
          </cell>
          <cell r="M104">
            <v>0</v>
          </cell>
          <cell r="N104">
            <v>1.1499999999999999</v>
          </cell>
          <cell r="O104">
            <v>1.1499999999999999</v>
          </cell>
        </row>
        <row r="105">
          <cell r="A105">
            <v>29</v>
          </cell>
          <cell r="B105" t="str">
            <v>ENGINE UNLOADING</v>
          </cell>
          <cell r="J105">
            <v>4</v>
          </cell>
          <cell r="K105" t="str">
            <v>KEEP MATERIAL ASIDE WHICH COMES FROM CONVEYOR TOP</v>
          </cell>
          <cell r="M105">
            <v>0.02</v>
          </cell>
        </row>
        <row r="106">
          <cell r="L106" t="str">
            <v>SUB-TOTAL</v>
          </cell>
          <cell r="M106">
            <v>0.02</v>
          </cell>
          <cell r="N106">
            <v>0.90310000000000001</v>
          </cell>
          <cell r="O106">
            <v>0.8831</v>
          </cell>
        </row>
        <row r="107">
          <cell r="A107">
            <v>30</v>
          </cell>
          <cell r="B107" t="str">
            <v>CLUSTER SUB-ASSLY</v>
          </cell>
        </row>
        <row r="108">
          <cell r="L108" t="str">
            <v>SUB-TOTAL</v>
          </cell>
          <cell r="M108">
            <v>0</v>
          </cell>
          <cell r="N108">
            <v>1.0730999999999999</v>
          </cell>
          <cell r="O108">
            <v>1.0730999999999999</v>
          </cell>
        </row>
        <row r="109">
          <cell r="A109">
            <v>31</v>
          </cell>
          <cell r="B109" t="str">
            <v>CYL.BLOCK SUB-ASSLY</v>
          </cell>
          <cell r="J109">
            <v>2</v>
          </cell>
          <cell r="K109" t="str">
            <v>EXPANDER RING FITMENT AS PER REQUIREMENT</v>
          </cell>
          <cell r="L109" t="str">
            <v>ELEMENT NOT REQUIRED FOR 5-PORT ENGINES</v>
          </cell>
          <cell r="M109">
            <v>7.0000000000000007E-2</v>
          </cell>
        </row>
        <row r="110">
          <cell r="J110">
            <v>3</v>
          </cell>
          <cell r="K110" t="str">
            <v>FITMENT OF DAMPER INTO CYL.BLOCK FINS FOR EXPORT</v>
          </cell>
          <cell r="L110" t="str">
            <v>ELEMENT NOT REQUIRED FOR 5-PORT ENGINES</v>
          </cell>
          <cell r="M110">
            <v>0.2</v>
          </cell>
        </row>
        <row r="111">
          <cell r="J111">
            <v>4</v>
          </cell>
          <cell r="K111" t="str">
            <v>C'SHAFT ASSLY</v>
          </cell>
          <cell r="L111" t="str">
            <v>C'SHAFT SLEEVE PRESSING DONE AT C'SHAFT DEPT.ONLY REMOVAL OF OUTER BEARING RACE IS DONE ON LINE</v>
          </cell>
          <cell r="M111">
            <v>0.1</v>
          </cell>
        </row>
        <row r="112">
          <cell r="L112" t="str">
            <v>SUB-TOTAL</v>
          </cell>
          <cell r="M112">
            <v>0.37</v>
          </cell>
          <cell r="N112">
            <v>1.1077999999999999</v>
          </cell>
          <cell r="O112">
            <v>0.7377999999999999</v>
          </cell>
        </row>
        <row r="113">
          <cell r="A113">
            <v>32</v>
          </cell>
          <cell r="B113" t="str">
            <v>CLUTCH COVER SUB-ASSLY</v>
          </cell>
          <cell r="J113">
            <v>2</v>
          </cell>
          <cell r="K113" t="str">
            <v>CLUTCH COVER BOLT PREPARATION</v>
          </cell>
          <cell r="L113" t="str">
            <v>FLANGED TYPE BOLTS CAN BE USED. ALSO PROBLEM OF PLAIN &amp; SPRING WASHER INSIDE ENGINE CAN BE SOLVED</v>
          </cell>
          <cell r="M113">
            <v>0.2</v>
          </cell>
        </row>
        <row r="114">
          <cell r="L114" t="str">
            <v>SUB-TOTAL</v>
          </cell>
          <cell r="M114">
            <v>0.2</v>
          </cell>
          <cell r="N114">
            <v>1.1479999999999999</v>
          </cell>
          <cell r="O114">
            <v>0.94799999999999995</v>
          </cell>
        </row>
        <row r="115">
          <cell r="L115" t="str">
            <v>TOTAL</v>
          </cell>
          <cell r="M115">
            <v>4.7175000000000002</v>
          </cell>
          <cell r="N115">
            <v>33.720600000000005</v>
          </cell>
          <cell r="O115">
            <v>29.003100000000003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 foam ppm"/>
      <sheetName val="varroc 100254 ppm"/>
      <sheetName val="TREND "/>
      <sheetName val="REVISED PPM"/>
    </sheetNames>
    <sheetDataSet>
      <sheetData sheetId="0">
        <row r="1">
          <cell r="C1" t="str">
            <v>VARROC ENGINEERING PRIVATE LIMITED</v>
          </cell>
          <cell r="E1">
            <v>104322</v>
          </cell>
          <cell r="L1" t="str">
            <v>JAN-04 VEPL PLANT 3</v>
          </cell>
        </row>
        <row r="2">
          <cell r="A2" t="str">
            <v xml:space="preserve"> SRL</v>
          </cell>
          <cell r="B2" t="str">
            <v>MATERIAL</v>
          </cell>
          <cell r="C2" t="str">
            <v>MATERIAL DESCRIPTION</v>
          </cell>
          <cell r="D2" t="str">
            <v>PLANT</v>
          </cell>
          <cell r="E2" t="str">
            <v>RECD QTY</v>
          </cell>
          <cell r="F2" t="str">
            <v>GR REJ QTY</v>
          </cell>
          <cell r="G2" t="str">
            <v>GR RJ PPM</v>
          </cell>
          <cell r="H2" t="str">
            <v>ACCEP_QTY</v>
          </cell>
          <cell r="I2" t="str">
            <v>LR RJ QTY</v>
          </cell>
          <cell r="J2" t="str">
            <v>LR RJ PPM</v>
          </cell>
          <cell r="K2" t="str">
            <v xml:space="preserve">  TOTAL</v>
          </cell>
          <cell r="L2" t="str">
            <v>REASON</v>
          </cell>
          <cell r="M2" t="str">
            <v>ACTION PLAN</v>
          </cell>
          <cell r="N2" t="str">
            <v>IMMPLEMENTATION DATE</v>
          </cell>
          <cell r="O2" t="str">
            <v>REMARK</v>
          </cell>
        </row>
        <row r="3">
          <cell r="A3">
            <v>1</v>
          </cell>
          <cell r="B3">
            <v>22211024</v>
          </cell>
          <cell r="C3" t="str">
            <v>SEAT COMPLETE DRIVER -PARTI</v>
          </cell>
          <cell r="D3" t="str">
            <v>WA01</v>
          </cell>
          <cell r="E3">
            <v>1260</v>
          </cell>
          <cell r="F3">
            <v>0</v>
          </cell>
          <cell r="G3">
            <v>0</v>
          </cell>
          <cell r="H3">
            <v>1260</v>
          </cell>
          <cell r="I3">
            <v>0</v>
          </cell>
          <cell r="J3">
            <v>0</v>
          </cell>
          <cell r="K3">
            <v>0</v>
          </cell>
        </row>
        <row r="4">
          <cell r="A4">
            <v>2</v>
          </cell>
          <cell r="B4">
            <v>22231287</v>
          </cell>
          <cell r="C4" t="str">
            <v>SEAT ASSEMBLY COMPLETE PASS</v>
          </cell>
          <cell r="D4" t="str">
            <v>WA01</v>
          </cell>
          <cell r="E4">
            <v>800</v>
          </cell>
          <cell r="F4">
            <v>0</v>
          </cell>
          <cell r="G4">
            <v>0</v>
          </cell>
          <cell r="H4">
            <v>800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3</v>
          </cell>
          <cell r="B5">
            <v>24231257</v>
          </cell>
          <cell r="C5" t="str">
            <v>SEAT ASSEMBLY - DRIVER</v>
          </cell>
          <cell r="D5" t="str">
            <v>WA01</v>
          </cell>
          <cell r="E5">
            <v>16784</v>
          </cell>
          <cell r="F5">
            <v>0</v>
          </cell>
          <cell r="G5">
            <v>0</v>
          </cell>
          <cell r="H5">
            <v>16784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4</v>
          </cell>
          <cell r="B6">
            <v>24231258</v>
          </cell>
          <cell r="C6" t="str">
            <v>SEAT ASSEMBLY - PASSENGER</v>
          </cell>
          <cell r="D6" t="str">
            <v>WA01</v>
          </cell>
          <cell r="E6">
            <v>15770</v>
          </cell>
          <cell r="F6">
            <v>0</v>
          </cell>
          <cell r="G6">
            <v>0</v>
          </cell>
          <cell r="H6">
            <v>15770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5</v>
          </cell>
          <cell r="B7">
            <v>24231279</v>
          </cell>
          <cell r="C7" t="str">
            <v>PASSENGER SEAT ASSY (WHITE-</v>
          </cell>
          <cell r="D7" t="str">
            <v>WA01</v>
          </cell>
          <cell r="E7">
            <v>1410</v>
          </cell>
          <cell r="F7">
            <v>0</v>
          </cell>
          <cell r="G7">
            <v>0</v>
          </cell>
          <cell r="H7">
            <v>1410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6</v>
          </cell>
          <cell r="B8">
            <v>31211021</v>
          </cell>
          <cell r="C8" t="str">
            <v>SEAT - FRONT WITH DAMPER</v>
          </cell>
          <cell r="D8" t="str">
            <v>WA01</v>
          </cell>
          <cell r="E8">
            <v>117</v>
          </cell>
          <cell r="F8">
            <v>0</v>
          </cell>
          <cell r="G8">
            <v>0</v>
          </cell>
          <cell r="H8">
            <v>117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7</v>
          </cell>
          <cell r="B9">
            <v>33211005</v>
          </cell>
          <cell r="C9" t="str">
            <v>SEAT ASSEMBLY</v>
          </cell>
          <cell r="D9" t="str">
            <v>WA03</v>
          </cell>
          <cell r="E9">
            <v>21</v>
          </cell>
          <cell r="F9">
            <v>0</v>
          </cell>
          <cell r="G9">
            <v>0</v>
          </cell>
          <cell r="H9">
            <v>21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8</v>
          </cell>
          <cell r="B10" t="str">
            <v>AA231050</v>
          </cell>
          <cell r="C10" t="str">
            <v>SEAT ASY.-DRIVER+BUCKET TYP</v>
          </cell>
          <cell r="D10" t="str">
            <v>WA01</v>
          </cell>
          <cell r="E10">
            <v>9</v>
          </cell>
          <cell r="F10">
            <v>0</v>
          </cell>
          <cell r="G10">
            <v>0</v>
          </cell>
          <cell r="H10">
            <v>9</v>
          </cell>
          <cell r="I10">
            <v>0</v>
          </cell>
          <cell r="J10">
            <v>0</v>
          </cell>
          <cell r="K10">
            <v>0</v>
          </cell>
        </row>
        <row r="11">
          <cell r="A11">
            <v>9</v>
          </cell>
          <cell r="B11" t="str">
            <v>AA231051</v>
          </cell>
          <cell r="C11" t="str">
            <v>BACKREST ASY-DRIVR+BUKET TY</v>
          </cell>
          <cell r="D11" t="str">
            <v>WA01</v>
          </cell>
          <cell r="E11">
            <v>9</v>
          </cell>
          <cell r="F11">
            <v>0</v>
          </cell>
          <cell r="G11">
            <v>0</v>
          </cell>
          <cell r="H11">
            <v>9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10</v>
          </cell>
          <cell r="B12" t="str">
            <v>AA231056</v>
          </cell>
          <cell r="C12" t="str">
            <v>SEAT ASSEMBLY-PASSANGER+CUS</v>
          </cell>
          <cell r="D12" t="str">
            <v>WA01</v>
          </cell>
          <cell r="E12">
            <v>9</v>
          </cell>
          <cell r="F12">
            <v>0</v>
          </cell>
          <cell r="G12">
            <v>0</v>
          </cell>
          <cell r="H12">
            <v>9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11</v>
          </cell>
          <cell r="B13" t="str">
            <v>AA231059</v>
          </cell>
          <cell r="C13" t="str">
            <v>BACKREST ASSEMBLY - PASSANG</v>
          </cell>
          <cell r="D13" t="str">
            <v>WA01</v>
          </cell>
          <cell r="E13">
            <v>9</v>
          </cell>
          <cell r="F13">
            <v>0</v>
          </cell>
          <cell r="G13">
            <v>0</v>
          </cell>
          <cell r="H13">
            <v>9</v>
          </cell>
          <cell r="I13">
            <v>0</v>
          </cell>
          <cell r="J13">
            <v>0</v>
          </cell>
          <cell r="K13">
            <v>0</v>
          </cell>
        </row>
        <row r="14">
          <cell r="A14">
            <v>12</v>
          </cell>
          <cell r="B14" t="str">
            <v>AC211004</v>
          </cell>
          <cell r="C14" t="str">
            <v>CUSHION COMPLETE - SEAT :-</v>
          </cell>
          <cell r="D14" t="str">
            <v>WA01</v>
          </cell>
          <cell r="E14">
            <v>16</v>
          </cell>
          <cell r="F14">
            <v>0</v>
          </cell>
          <cell r="G14">
            <v>0</v>
          </cell>
          <cell r="H14">
            <v>16</v>
          </cell>
          <cell r="I14">
            <v>0</v>
          </cell>
          <cell r="J14">
            <v>0</v>
          </cell>
          <cell r="K14">
            <v>0</v>
          </cell>
        </row>
        <row r="15">
          <cell r="A15">
            <v>13</v>
          </cell>
          <cell r="B15" t="str">
            <v>AF231015</v>
          </cell>
          <cell r="C15" t="str">
            <v>SEAT ASSEMBLY - DRIVER</v>
          </cell>
          <cell r="D15" t="str">
            <v>WA01</v>
          </cell>
          <cell r="E15">
            <v>380</v>
          </cell>
          <cell r="F15">
            <v>0</v>
          </cell>
          <cell r="G15">
            <v>0</v>
          </cell>
          <cell r="H15">
            <v>380</v>
          </cell>
          <cell r="I15">
            <v>0</v>
          </cell>
          <cell r="J15">
            <v>0</v>
          </cell>
          <cell r="K15">
            <v>0</v>
          </cell>
        </row>
        <row r="16">
          <cell r="A16">
            <v>14</v>
          </cell>
          <cell r="B16" t="str">
            <v>AF231017</v>
          </cell>
          <cell r="C16" t="str">
            <v>SEAT ASSEMBLY - PASSENGER :</v>
          </cell>
          <cell r="D16" t="str">
            <v>WA01</v>
          </cell>
          <cell r="E16">
            <v>540</v>
          </cell>
          <cell r="F16">
            <v>0</v>
          </cell>
          <cell r="G16">
            <v>0</v>
          </cell>
          <cell r="H16">
            <v>540</v>
          </cell>
          <cell r="I16">
            <v>0</v>
          </cell>
          <cell r="J16">
            <v>0</v>
          </cell>
          <cell r="K16">
            <v>0</v>
          </cell>
        </row>
        <row r="17">
          <cell r="A17">
            <v>15</v>
          </cell>
          <cell r="B17" t="str">
            <v>AL211002</v>
          </cell>
          <cell r="C17" t="str">
            <v>SEAT ASSEMBLY - DRIVER</v>
          </cell>
          <cell r="D17" t="str">
            <v>WA01</v>
          </cell>
          <cell r="E17">
            <v>2220</v>
          </cell>
          <cell r="F17">
            <v>0</v>
          </cell>
          <cell r="G17">
            <v>0</v>
          </cell>
          <cell r="H17">
            <v>2220</v>
          </cell>
          <cell r="I17">
            <v>0</v>
          </cell>
          <cell r="J17">
            <v>0</v>
          </cell>
          <cell r="K17">
            <v>0</v>
          </cell>
        </row>
        <row r="18">
          <cell r="A18">
            <v>16</v>
          </cell>
          <cell r="B18" t="str">
            <v>AL211006</v>
          </cell>
          <cell r="C18" t="str">
            <v>BACKREST - DRIVER</v>
          </cell>
          <cell r="D18" t="str">
            <v>WA01</v>
          </cell>
          <cell r="E18">
            <v>2300</v>
          </cell>
          <cell r="F18">
            <v>0</v>
          </cell>
          <cell r="G18">
            <v>0</v>
          </cell>
          <cell r="H18">
            <v>2300</v>
          </cell>
          <cell r="I18">
            <v>0</v>
          </cell>
          <cell r="J18">
            <v>0</v>
          </cell>
          <cell r="K18">
            <v>0</v>
          </cell>
        </row>
        <row r="19">
          <cell r="A19">
            <v>17</v>
          </cell>
          <cell r="B19" t="str">
            <v>AM231009</v>
          </cell>
          <cell r="C19" t="str">
            <v>DRIVER SEAT COMPLETE</v>
          </cell>
          <cell r="D19" t="str">
            <v>WA01</v>
          </cell>
          <cell r="E19">
            <v>195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0</v>
          </cell>
          <cell r="K19">
            <v>0</v>
          </cell>
        </row>
        <row r="20">
          <cell r="A20">
            <v>18</v>
          </cell>
          <cell r="B20" t="str">
            <v>DD211015</v>
          </cell>
          <cell r="C20" t="str">
            <v>SEAT ASSEMBLY WITH TEXTURED</v>
          </cell>
          <cell r="D20" t="str">
            <v>WA03</v>
          </cell>
          <cell r="E20">
            <v>20</v>
          </cell>
          <cell r="F20">
            <v>0</v>
          </cell>
          <cell r="G20">
            <v>0</v>
          </cell>
          <cell r="H20">
            <v>20</v>
          </cell>
          <cell r="I20">
            <v>0</v>
          </cell>
          <cell r="J20">
            <v>0</v>
          </cell>
          <cell r="K20">
            <v>0</v>
          </cell>
        </row>
        <row r="21">
          <cell r="A21">
            <v>19</v>
          </cell>
          <cell r="B21" t="str">
            <v>DD211021</v>
          </cell>
          <cell r="C21" t="str">
            <v>SEAT ASSEMBLY+`bajaj' FOR D</v>
          </cell>
          <cell r="D21" t="str">
            <v>WA01</v>
          </cell>
          <cell r="E21">
            <v>14525</v>
          </cell>
          <cell r="F21">
            <v>0</v>
          </cell>
          <cell r="G21">
            <v>0</v>
          </cell>
          <cell r="H21">
            <v>14525</v>
          </cell>
          <cell r="I21">
            <v>0</v>
          </cell>
          <cell r="J21">
            <v>0</v>
          </cell>
          <cell r="K21">
            <v>0</v>
          </cell>
        </row>
        <row r="22">
          <cell r="A22">
            <v>20</v>
          </cell>
          <cell r="B22" t="str">
            <v>DD211021</v>
          </cell>
          <cell r="C22" t="str">
            <v>SEAT ASSEMBLY+`bajaj' FOR D</v>
          </cell>
          <cell r="D22" t="str">
            <v>WA03</v>
          </cell>
          <cell r="E22">
            <v>60</v>
          </cell>
          <cell r="F22">
            <v>0</v>
          </cell>
          <cell r="G22">
            <v>0</v>
          </cell>
          <cell r="H22">
            <v>60</v>
          </cell>
          <cell r="I22">
            <v>0</v>
          </cell>
          <cell r="J22">
            <v>0</v>
          </cell>
          <cell r="K22">
            <v>0</v>
          </cell>
        </row>
        <row r="23">
          <cell r="A23">
            <v>21</v>
          </cell>
          <cell r="B23" t="str">
            <v>DF211033</v>
          </cell>
          <cell r="C23" t="str">
            <v>SEAT ASY.COMP.:BOXER-CT+`ba</v>
          </cell>
          <cell r="D23" t="str">
            <v>WA03</v>
          </cell>
          <cell r="E23">
            <v>60</v>
          </cell>
          <cell r="F23">
            <v>0</v>
          </cell>
          <cell r="G23">
            <v>0</v>
          </cell>
          <cell r="H23">
            <v>60</v>
          </cell>
          <cell r="I23">
            <v>0</v>
          </cell>
          <cell r="J23">
            <v>0</v>
          </cell>
          <cell r="K23">
            <v>0</v>
          </cell>
        </row>
        <row r="24">
          <cell r="A24">
            <v>22</v>
          </cell>
          <cell r="B24" t="str">
            <v>DF211038</v>
          </cell>
          <cell r="C24" t="str">
            <v>SEAT ASY.COMP:FLAT FOAM,W/O</v>
          </cell>
          <cell r="D24" t="str">
            <v>WA01</v>
          </cell>
          <cell r="E24">
            <v>4553</v>
          </cell>
          <cell r="F24">
            <v>0</v>
          </cell>
          <cell r="G24">
            <v>0</v>
          </cell>
          <cell r="H24">
            <v>4553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23</v>
          </cell>
          <cell r="B25" t="str">
            <v>DF211044</v>
          </cell>
          <cell r="C25" t="str">
            <v>SEAT ASY.COMP:BOXR-CT+BAJAJ</v>
          </cell>
          <cell r="D25" t="str">
            <v>WA01</v>
          </cell>
          <cell r="E25">
            <v>779</v>
          </cell>
          <cell r="F25">
            <v>0</v>
          </cell>
          <cell r="G25">
            <v>0</v>
          </cell>
          <cell r="H25">
            <v>779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24</v>
          </cell>
          <cell r="B26" t="str">
            <v>DG211001</v>
          </cell>
          <cell r="C26" t="str">
            <v>SEAT ASSEMBLY</v>
          </cell>
          <cell r="D26" t="str">
            <v>WA01</v>
          </cell>
          <cell r="E26">
            <v>136</v>
          </cell>
          <cell r="F26">
            <v>0</v>
          </cell>
          <cell r="G26">
            <v>0</v>
          </cell>
          <cell r="H26">
            <v>136</v>
          </cell>
          <cell r="I26">
            <v>0</v>
          </cell>
          <cell r="J26">
            <v>0</v>
          </cell>
          <cell r="K26">
            <v>0</v>
          </cell>
        </row>
        <row r="27">
          <cell r="A27">
            <v>25</v>
          </cell>
          <cell r="B27" t="str">
            <v>DG221027</v>
          </cell>
          <cell r="C27" t="str">
            <v>PAD - SEAT</v>
          </cell>
          <cell r="D27" t="str">
            <v>WA01</v>
          </cell>
          <cell r="E27">
            <v>120</v>
          </cell>
          <cell r="F27">
            <v>0</v>
          </cell>
          <cell r="G27">
            <v>0</v>
          </cell>
          <cell r="H27">
            <v>120</v>
          </cell>
          <cell r="I27">
            <v>0</v>
          </cell>
          <cell r="J27">
            <v>0</v>
          </cell>
          <cell r="K27">
            <v>0</v>
          </cell>
        </row>
        <row r="28">
          <cell r="A28">
            <v>26</v>
          </cell>
          <cell r="B28" t="str">
            <v>DM211005</v>
          </cell>
          <cell r="C28" t="str">
            <v>SEAT ASY.COMP.:BOXR-AT:FLAT</v>
          </cell>
          <cell r="D28" t="str">
            <v>WA01</v>
          </cell>
          <cell r="E28">
            <v>4624</v>
          </cell>
          <cell r="F28">
            <v>0</v>
          </cell>
          <cell r="G28">
            <v>0</v>
          </cell>
          <cell r="H28">
            <v>4624</v>
          </cell>
          <cell r="I28">
            <v>0</v>
          </cell>
          <cell r="J28">
            <v>0</v>
          </cell>
          <cell r="K28">
            <v>0</v>
          </cell>
        </row>
        <row r="29">
          <cell r="A29">
            <v>27</v>
          </cell>
          <cell r="B29" t="str">
            <v>DM211006</v>
          </cell>
          <cell r="C29" t="str">
            <v>SEAT ASY+DAMPR:BOXR AT-FLAT</v>
          </cell>
          <cell r="D29" t="str">
            <v>WA03</v>
          </cell>
          <cell r="E29">
            <v>50</v>
          </cell>
          <cell r="F29">
            <v>0</v>
          </cell>
          <cell r="G29">
            <v>0</v>
          </cell>
          <cell r="H29">
            <v>50</v>
          </cell>
          <cell r="I29">
            <v>0</v>
          </cell>
          <cell r="J29">
            <v>0</v>
          </cell>
          <cell r="K29">
            <v>0</v>
          </cell>
        </row>
        <row r="30">
          <cell r="A30">
            <v>28</v>
          </cell>
          <cell r="B30" t="str">
            <v>DP211001</v>
          </cell>
          <cell r="C30" t="str">
            <v>SEAT ASSEMBLY</v>
          </cell>
          <cell r="D30" t="str">
            <v>WA01</v>
          </cell>
          <cell r="E30">
            <v>3130</v>
          </cell>
          <cell r="F30">
            <v>0</v>
          </cell>
          <cell r="G30">
            <v>0</v>
          </cell>
          <cell r="H30">
            <v>3130</v>
          </cell>
          <cell r="I30">
            <v>0</v>
          </cell>
          <cell r="J30">
            <v>0</v>
          </cell>
          <cell r="K30">
            <v>0</v>
          </cell>
        </row>
        <row r="31">
          <cell r="A31">
            <v>29</v>
          </cell>
          <cell r="B31" t="str">
            <v>DF211033</v>
          </cell>
          <cell r="C31" t="str">
            <v>SEAT ASY.COMP.:BOXER-CT+`ba</v>
          </cell>
          <cell r="D31" t="str">
            <v>WA01</v>
          </cell>
          <cell r="E31">
            <v>22975</v>
          </cell>
          <cell r="F31">
            <v>0</v>
          </cell>
          <cell r="G31">
            <v>0</v>
          </cell>
          <cell r="H31">
            <v>22975</v>
          </cell>
          <cell r="I31">
            <v>1</v>
          </cell>
          <cell r="J31">
            <v>44</v>
          </cell>
          <cell r="K31">
            <v>44</v>
          </cell>
          <cell r="L31" t="str">
            <v>Reason not traceble</v>
          </cell>
        </row>
        <row r="32">
          <cell r="A32">
            <v>30</v>
          </cell>
          <cell r="B32">
            <v>24231278</v>
          </cell>
          <cell r="C32" t="str">
            <v>DRIVER SEAT ASSEMBLY- (WHIT</v>
          </cell>
          <cell r="D32" t="str">
            <v>WA01</v>
          </cell>
          <cell r="E32">
            <v>1140</v>
          </cell>
          <cell r="F32">
            <v>0</v>
          </cell>
          <cell r="G32">
            <v>0</v>
          </cell>
          <cell r="H32">
            <v>1140</v>
          </cell>
          <cell r="I32">
            <v>2</v>
          </cell>
          <cell r="J32">
            <v>1754</v>
          </cell>
          <cell r="K32">
            <v>1754</v>
          </cell>
          <cell r="L32" t="str">
            <v>Plate assly found pressed in plywood</v>
          </cell>
          <cell r="M32" t="str">
            <v>100 %inspection with tick mark started</v>
          </cell>
        </row>
        <row r="33">
          <cell r="A33">
            <v>31</v>
          </cell>
          <cell r="B33" t="str">
            <v>DF211003</v>
          </cell>
          <cell r="C33" t="str">
            <v>SEAT REAR WITH DAMPER</v>
          </cell>
          <cell r="D33" t="str">
            <v>WA01</v>
          </cell>
          <cell r="E33">
            <v>125</v>
          </cell>
          <cell r="F33">
            <v>0</v>
          </cell>
          <cell r="G33">
            <v>0</v>
          </cell>
          <cell r="H33">
            <v>125</v>
          </cell>
          <cell r="I33">
            <v>12</v>
          </cell>
          <cell r="J33">
            <v>96000</v>
          </cell>
          <cell r="K33">
            <v>96000</v>
          </cell>
          <cell r="L33" t="str">
            <v>Not traceble at BAL</v>
          </cell>
        </row>
        <row r="34">
          <cell r="E34">
            <v>94146</v>
          </cell>
          <cell r="F34">
            <v>0</v>
          </cell>
          <cell r="G34">
            <v>0</v>
          </cell>
          <cell r="H34">
            <v>94146</v>
          </cell>
          <cell r="I34">
            <v>15</v>
          </cell>
          <cell r="J34">
            <v>159.32700274042443</v>
          </cell>
          <cell r="K34">
            <v>159.32700274042443</v>
          </cell>
        </row>
        <row r="35">
          <cell r="B35" t="str">
            <v>OVERALL PPM</v>
          </cell>
          <cell r="E35">
            <v>94146</v>
          </cell>
          <cell r="F35">
            <v>0</v>
          </cell>
          <cell r="G35">
            <v>0</v>
          </cell>
          <cell r="H35">
            <v>94146</v>
          </cell>
          <cell r="I35">
            <v>15</v>
          </cell>
          <cell r="J35">
            <v>159</v>
          </cell>
          <cell r="K35">
            <v>159</v>
          </cell>
        </row>
        <row r="37">
          <cell r="B37" t="str">
            <v>SIGMA LEVEL</v>
          </cell>
          <cell r="G37">
            <v>6</v>
          </cell>
          <cell r="J37">
            <v>5</v>
          </cell>
          <cell r="K37">
            <v>5</v>
          </cell>
        </row>
        <row r="39">
          <cell r="C39" t="str">
            <v>Legend</v>
          </cell>
          <cell r="E39" t="str">
            <v>Indicates 100% rating - Zero PPM</v>
          </cell>
        </row>
        <row r="40">
          <cell r="E40" t="str">
            <v>Indicates action taken and implemented</v>
          </cell>
        </row>
        <row r="41">
          <cell r="E41" t="str">
            <v>Indicates action under process</v>
          </cell>
        </row>
        <row r="42">
          <cell r="E42" t="str">
            <v>Indicates development rejection.</v>
          </cell>
        </row>
        <row r="43">
          <cell r="E43" t="str">
            <v>Indicates BAL problem.</v>
          </cell>
        </row>
      </sheetData>
      <sheetData sheetId="1">
        <row r="2">
          <cell r="C2" t="str">
            <v>VARROC ENGINEERING PRIVATE LIMITED</v>
          </cell>
          <cell r="G2">
            <v>100254</v>
          </cell>
          <cell r="M2" t="str">
            <v>JAN-04 VEPL PLANT 1</v>
          </cell>
        </row>
        <row r="3">
          <cell r="A3" t="str">
            <v xml:space="preserve"> SRL</v>
          </cell>
          <cell r="B3" t="str">
            <v>MATERIAL</v>
          </cell>
          <cell r="C3" t="str">
            <v>MATERIAL DESCRIPTION</v>
          </cell>
          <cell r="D3" t="str">
            <v>Plant</v>
          </cell>
          <cell r="E3" t="str">
            <v>RECD QTY</v>
          </cell>
          <cell r="F3" t="str">
            <v>GR REJ QTY</v>
          </cell>
          <cell r="G3" t="str">
            <v>GR RJ PPM</v>
          </cell>
          <cell r="H3" t="str">
            <v>ACCEP_QTY</v>
          </cell>
          <cell r="I3" t="str">
            <v>LR RJ QTY</v>
          </cell>
          <cell r="J3" t="str">
            <v>LR RJ PPM</v>
          </cell>
          <cell r="K3" t="str">
            <v xml:space="preserve">  TOTAL</v>
          </cell>
          <cell r="L3" t="str">
            <v>REASON</v>
          </cell>
          <cell r="M3" t="str">
            <v>ACTION PLAN</v>
          </cell>
          <cell r="N3" t="str">
            <v>IMMPLEMENTATION DATE</v>
          </cell>
          <cell r="O3" t="str">
            <v>REMARK</v>
          </cell>
        </row>
        <row r="4">
          <cell r="A4">
            <v>1</v>
          </cell>
          <cell r="B4">
            <v>5191005</v>
          </cell>
          <cell r="C4" t="str">
            <v>SUPPORT</v>
          </cell>
          <cell r="D4" t="str">
            <v>AK01</v>
          </cell>
          <cell r="E4">
            <v>8000</v>
          </cell>
          <cell r="F4">
            <v>0</v>
          </cell>
          <cell r="G4">
            <v>0</v>
          </cell>
          <cell r="H4">
            <v>8000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2</v>
          </cell>
          <cell r="B5">
            <v>5191005</v>
          </cell>
          <cell r="C5" t="str">
            <v>SUPPORT</v>
          </cell>
          <cell r="D5" t="str">
            <v>WA01</v>
          </cell>
          <cell r="E5">
            <v>7000</v>
          </cell>
          <cell r="F5">
            <v>0</v>
          </cell>
          <cell r="G5">
            <v>0</v>
          </cell>
          <cell r="H5">
            <v>7000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3</v>
          </cell>
          <cell r="B6">
            <v>6151036</v>
          </cell>
          <cell r="C6" t="str">
            <v>COVER - WHEEL</v>
          </cell>
          <cell r="D6" t="str">
            <v>AK01</v>
          </cell>
          <cell r="E6">
            <v>11008</v>
          </cell>
          <cell r="F6">
            <v>0</v>
          </cell>
          <cell r="G6">
            <v>0</v>
          </cell>
          <cell r="H6">
            <v>11008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4</v>
          </cell>
          <cell r="B7">
            <v>6161238</v>
          </cell>
          <cell r="C7" t="str">
            <v>MATTING - CENTRAL</v>
          </cell>
          <cell r="D7" t="str">
            <v>AK01</v>
          </cell>
          <cell r="E7">
            <v>2050</v>
          </cell>
          <cell r="F7">
            <v>0</v>
          </cell>
          <cell r="G7">
            <v>0</v>
          </cell>
          <cell r="H7">
            <v>2050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5</v>
          </cell>
          <cell r="B8">
            <v>6161239</v>
          </cell>
          <cell r="C8" t="str">
            <v>MATTING - RIGHT HAND</v>
          </cell>
          <cell r="D8" t="str">
            <v>AK01</v>
          </cell>
          <cell r="E8">
            <v>2050</v>
          </cell>
          <cell r="F8">
            <v>0</v>
          </cell>
          <cell r="G8">
            <v>0</v>
          </cell>
          <cell r="H8">
            <v>2050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6</v>
          </cell>
          <cell r="B9">
            <v>6161361</v>
          </cell>
          <cell r="C9" t="str">
            <v>NOSE</v>
          </cell>
          <cell r="D9" t="str">
            <v>AK01</v>
          </cell>
          <cell r="E9">
            <v>1000</v>
          </cell>
          <cell r="F9">
            <v>0</v>
          </cell>
          <cell r="G9">
            <v>0</v>
          </cell>
          <cell r="H9">
            <v>1000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7</v>
          </cell>
          <cell r="B10">
            <v>6161362</v>
          </cell>
          <cell r="C10" t="str">
            <v>GRILL FOR NOSE</v>
          </cell>
          <cell r="D10" t="str">
            <v>AK01</v>
          </cell>
          <cell r="E10">
            <v>5240</v>
          </cell>
          <cell r="F10">
            <v>0</v>
          </cell>
          <cell r="G10">
            <v>0</v>
          </cell>
          <cell r="H10">
            <v>5240</v>
          </cell>
          <cell r="I10">
            <v>0</v>
          </cell>
          <cell r="J10">
            <v>0</v>
          </cell>
          <cell r="K10">
            <v>0</v>
          </cell>
        </row>
        <row r="11">
          <cell r="A11">
            <v>8</v>
          </cell>
          <cell r="B11">
            <v>6191061</v>
          </cell>
          <cell r="C11" t="str">
            <v>LUBRICATOR ASSEMBLY</v>
          </cell>
          <cell r="D11" t="str">
            <v>AK01</v>
          </cell>
          <cell r="E11">
            <v>8000</v>
          </cell>
          <cell r="F11">
            <v>0</v>
          </cell>
          <cell r="G11">
            <v>0</v>
          </cell>
          <cell r="H11">
            <v>8000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9</v>
          </cell>
          <cell r="B12">
            <v>6191061</v>
          </cell>
          <cell r="C12" t="str">
            <v>LUBRICATOR ASSEMBLY</v>
          </cell>
          <cell r="D12" t="str">
            <v>WA01</v>
          </cell>
          <cell r="E12">
            <v>12000</v>
          </cell>
          <cell r="F12">
            <v>0</v>
          </cell>
          <cell r="G12">
            <v>0</v>
          </cell>
          <cell r="H12">
            <v>12000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10</v>
          </cell>
          <cell r="B13">
            <v>6191089</v>
          </cell>
          <cell r="C13" t="str">
            <v>GRIP - HAND FOR CLASSIC</v>
          </cell>
          <cell r="D13" t="str">
            <v>WA01</v>
          </cell>
          <cell r="E13">
            <v>5000</v>
          </cell>
          <cell r="F13">
            <v>0</v>
          </cell>
          <cell r="G13">
            <v>0</v>
          </cell>
          <cell r="H13">
            <v>5000</v>
          </cell>
          <cell r="I13">
            <v>0</v>
          </cell>
          <cell r="J13">
            <v>0</v>
          </cell>
          <cell r="K13">
            <v>0</v>
          </cell>
        </row>
        <row r="14">
          <cell r="A14">
            <v>11</v>
          </cell>
          <cell r="B14">
            <v>8161028</v>
          </cell>
          <cell r="C14" t="str">
            <v>MATTING - LEFT HAND :- COLO</v>
          </cell>
          <cell r="D14" t="str">
            <v>AK01</v>
          </cell>
          <cell r="E14">
            <v>2050</v>
          </cell>
          <cell r="F14">
            <v>0</v>
          </cell>
          <cell r="G14">
            <v>0</v>
          </cell>
          <cell r="H14">
            <v>2050</v>
          </cell>
          <cell r="I14">
            <v>0</v>
          </cell>
          <cell r="J14">
            <v>0</v>
          </cell>
          <cell r="K14">
            <v>0</v>
          </cell>
        </row>
        <row r="15">
          <cell r="A15">
            <v>12</v>
          </cell>
          <cell r="B15">
            <v>18121036</v>
          </cell>
          <cell r="C15" t="str">
            <v>ELEMENT - FILTER</v>
          </cell>
          <cell r="D15" t="str">
            <v>WA03</v>
          </cell>
          <cell r="E15">
            <v>450</v>
          </cell>
          <cell r="F15">
            <v>0</v>
          </cell>
          <cell r="G15">
            <v>0</v>
          </cell>
          <cell r="H15">
            <v>450</v>
          </cell>
          <cell r="I15">
            <v>0</v>
          </cell>
          <cell r="J15">
            <v>0</v>
          </cell>
          <cell r="K15">
            <v>0</v>
          </cell>
        </row>
        <row r="16">
          <cell r="A16">
            <v>13</v>
          </cell>
          <cell r="B16">
            <v>22231078</v>
          </cell>
          <cell r="C16" t="str">
            <v>PANEL SIDE COVER RIGHT HAND</v>
          </cell>
          <cell r="D16" t="str">
            <v>WA01</v>
          </cell>
          <cell r="E16">
            <v>600</v>
          </cell>
          <cell r="F16">
            <v>0</v>
          </cell>
          <cell r="G16">
            <v>0</v>
          </cell>
          <cell r="H16">
            <v>600</v>
          </cell>
          <cell r="I16">
            <v>0</v>
          </cell>
          <cell r="J16">
            <v>0</v>
          </cell>
          <cell r="K16">
            <v>0</v>
          </cell>
        </row>
        <row r="17">
          <cell r="A17">
            <v>14</v>
          </cell>
          <cell r="B17">
            <v>22231079</v>
          </cell>
          <cell r="C17" t="str">
            <v>PANEL SIDE COVER LEFT HAND</v>
          </cell>
          <cell r="D17" t="str">
            <v>WA01</v>
          </cell>
          <cell r="E17">
            <v>700</v>
          </cell>
          <cell r="F17">
            <v>0</v>
          </cell>
          <cell r="G17">
            <v>0</v>
          </cell>
          <cell r="H17">
            <v>700</v>
          </cell>
          <cell r="I17">
            <v>0</v>
          </cell>
          <cell r="J17">
            <v>0</v>
          </cell>
          <cell r="K17">
            <v>0</v>
          </cell>
        </row>
        <row r="18">
          <cell r="A18">
            <v>15</v>
          </cell>
          <cell r="B18">
            <v>22231140</v>
          </cell>
          <cell r="C18" t="str">
            <v>GLASS - SIDE :- RIGHT HAND</v>
          </cell>
          <cell r="D18" t="str">
            <v>WA01</v>
          </cell>
          <cell r="E18">
            <v>23200</v>
          </cell>
          <cell r="F18">
            <v>0</v>
          </cell>
          <cell r="G18">
            <v>0</v>
          </cell>
          <cell r="H18">
            <v>23200</v>
          </cell>
          <cell r="I18">
            <v>0</v>
          </cell>
          <cell r="J18">
            <v>0</v>
          </cell>
          <cell r="K18">
            <v>0</v>
          </cell>
        </row>
        <row r="19">
          <cell r="A19">
            <v>16</v>
          </cell>
          <cell r="B19">
            <v>22231141</v>
          </cell>
          <cell r="C19" t="str">
            <v>GLASS - SIDE FOR LEFT HAND</v>
          </cell>
          <cell r="D19" t="str">
            <v>WA01</v>
          </cell>
          <cell r="E19">
            <v>22500</v>
          </cell>
          <cell r="F19">
            <v>0</v>
          </cell>
          <cell r="G19">
            <v>0</v>
          </cell>
          <cell r="H19">
            <v>22500</v>
          </cell>
          <cell r="I19">
            <v>0</v>
          </cell>
          <cell r="J19">
            <v>0</v>
          </cell>
          <cell r="K19">
            <v>0</v>
          </cell>
        </row>
        <row r="20">
          <cell r="A20">
            <v>17</v>
          </cell>
          <cell r="B20">
            <v>22231282</v>
          </cell>
          <cell r="C20" t="str">
            <v>HOOD COMPLETE</v>
          </cell>
          <cell r="D20" t="str">
            <v>WA01</v>
          </cell>
          <cell r="E20">
            <v>819</v>
          </cell>
          <cell r="F20">
            <v>0</v>
          </cell>
          <cell r="G20">
            <v>0</v>
          </cell>
          <cell r="H20">
            <v>819</v>
          </cell>
          <cell r="I20">
            <v>0</v>
          </cell>
          <cell r="J20">
            <v>0</v>
          </cell>
          <cell r="K20">
            <v>0</v>
          </cell>
        </row>
        <row r="21">
          <cell r="A21">
            <v>18</v>
          </cell>
          <cell r="B21">
            <v>24130128</v>
          </cell>
          <cell r="C21" t="str">
            <v>DIP-STICK</v>
          </cell>
          <cell r="D21" t="str">
            <v>WA03</v>
          </cell>
          <cell r="E21">
            <v>700</v>
          </cell>
          <cell r="F21">
            <v>0</v>
          </cell>
          <cell r="G21">
            <v>0</v>
          </cell>
          <cell r="H21">
            <v>700</v>
          </cell>
          <cell r="I21">
            <v>0</v>
          </cell>
          <cell r="J21">
            <v>0</v>
          </cell>
          <cell r="K21">
            <v>0</v>
          </cell>
        </row>
        <row r="22">
          <cell r="A22">
            <v>19</v>
          </cell>
          <cell r="B22">
            <v>24141055</v>
          </cell>
          <cell r="C22" t="str">
            <v>LEVER - PETROL COCK</v>
          </cell>
          <cell r="D22" t="str">
            <v>WA01</v>
          </cell>
          <cell r="E22">
            <v>13350</v>
          </cell>
          <cell r="F22">
            <v>0</v>
          </cell>
          <cell r="G22">
            <v>0</v>
          </cell>
          <cell r="H22">
            <v>13350</v>
          </cell>
          <cell r="I22">
            <v>0</v>
          </cell>
          <cell r="J22">
            <v>0</v>
          </cell>
          <cell r="K22">
            <v>0</v>
          </cell>
        </row>
        <row r="23">
          <cell r="A23">
            <v>20</v>
          </cell>
          <cell r="B23">
            <v>24141058</v>
          </cell>
          <cell r="C23" t="str">
            <v>PIPE - FUEL FOR EXPORT</v>
          </cell>
          <cell r="D23" t="str">
            <v>WA03</v>
          </cell>
          <cell r="E23">
            <v>5700</v>
          </cell>
          <cell r="F23">
            <v>0</v>
          </cell>
          <cell r="G23">
            <v>0</v>
          </cell>
          <cell r="H23">
            <v>5700</v>
          </cell>
          <cell r="I23">
            <v>0</v>
          </cell>
          <cell r="J23">
            <v>0</v>
          </cell>
          <cell r="K23">
            <v>0</v>
          </cell>
        </row>
        <row r="24">
          <cell r="A24">
            <v>21</v>
          </cell>
          <cell r="B24">
            <v>24171076</v>
          </cell>
          <cell r="C24" t="str">
            <v>BELLOW FOR PROPELLER SHAFT</v>
          </cell>
          <cell r="D24" t="str">
            <v>WA01</v>
          </cell>
          <cell r="E24">
            <v>480</v>
          </cell>
          <cell r="F24">
            <v>0</v>
          </cell>
          <cell r="G24">
            <v>0</v>
          </cell>
          <cell r="H24">
            <v>480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22</v>
          </cell>
          <cell r="B25">
            <v>24190225</v>
          </cell>
          <cell r="C25" t="str">
            <v>TUBE - P V C</v>
          </cell>
          <cell r="D25" t="str">
            <v>WA01</v>
          </cell>
          <cell r="E25">
            <v>16000</v>
          </cell>
          <cell r="F25">
            <v>0</v>
          </cell>
          <cell r="G25">
            <v>0</v>
          </cell>
          <cell r="H25">
            <v>16000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23</v>
          </cell>
          <cell r="B26">
            <v>24230321</v>
          </cell>
          <cell r="C26" t="str">
            <v>COVER - SIDE PANEL :- RH</v>
          </cell>
          <cell r="D26" t="str">
            <v>WA01</v>
          </cell>
          <cell r="E26">
            <v>15200</v>
          </cell>
          <cell r="F26">
            <v>0</v>
          </cell>
          <cell r="G26">
            <v>0</v>
          </cell>
          <cell r="H26">
            <v>15200</v>
          </cell>
          <cell r="I26">
            <v>0</v>
          </cell>
          <cell r="J26">
            <v>0</v>
          </cell>
          <cell r="K26">
            <v>0</v>
          </cell>
        </row>
        <row r="27">
          <cell r="A27">
            <v>24</v>
          </cell>
          <cell r="B27">
            <v>24230322</v>
          </cell>
          <cell r="C27" t="str">
            <v>COVER - SIDE PANEL :- LH</v>
          </cell>
          <cell r="D27" t="str">
            <v>WA01</v>
          </cell>
          <cell r="E27">
            <v>15200</v>
          </cell>
          <cell r="F27">
            <v>0</v>
          </cell>
          <cell r="G27">
            <v>0</v>
          </cell>
          <cell r="H27">
            <v>15200</v>
          </cell>
          <cell r="I27">
            <v>0</v>
          </cell>
          <cell r="J27">
            <v>0</v>
          </cell>
          <cell r="K27">
            <v>0</v>
          </cell>
        </row>
        <row r="28">
          <cell r="A28">
            <v>25</v>
          </cell>
          <cell r="B28">
            <v>24231219</v>
          </cell>
          <cell r="C28" t="str">
            <v>HOOD COMPLETE FOR EXPORT-WH</v>
          </cell>
          <cell r="D28" t="str">
            <v>WA01</v>
          </cell>
          <cell r="E28">
            <v>216</v>
          </cell>
          <cell r="F28">
            <v>0</v>
          </cell>
          <cell r="G28">
            <v>0</v>
          </cell>
          <cell r="H28">
            <v>216</v>
          </cell>
          <cell r="I28">
            <v>0</v>
          </cell>
          <cell r="J28">
            <v>0</v>
          </cell>
          <cell r="K28">
            <v>0</v>
          </cell>
        </row>
        <row r="29">
          <cell r="A29">
            <v>26</v>
          </cell>
          <cell r="B29">
            <v>24231223</v>
          </cell>
          <cell r="C29" t="str">
            <v>HOOD COMPLETE ( YELLOW)</v>
          </cell>
          <cell r="D29" t="str">
            <v>WA01</v>
          </cell>
          <cell r="E29">
            <v>225</v>
          </cell>
          <cell r="F29">
            <v>0</v>
          </cell>
          <cell r="G29">
            <v>0</v>
          </cell>
          <cell r="H29">
            <v>225</v>
          </cell>
          <cell r="I29">
            <v>0</v>
          </cell>
          <cell r="J29">
            <v>0</v>
          </cell>
          <cell r="K29">
            <v>0</v>
          </cell>
        </row>
        <row r="30">
          <cell r="A30">
            <v>27</v>
          </cell>
          <cell r="B30">
            <v>24231245</v>
          </cell>
          <cell r="C30" t="str">
            <v>KNOB FOR REAR DOOR</v>
          </cell>
          <cell r="D30" t="str">
            <v>WA03</v>
          </cell>
          <cell r="E30">
            <v>1940</v>
          </cell>
          <cell r="F30">
            <v>0</v>
          </cell>
          <cell r="G30">
            <v>0</v>
          </cell>
          <cell r="H30">
            <v>1940</v>
          </cell>
          <cell r="I30">
            <v>0</v>
          </cell>
          <cell r="J30">
            <v>0</v>
          </cell>
          <cell r="K30">
            <v>0</v>
          </cell>
        </row>
        <row r="31">
          <cell r="A31">
            <v>28</v>
          </cell>
          <cell r="B31">
            <v>24231256</v>
          </cell>
          <cell r="C31" t="str">
            <v>HOOD COMPLETE</v>
          </cell>
          <cell r="D31" t="str">
            <v>WA01</v>
          </cell>
          <cell r="E31">
            <v>5706</v>
          </cell>
          <cell r="F31">
            <v>0</v>
          </cell>
          <cell r="G31">
            <v>0</v>
          </cell>
          <cell r="H31">
            <v>5706</v>
          </cell>
          <cell r="I31">
            <v>0</v>
          </cell>
          <cell r="J31">
            <v>0</v>
          </cell>
          <cell r="K31">
            <v>0</v>
          </cell>
        </row>
        <row r="32">
          <cell r="A32">
            <v>29</v>
          </cell>
          <cell r="B32">
            <v>24231269</v>
          </cell>
          <cell r="C32" t="str">
            <v>HOOD COMPLETE (BROWN)</v>
          </cell>
          <cell r="D32" t="str">
            <v>WA01</v>
          </cell>
          <cell r="E32">
            <v>4414</v>
          </cell>
          <cell r="F32">
            <v>0</v>
          </cell>
          <cell r="G32">
            <v>0</v>
          </cell>
          <cell r="H32">
            <v>4414</v>
          </cell>
          <cell r="I32">
            <v>0</v>
          </cell>
          <cell r="J32">
            <v>0</v>
          </cell>
          <cell r="K32">
            <v>0</v>
          </cell>
        </row>
        <row r="33">
          <cell r="A33">
            <v>30</v>
          </cell>
          <cell r="B33">
            <v>28121019</v>
          </cell>
          <cell r="C33" t="str">
            <v>GUIDE (DUCT)</v>
          </cell>
          <cell r="D33" t="str">
            <v>AK01</v>
          </cell>
          <cell r="E33">
            <v>2050</v>
          </cell>
          <cell r="F33">
            <v>0</v>
          </cell>
          <cell r="G33">
            <v>0</v>
          </cell>
          <cell r="H33">
            <v>2050</v>
          </cell>
          <cell r="I33">
            <v>0</v>
          </cell>
          <cell r="J33">
            <v>0</v>
          </cell>
          <cell r="K33">
            <v>0</v>
          </cell>
        </row>
        <row r="34">
          <cell r="A34">
            <v>31</v>
          </cell>
          <cell r="B34">
            <v>28121021</v>
          </cell>
          <cell r="C34" t="str">
            <v>BELLOW</v>
          </cell>
          <cell r="D34" t="str">
            <v>AK03</v>
          </cell>
          <cell r="E34">
            <v>520</v>
          </cell>
          <cell r="F34">
            <v>0</v>
          </cell>
          <cell r="G34">
            <v>0</v>
          </cell>
          <cell r="H34">
            <v>520</v>
          </cell>
          <cell r="I34">
            <v>0</v>
          </cell>
          <cell r="J34">
            <v>0</v>
          </cell>
          <cell r="K34">
            <v>0</v>
          </cell>
        </row>
        <row r="35">
          <cell r="A35">
            <v>32</v>
          </cell>
          <cell r="B35">
            <v>28161067</v>
          </cell>
          <cell r="C35" t="str">
            <v>NOSE</v>
          </cell>
          <cell r="D35" t="str">
            <v>AK01</v>
          </cell>
          <cell r="E35">
            <v>102</v>
          </cell>
          <cell r="F35">
            <v>0</v>
          </cell>
          <cell r="G35">
            <v>0</v>
          </cell>
          <cell r="H35">
            <v>102</v>
          </cell>
          <cell r="I35">
            <v>0</v>
          </cell>
          <cell r="J35">
            <v>0</v>
          </cell>
          <cell r="K35">
            <v>0</v>
          </cell>
        </row>
        <row r="36">
          <cell r="A36">
            <v>33</v>
          </cell>
          <cell r="B36">
            <v>30121086</v>
          </cell>
          <cell r="C36" t="str">
            <v>ELEMENT</v>
          </cell>
          <cell r="D36" t="str">
            <v>WA03</v>
          </cell>
          <cell r="E36">
            <v>500</v>
          </cell>
          <cell r="F36">
            <v>0</v>
          </cell>
          <cell r="G36">
            <v>0</v>
          </cell>
          <cell r="H36">
            <v>500</v>
          </cell>
          <cell r="I36">
            <v>0</v>
          </cell>
          <cell r="J36">
            <v>0</v>
          </cell>
          <cell r="K36">
            <v>0</v>
          </cell>
        </row>
        <row r="37">
          <cell r="A37">
            <v>34</v>
          </cell>
          <cell r="B37">
            <v>31101063</v>
          </cell>
          <cell r="C37" t="str">
            <v>CAP - OIL FILLER</v>
          </cell>
          <cell r="D37" t="str">
            <v>WA03</v>
          </cell>
          <cell r="E37">
            <v>1800</v>
          </cell>
          <cell r="F37">
            <v>0</v>
          </cell>
          <cell r="G37">
            <v>0</v>
          </cell>
          <cell r="H37">
            <v>1800</v>
          </cell>
          <cell r="I37">
            <v>0</v>
          </cell>
          <cell r="J37">
            <v>0</v>
          </cell>
          <cell r="K37">
            <v>0</v>
          </cell>
        </row>
        <row r="38">
          <cell r="A38">
            <v>35</v>
          </cell>
          <cell r="B38">
            <v>31101108</v>
          </cell>
          <cell r="C38" t="str">
            <v>DAMPER</v>
          </cell>
          <cell r="D38" t="str">
            <v>WA01</v>
          </cell>
          <cell r="E38">
            <v>49000</v>
          </cell>
          <cell r="F38">
            <v>0</v>
          </cell>
          <cell r="G38">
            <v>0</v>
          </cell>
          <cell r="H38">
            <v>49000</v>
          </cell>
          <cell r="I38">
            <v>0</v>
          </cell>
          <cell r="J38">
            <v>0</v>
          </cell>
          <cell r="K38">
            <v>0</v>
          </cell>
        </row>
        <row r="39">
          <cell r="A39">
            <v>36</v>
          </cell>
          <cell r="B39">
            <v>31101175</v>
          </cell>
          <cell r="C39" t="str">
            <v>INSULATOR</v>
          </cell>
          <cell r="D39" t="str">
            <v>WA03</v>
          </cell>
          <cell r="E39">
            <v>800</v>
          </cell>
          <cell r="F39">
            <v>0</v>
          </cell>
          <cell r="G39">
            <v>0</v>
          </cell>
          <cell r="H39">
            <v>800</v>
          </cell>
          <cell r="I39">
            <v>0</v>
          </cell>
          <cell r="J39">
            <v>0</v>
          </cell>
          <cell r="K39">
            <v>0</v>
          </cell>
        </row>
        <row r="40">
          <cell r="A40">
            <v>37</v>
          </cell>
          <cell r="B40">
            <v>31121016</v>
          </cell>
          <cell r="C40" t="str">
            <v>FILTER ASSEMBLY - AIR</v>
          </cell>
          <cell r="D40" t="str">
            <v>WA01</v>
          </cell>
          <cell r="E40">
            <v>4464</v>
          </cell>
          <cell r="F40">
            <v>0</v>
          </cell>
          <cell r="G40">
            <v>0</v>
          </cell>
          <cell r="H40">
            <v>4464</v>
          </cell>
          <cell r="I40">
            <v>0</v>
          </cell>
          <cell r="J40">
            <v>0</v>
          </cell>
          <cell r="K40">
            <v>0</v>
          </cell>
        </row>
        <row r="41">
          <cell r="A41">
            <v>38</v>
          </cell>
          <cell r="B41">
            <v>31121016</v>
          </cell>
          <cell r="C41" t="str">
            <v>FILTER ASSEMBLY - AIR</v>
          </cell>
          <cell r="D41" t="str">
            <v>WA03</v>
          </cell>
          <cell r="E41">
            <v>100</v>
          </cell>
          <cell r="F41">
            <v>0</v>
          </cell>
          <cell r="G41">
            <v>0</v>
          </cell>
          <cell r="H41">
            <v>100</v>
          </cell>
          <cell r="I41">
            <v>0</v>
          </cell>
          <cell r="J41">
            <v>0</v>
          </cell>
          <cell r="K41">
            <v>0</v>
          </cell>
        </row>
        <row r="42">
          <cell r="A42">
            <v>39</v>
          </cell>
          <cell r="B42">
            <v>31121028</v>
          </cell>
          <cell r="C42" t="str">
            <v>DUCT</v>
          </cell>
          <cell r="D42" t="str">
            <v>WA03</v>
          </cell>
          <cell r="E42">
            <v>380</v>
          </cell>
          <cell r="F42">
            <v>0</v>
          </cell>
          <cell r="G42">
            <v>0</v>
          </cell>
          <cell r="H42">
            <v>380</v>
          </cell>
          <cell r="I42">
            <v>0</v>
          </cell>
          <cell r="J42">
            <v>0</v>
          </cell>
          <cell r="K42">
            <v>0</v>
          </cell>
        </row>
        <row r="43">
          <cell r="A43">
            <v>40</v>
          </cell>
          <cell r="B43">
            <v>31121029</v>
          </cell>
          <cell r="C43" t="str">
            <v>ELEMENT - AIR FILTER</v>
          </cell>
          <cell r="D43" t="str">
            <v>WA03</v>
          </cell>
          <cell r="E43">
            <v>9090</v>
          </cell>
          <cell r="F43">
            <v>0</v>
          </cell>
          <cell r="G43">
            <v>0</v>
          </cell>
          <cell r="H43">
            <v>9090</v>
          </cell>
          <cell r="I43">
            <v>0</v>
          </cell>
          <cell r="J43">
            <v>0</v>
          </cell>
          <cell r="K43">
            <v>0</v>
          </cell>
        </row>
        <row r="44">
          <cell r="A44">
            <v>41</v>
          </cell>
          <cell r="B44">
            <v>31121050</v>
          </cell>
          <cell r="C44" t="str">
            <v>TUBE (AIR VENT)</v>
          </cell>
          <cell r="D44" t="str">
            <v>WA03</v>
          </cell>
          <cell r="E44">
            <v>1200</v>
          </cell>
          <cell r="F44">
            <v>0</v>
          </cell>
          <cell r="G44">
            <v>0</v>
          </cell>
          <cell r="H44">
            <v>1200</v>
          </cell>
          <cell r="I44">
            <v>0</v>
          </cell>
          <cell r="J44">
            <v>0</v>
          </cell>
          <cell r="K44">
            <v>0</v>
          </cell>
        </row>
        <row r="45">
          <cell r="A45">
            <v>42</v>
          </cell>
          <cell r="B45">
            <v>31121051</v>
          </cell>
          <cell r="C45" t="str">
            <v>TUBE :- FUEL FILTER TO CARB</v>
          </cell>
          <cell r="D45" t="str">
            <v>WA03</v>
          </cell>
          <cell r="E45">
            <v>110</v>
          </cell>
          <cell r="F45">
            <v>0</v>
          </cell>
          <cell r="G45">
            <v>0</v>
          </cell>
          <cell r="H45">
            <v>110</v>
          </cell>
          <cell r="I45">
            <v>0</v>
          </cell>
          <cell r="J45">
            <v>0</v>
          </cell>
          <cell r="K45">
            <v>0</v>
          </cell>
        </row>
        <row r="46">
          <cell r="A46">
            <v>43</v>
          </cell>
          <cell r="B46">
            <v>31121087</v>
          </cell>
          <cell r="C46" t="str">
            <v>TUBE - OVERFLOW</v>
          </cell>
          <cell r="D46" t="str">
            <v>WA01</v>
          </cell>
          <cell r="E46">
            <v>51000</v>
          </cell>
          <cell r="F46">
            <v>0</v>
          </cell>
          <cell r="G46">
            <v>0</v>
          </cell>
          <cell r="H46">
            <v>51000</v>
          </cell>
          <cell r="I46">
            <v>0</v>
          </cell>
          <cell r="J46">
            <v>0</v>
          </cell>
          <cell r="K46">
            <v>0</v>
          </cell>
        </row>
        <row r="47">
          <cell r="A47">
            <v>44</v>
          </cell>
          <cell r="B47">
            <v>31121087</v>
          </cell>
          <cell r="C47" t="str">
            <v>TUBE - OVERFLOW</v>
          </cell>
          <cell r="D47" t="str">
            <v>WA03</v>
          </cell>
          <cell r="E47">
            <v>900</v>
          </cell>
          <cell r="F47">
            <v>0</v>
          </cell>
          <cell r="G47">
            <v>0</v>
          </cell>
          <cell r="H47">
            <v>900</v>
          </cell>
          <cell r="I47">
            <v>0</v>
          </cell>
          <cell r="J47">
            <v>0</v>
          </cell>
          <cell r="K47">
            <v>0</v>
          </cell>
        </row>
        <row r="48">
          <cell r="A48">
            <v>45</v>
          </cell>
          <cell r="B48">
            <v>31141007</v>
          </cell>
          <cell r="C48" t="str">
            <v>TUBE</v>
          </cell>
          <cell r="D48" t="str">
            <v>WA03</v>
          </cell>
          <cell r="E48">
            <v>296</v>
          </cell>
          <cell r="F48">
            <v>0</v>
          </cell>
          <cell r="G48">
            <v>0</v>
          </cell>
          <cell r="H48">
            <v>296</v>
          </cell>
          <cell r="I48">
            <v>0</v>
          </cell>
          <cell r="J48">
            <v>0</v>
          </cell>
          <cell r="K48">
            <v>0</v>
          </cell>
        </row>
        <row r="49">
          <cell r="A49">
            <v>46</v>
          </cell>
          <cell r="B49">
            <v>31161242</v>
          </cell>
          <cell r="C49" t="str">
            <v>COVER - SEAT :- LEFT HAND</v>
          </cell>
          <cell r="D49" t="str">
            <v>WA01</v>
          </cell>
          <cell r="E49">
            <v>152</v>
          </cell>
          <cell r="F49">
            <v>0</v>
          </cell>
          <cell r="G49">
            <v>0</v>
          </cell>
          <cell r="H49">
            <v>152</v>
          </cell>
          <cell r="I49">
            <v>0</v>
          </cell>
          <cell r="J49">
            <v>0</v>
          </cell>
          <cell r="K49">
            <v>0</v>
          </cell>
        </row>
        <row r="50">
          <cell r="A50">
            <v>47</v>
          </cell>
          <cell r="B50">
            <v>31161243</v>
          </cell>
          <cell r="C50" t="str">
            <v>COVER - SEAT :- RIGHT HAND</v>
          </cell>
          <cell r="D50" t="str">
            <v>WA01</v>
          </cell>
          <cell r="E50">
            <v>144</v>
          </cell>
          <cell r="F50">
            <v>0</v>
          </cell>
          <cell r="G50">
            <v>0</v>
          </cell>
          <cell r="H50">
            <v>144</v>
          </cell>
          <cell r="I50">
            <v>0</v>
          </cell>
          <cell r="J50">
            <v>0</v>
          </cell>
          <cell r="K50">
            <v>0</v>
          </cell>
        </row>
        <row r="51">
          <cell r="A51">
            <v>48</v>
          </cell>
          <cell r="B51">
            <v>31161261</v>
          </cell>
          <cell r="C51" t="str">
            <v>COVER - SIDE :- LEFT HAND</v>
          </cell>
          <cell r="D51" t="str">
            <v>WA01</v>
          </cell>
          <cell r="E51">
            <v>8492</v>
          </cell>
          <cell r="F51">
            <v>0</v>
          </cell>
          <cell r="G51">
            <v>0</v>
          </cell>
          <cell r="H51">
            <v>8492</v>
          </cell>
          <cell r="I51">
            <v>0</v>
          </cell>
          <cell r="J51">
            <v>0</v>
          </cell>
          <cell r="K51">
            <v>0</v>
          </cell>
        </row>
        <row r="52">
          <cell r="A52">
            <v>49</v>
          </cell>
          <cell r="B52">
            <v>31161262</v>
          </cell>
          <cell r="C52" t="str">
            <v>COVER - SIDE :- RIGHT HAND</v>
          </cell>
          <cell r="D52" t="str">
            <v>WA01</v>
          </cell>
          <cell r="E52">
            <v>9090</v>
          </cell>
          <cell r="F52">
            <v>0</v>
          </cell>
          <cell r="G52">
            <v>0</v>
          </cell>
          <cell r="H52">
            <v>9090</v>
          </cell>
          <cell r="I52">
            <v>0</v>
          </cell>
          <cell r="J52">
            <v>0</v>
          </cell>
          <cell r="K52">
            <v>0</v>
          </cell>
        </row>
        <row r="53">
          <cell r="A53">
            <v>50</v>
          </cell>
          <cell r="B53">
            <v>35181039</v>
          </cell>
          <cell r="C53" t="str">
            <v>COVER - HANDLEBAR TOP</v>
          </cell>
          <cell r="D53" t="str">
            <v>AK01</v>
          </cell>
          <cell r="E53">
            <v>400</v>
          </cell>
          <cell r="F53">
            <v>0</v>
          </cell>
          <cell r="G53">
            <v>0</v>
          </cell>
          <cell r="H53">
            <v>400</v>
          </cell>
          <cell r="I53">
            <v>0</v>
          </cell>
          <cell r="J53">
            <v>0</v>
          </cell>
          <cell r="K53">
            <v>0</v>
          </cell>
        </row>
        <row r="54">
          <cell r="A54">
            <v>51</v>
          </cell>
          <cell r="B54">
            <v>39250823</v>
          </cell>
          <cell r="C54" t="str">
            <v>CUT GROMMET</v>
          </cell>
          <cell r="D54" t="str">
            <v>WA01</v>
          </cell>
          <cell r="E54">
            <v>19986</v>
          </cell>
          <cell r="F54">
            <v>0</v>
          </cell>
          <cell r="G54">
            <v>0</v>
          </cell>
          <cell r="H54">
            <v>19986</v>
          </cell>
          <cell r="I54">
            <v>0</v>
          </cell>
          <cell r="J54">
            <v>0</v>
          </cell>
          <cell r="K54">
            <v>0</v>
          </cell>
        </row>
        <row r="55">
          <cell r="A55">
            <v>52</v>
          </cell>
          <cell r="B55" t="str">
            <v>52DD0146</v>
          </cell>
          <cell r="C55" t="str">
            <v>SF FOR COVER-SIDE (L) WITH</v>
          </cell>
          <cell r="D55" t="str">
            <v>WA01</v>
          </cell>
          <cell r="E55">
            <v>15210</v>
          </cell>
          <cell r="F55">
            <v>0</v>
          </cell>
          <cell r="G55">
            <v>0</v>
          </cell>
          <cell r="H55">
            <v>15210</v>
          </cell>
          <cell r="I55">
            <v>0</v>
          </cell>
          <cell r="J55">
            <v>0</v>
          </cell>
          <cell r="K55">
            <v>0</v>
          </cell>
        </row>
        <row r="56">
          <cell r="A56">
            <v>53</v>
          </cell>
          <cell r="B56" t="str">
            <v>52DD0147</v>
          </cell>
          <cell r="C56" t="str">
            <v>SF FOR COVER SIDE (R) WITH</v>
          </cell>
          <cell r="D56" t="str">
            <v>WA01</v>
          </cell>
          <cell r="E56">
            <v>15410</v>
          </cell>
          <cell r="F56">
            <v>0</v>
          </cell>
          <cell r="G56">
            <v>0</v>
          </cell>
          <cell r="H56">
            <v>15410</v>
          </cell>
          <cell r="I56">
            <v>0</v>
          </cell>
          <cell r="J56">
            <v>0</v>
          </cell>
          <cell r="K56">
            <v>0</v>
          </cell>
        </row>
        <row r="57">
          <cell r="A57">
            <v>54</v>
          </cell>
          <cell r="B57" t="str">
            <v>52DD0227</v>
          </cell>
          <cell r="C57" t="str">
            <v>SF FOR REAR FENDER ASEMBLE</v>
          </cell>
          <cell r="D57" t="str">
            <v>WA01</v>
          </cell>
          <cell r="E57">
            <v>15150</v>
          </cell>
          <cell r="F57">
            <v>0</v>
          </cell>
          <cell r="G57">
            <v>0</v>
          </cell>
          <cell r="H57">
            <v>15150</v>
          </cell>
          <cell r="I57">
            <v>0</v>
          </cell>
          <cell r="J57">
            <v>0</v>
          </cell>
          <cell r="K57">
            <v>0</v>
          </cell>
        </row>
        <row r="58">
          <cell r="A58">
            <v>55</v>
          </cell>
          <cell r="B58" t="str">
            <v>52DD0286</v>
          </cell>
          <cell r="C58" t="str">
            <v>SF:FENDER-FRONT</v>
          </cell>
          <cell r="D58" t="str">
            <v>WA01</v>
          </cell>
          <cell r="E58">
            <v>18764</v>
          </cell>
          <cell r="F58">
            <v>0</v>
          </cell>
          <cell r="G58">
            <v>0</v>
          </cell>
          <cell r="H58">
            <v>18764</v>
          </cell>
          <cell r="I58">
            <v>0</v>
          </cell>
          <cell r="J58">
            <v>0</v>
          </cell>
          <cell r="K58">
            <v>0</v>
          </cell>
        </row>
        <row r="59">
          <cell r="A59">
            <v>56</v>
          </cell>
          <cell r="B59" t="str">
            <v>52DG0191</v>
          </cell>
          <cell r="C59" t="str">
            <v>SEMIFINISH FOR COVER SIDE (</v>
          </cell>
          <cell r="D59" t="str">
            <v>WA01</v>
          </cell>
          <cell r="E59">
            <v>50</v>
          </cell>
          <cell r="F59">
            <v>0</v>
          </cell>
          <cell r="G59">
            <v>0</v>
          </cell>
          <cell r="H59">
            <v>50</v>
          </cell>
          <cell r="I59">
            <v>0</v>
          </cell>
          <cell r="J59">
            <v>0</v>
          </cell>
          <cell r="K59">
            <v>0</v>
          </cell>
        </row>
        <row r="60">
          <cell r="A60">
            <v>57</v>
          </cell>
          <cell r="B60" t="str">
            <v>52DG0192</v>
          </cell>
          <cell r="C60" t="str">
            <v>SEMIFINISH FOR COVER SIDE R</v>
          </cell>
          <cell r="D60" t="str">
            <v>WA01</v>
          </cell>
          <cell r="E60">
            <v>50</v>
          </cell>
          <cell r="F60">
            <v>0</v>
          </cell>
          <cell r="G60">
            <v>0</v>
          </cell>
          <cell r="H60">
            <v>50</v>
          </cell>
          <cell r="I60">
            <v>0</v>
          </cell>
          <cell r="J60">
            <v>0</v>
          </cell>
          <cell r="K60">
            <v>0</v>
          </cell>
        </row>
        <row r="61">
          <cell r="A61">
            <v>58</v>
          </cell>
          <cell r="B61" t="str">
            <v>52DG0268</v>
          </cell>
          <cell r="C61" t="str">
            <v>SF FOR FENDER REAR (WITHOUT</v>
          </cell>
          <cell r="D61" t="str">
            <v>WA01</v>
          </cell>
          <cell r="E61">
            <v>48</v>
          </cell>
          <cell r="F61">
            <v>0</v>
          </cell>
          <cell r="G61">
            <v>0</v>
          </cell>
          <cell r="H61">
            <v>48</v>
          </cell>
          <cell r="I61">
            <v>0</v>
          </cell>
          <cell r="J61">
            <v>0</v>
          </cell>
          <cell r="K61">
            <v>0</v>
          </cell>
        </row>
        <row r="62">
          <cell r="A62">
            <v>59</v>
          </cell>
          <cell r="B62" t="str">
            <v>52DG0288</v>
          </cell>
          <cell r="C62" t="str">
            <v>SEMIFINISH FOR FENDER FRONT</v>
          </cell>
          <cell r="D62" t="str">
            <v>WA01</v>
          </cell>
          <cell r="E62">
            <v>48</v>
          </cell>
          <cell r="F62">
            <v>0</v>
          </cell>
          <cell r="G62">
            <v>0</v>
          </cell>
          <cell r="H62">
            <v>48</v>
          </cell>
          <cell r="I62">
            <v>0</v>
          </cell>
          <cell r="J62">
            <v>0</v>
          </cell>
          <cell r="K62">
            <v>0</v>
          </cell>
        </row>
        <row r="63">
          <cell r="A63">
            <v>60</v>
          </cell>
          <cell r="B63" t="str">
            <v>52DP0069</v>
          </cell>
          <cell r="C63" t="str">
            <v>SFMIFINISH FOR COVER SIDE L</v>
          </cell>
          <cell r="D63" t="str">
            <v>WA01</v>
          </cell>
          <cell r="E63">
            <v>3050</v>
          </cell>
          <cell r="F63">
            <v>0</v>
          </cell>
          <cell r="G63">
            <v>0</v>
          </cell>
          <cell r="H63">
            <v>3050</v>
          </cell>
          <cell r="I63">
            <v>0</v>
          </cell>
          <cell r="J63">
            <v>0</v>
          </cell>
          <cell r="K63">
            <v>0</v>
          </cell>
        </row>
        <row r="64">
          <cell r="A64">
            <v>61</v>
          </cell>
          <cell r="B64" t="str">
            <v>52DP0070</v>
          </cell>
          <cell r="C64" t="str">
            <v>SEMIFINISH FOR COVER SIDE R</v>
          </cell>
          <cell r="D64" t="str">
            <v>WA01</v>
          </cell>
          <cell r="E64">
            <v>3150</v>
          </cell>
          <cell r="F64">
            <v>0</v>
          </cell>
          <cell r="G64">
            <v>0</v>
          </cell>
          <cell r="H64">
            <v>3150</v>
          </cell>
          <cell r="I64">
            <v>0</v>
          </cell>
          <cell r="J64">
            <v>0</v>
          </cell>
          <cell r="K64">
            <v>0</v>
          </cell>
        </row>
        <row r="65">
          <cell r="A65">
            <v>62</v>
          </cell>
          <cell r="B65" t="str">
            <v>52DP0086</v>
          </cell>
          <cell r="C65" t="str">
            <v>CHAIN COVER (DP101071) WITH</v>
          </cell>
          <cell r="D65" t="str">
            <v>WA01</v>
          </cell>
          <cell r="E65">
            <v>2688</v>
          </cell>
          <cell r="F65">
            <v>0</v>
          </cell>
          <cell r="G65">
            <v>0</v>
          </cell>
          <cell r="H65">
            <v>2688</v>
          </cell>
          <cell r="I65">
            <v>0</v>
          </cell>
          <cell r="J65">
            <v>0</v>
          </cell>
          <cell r="K65">
            <v>0</v>
          </cell>
        </row>
        <row r="66">
          <cell r="A66">
            <v>63</v>
          </cell>
          <cell r="B66" t="str">
            <v>56AL0929</v>
          </cell>
          <cell r="C66" t="str">
            <v>H/LAMP-BLINKER HSG-LH (AL16</v>
          </cell>
          <cell r="D66" t="str">
            <v>WA01</v>
          </cell>
          <cell r="E66">
            <v>2</v>
          </cell>
          <cell r="F66">
            <v>0</v>
          </cell>
          <cell r="G66">
            <v>0</v>
          </cell>
          <cell r="H66">
            <v>2</v>
          </cell>
          <cell r="I66">
            <v>0</v>
          </cell>
          <cell r="J66">
            <v>0</v>
          </cell>
          <cell r="K66">
            <v>0</v>
          </cell>
        </row>
        <row r="67">
          <cell r="A67">
            <v>64</v>
          </cell>
          <cell r="B67" t="str">
            <v>56AL0975</v>
          </cell>
          <cell r="C67" t="str">
            <v>H/LAMP-BLINKER HSG-LH (AL16</v>
          </cell>
          <cell r="D67" t="str">
            <v>WA01</v>
          </cell>
          <cell r="E67">
            <v>5</v>
          </cell>
          <cell r="F67">
            <v>0</v>
          </cell>
          <cell r="G67">
            <v>0</v>
          </cell>
          <cell r="H67">
            <v>5</v>
          </cell>
          <cell r="I67">
            <v>0</v>
          </cell>
          <cell r="J67">
            <v>0</v>
          </cell>
          <cell r="K67">
            <v>0</v>
          </cell>
        </row>
        <row r="68">
          <cell r="A68">
            <v>65</v>
          </cell>
          <cell r="B68" t="str">
            <v>56AL09B3</v>
          </cell>
          <cell r="C68" t="str">
            <v>H/LAMP-BLINKER HSG-LH (AL16</v>
          </cell>
          <cell r="D68" t="str">
            <v>WA01</v>
          </cell>
          <cell r="E68">
            <v>5</v>
          </cell>
          <cell r="F68">
            <v>0</v>
          </cell>
          <cell r="G68">
            <v>0</v>
          </cell>
          <cell r="H68">
            <v>5</v>
          </cell>
          <cell r="I68">
            <v>0</v>
          </cell>
          <cell r="J68">
            <v>0</v>
          </cell>
          <cell r="K68">
            <v>0</v>
          </cell>
        </row>
        <row r="69">
          <cell r="A69">
            <v>66</v>
          </cell>
          <cell r="B69" t="str">
            <v>56AL09H6</v>
          </cell>
          <cell r="C69" t="str">
            <v>H/LAMP-BLINKER HSG-LH (AL16</v>
          </cell>
          <cell r="D69" t="str">
            <v>WA01</v>
          </cell>
          <cell r="E69">
            <v>5</v>
          </cell>
          <cell r="F69">
            <v>0</v>
          </cell>
          <cell r="G69">
            <v>0</v>
          </cell>
          <cell r="H69">
            <v>5</v>
          </cell>
          <cell r="I69">
            <v>0</v>
          </cell>
          <cell r="J69">
            <v>0</v>
          </cell>
          <cell r="K69">
            <v>0</v>
          </cell>
        </row>
        <row r="70">
          <cell r="A70">
            <v>67</v>
          </cell>
          <cell r="B70" t="str">
            <v>56AL1029</v>
          </cell>
          <cell r="C70" t="str">
            <v>H/LAMP-BLINKER HSG-RH (AL16</v>
          </cell>
          <cell r="D70" t="str">
            <v>WA01</v>
          </cell>
          <cell r="E70">
            <v>2</v>
          </cell>
          <cell r="F70">
            <v>0</v>
          </cell>
          <cell r="G70">
            <v>0</v>
          </cell>
          <cell r="H70">
            <v>2</v>
          </cell>
          <cell r="I70">
            <v>0</v>
          </cell>
          <cell r="J70">
            <v>0</v>
          </cell>
          <cell r="K70">
            <v>0</v>
          </cell>
        </row>
        <row r="71">
          <cell r="A71">
            <v>68</v>
          </cell>
          <cell r="B71" t="str">
            <v>56AL1075</v>
          </cell>
          <cell r="C71" t="str">
            <v>H/LAMP-BLINKER HSG-RH (AL16</v>
          </cell>
          <cell r="D71" t="str">
            <v>WA01</v>
          </cell>
          <cell r="E71">
            <v>4</v>
          </cell>
          <cell r="F71">
            <v>0</v>
          </cell>
          <cell r="G71">
            <v>0</v>
          </cell>
          <cell r="H71">
            <v>4</v>
          </cell>
          <cell r="I71">
            <v>0</v>
          </cell>
          <cell r="J71">
            <v>0</v>
          </cell>
          <cell r="K71">
            <v>0</v>
          </cell>
        </row>
        <row r="72">
          <cell r="A72">
            <v>69</v>
          </cell>
          <cell r="B72" t="str">
            <v>56AL10B3</v>
          </cell>
          <cell r="C72" t="str">
            <v>H/LAMP-BLINKER HSG-RH (AL16</v>
          </cell>
          <cell r="D72" t="str">
            <v>WA01</v>
          </cell>
          <cell r="E72">
            <v>5</v>
          </cell>
          <cell r="F72">
            <v>0</v>
          </cell>
          <cell r="G72">
            <v>0</v>
          </cell>
          <cell r="H72">
            <v>5</v>
          </cell>
          <cell r="I72">
            <v>0</v>
          </cell>
          <cell r="J72">
            <v>0</v>
          </cell>
          <cell r="K72">
            <v>0</v>
          </cell>
        </row>
        <row r="73">
          <cell r="A73">
            <v>70</v>
          </cell>
          <cell r="B73" t="str">
            <v>56AL10H6</v>
          </cell>
          <cell r="C73" t="str">
            <v>H/LAMP-BLINKER HSG-RH (AL16</v>
          </cell>
          <cell r="D73" t="str">
            <v>WA01</v>
          </cell>
          <cell r="E73">
            <v>5</v>
          </cell>
          <cell r="F73">
            <v>0</v>
          </cell>
          <cell r="G73">
            <v>0</v>
          </cell>
          <cell r="H73">
            <v>5</v>
          </cell>
          <cell r="I73">
            <v>0</v>
          </cell>
          <cell r="J73">
            <v>0</v>
          </cell>
          <cell r="K73">
            <v>0</v>
          </cell>
        </row>
        <row r="74">
          <cell r="A74">
            <v>71</v>
          </cell>
          <cell r="B74" t="str">
            <v>56AL1129</v>
          </cell>
          <cell r="C74" t="str">
            <v>FRONT MUD GRD -REGC (AL1611</v>
          </cell>
          <cell r="D74" t="str">
            <v>WA01</v>
          </cell>
          <cell r="E74">
            <v>2</v>
          </cell>
          <cell r="F74">
            <v>0</v>
          </cell>
          <cell r="G74">
            <v>0</v>
          </cell>
          <cell r="H74">
            <v>2</v>
          </cell>
          <cell r="I74">
            <v>0</v>
          </cell>
          <cell r="J74">
            <v>0</v>
          </cell>
          <cell r="K74">
            <v>0</v>
          </cell>
        </row>
        <row r="75">
          <cell r="A75">
            <v>72</v>
          </cell>
          <cell r="B75" t="str">
            <v>56AL1175</v>
          </cell>
          <cell r="C75" t="str">
            <v>FRONT MUD GRD -REGC (AL1611</v>
          </cell>
          <cell r="D75" t="str">
            <v>WA01</v>
          </cell>
          <cell r="E75">
            <v>5</v>
          </cell>
          <cell r="F75">
            <v>0</v>
          </cell>
          <cell r="G75">
            <v>0</v>
          </cell>
          <cell r="H75">
            <v>5</v>
          </cell>
          <cell r="I75">
            <v>0</v>
          </cell>
          <cell r="J75">
            <v>0</v>
          </cell>
          <cell r="K75">
            <v>0</v>
          </cell>
        </row>
        <row r="76">
          <cell r="A76">
            <v>73</v>
          </cell>
          <cell r="B76" t="str">
            <v>56AL11B3</v>
          </cell>
          <cell r="C76" t="str">
            <v>FRONT MUD GRD -REGC (AL1611</v>
          </cell>
          <cell r="D76" t="str">
            <v>WA01</v>
          </cell>
          <cell r="E76">
            <v>5</v>
          </cell>
          <cell r="F76">
            <v>0</v>
          </cell>
          <cell r="G76">
            <v>0</v>
          </cell>
          <cell r="H76">
            <v>5</v>
          </cell>
          <cell r="I76">
            <v>0</v>
          </cell>
          <cell r="J76">
            <v>0</v>
          </cell>
          <cell r="K76">
            <v>0</v>
          </cell>
        </row>
        <row r="77">
          <cell r="A77">
            <v>74</v>
          </cell>
          <cell r="B77" t="str">
            <v>56AL11H6</v>
          </cell>
          <cell r="C77" t="str">
            <v>FRONT MUD GRD -REGC (AL1611</v>
          </cell>
          <cell r="D77" t="str">
            <v>WA01</v>
          </cell>
          <cell r="E77">
            <v>5</v>
          </cell>
          <cell r="F77">
            <v>0</v>
          </cell>
          <cell r="G77">
            <v>0</v>
          </cell>
          <cell r="H77">
            <v>5</v>
          </cell>
          <cell r="I77">
            <v>0</v>
          </cell>
          <cell r="J77">
            <v>0</v>
          </cell>
          <cell r="K77">
            <v>0</v>
          </cell>
        </row>
        <row r="78">
          <cell r="A78">
            <v>75</v>
          </cell>
          <cell r="B78" t="str">
            <v>56AL1229</v>
          </cell>
          <cell r="C78" t="str">
            <v>GRILL - CNTRL-REGCC (AL1611</v>
          </cell>
          <cell r="D78" t="str">
            <v>WA01</v>
          </cell>
          <cell r="E78">
            <v>2</v>
          </cell>
          <cell r="F78">
            <v>0</v>
          </cell>
          <cell r="G78">
            <v>0</v>
          </cell>
          <cell r="H78">
            <v>2</v>
          </cell>
          <cell r="I78">
            <v>0</v>
          </cell>
          <cell r="J78">
            <v>0</v>
          </cell>
          <cell r="K78">
            <v>0</v>
          </cell>
        </row>
        <row r="79">
          <cell r="A79">
            <v>76</v>
          </cell>
          <cell r="B79" t="str">
            <v>56AL1275</v>
          </cell>
          <cell r="C79" t="str">
            <v>GRILL - CNTRL-REGCC (AL1611</v>
          </cell>
          <cell r="D79" t="str">
            <v>WA01</v>
          </cell>
          <cell r="E79">
            <v>5</v>
          </cell>
          <cell r="F79">
            <v>0</v>
          </cell>
          <cell r="G79">
            <v>0</v>
          </cell>
          <cell r="H79">
            <v>5</v>
          </cell>
          <cell r="I79">
            <v>0</v>
          </cell>
          <cell r="J79">
            <v>0</v>
          </cell>
          <cell r="K79">
            <v>0</v>
          </cell>
        </row>
        <row r="80">
          <cell r="A80">
            <v>77</v>
          </cell>
          <cell r="B80" t="str">
            <v>56AL12B3</v>
          </cell>
          <cell r="C80" t="str">
            <v>GRILL - CNTRL-REGCC (AL1611</v>
          </cell>
          <cell r="D80" t="str">
            <v>WA01</v>
          </cell>
          <cell r="E80">
            <v>5</v>
          </cell>
          <cell r="F80">
            <v>0</v>
          </cell>
          <cell r="G80">
            <v>0</v>
          </cell>
          <cell r="H80">
            <v>5</v>
          </cell>
          <cell r="I80">
            <v>0</v>
          </cell>
          <cell r="J80">
            <v>0</v>
          </cell>
          <cell r="K80">
            <v>0</v>
          </cell>
        </row>
        <row r="81">
          <cell r="A81">
            <v>78</v>
          </cell>
          <cell r="B81" t="str">
            <v>56AL12H6</v>
          </cell>
          <cell r="C81" t="str">
            <v>GRILL - CNTRL-REGCC (AL1611</v>
          </cell>
          <cell r="D81" t="str">
            <v>WA01</v>
          </cell>
          <cell r="E81">
            <v>5</v>
          </cell>
          <cell r="F81">
            <v>0</v>
          </cell>
          <cell r="G81">
            <v>0</v>
          </cell>
          <cell r="H81">
            <v>5</v>
          </cell>
          <cell r="I81">
            <v>0</v>
          </cell>
          <cell r="J81">
            <v>0</v>
          </cell>
          <cell r="K81">
            <v>0</v>
          </cell>
        </row>
        <row r="82">
          <cell r="A82">
            <v>79</v>
          </cell>
          <cell r="B82">
            <v>76011211</v>
          </cell>
          <cell r="C82" t="str">
            <v>TEST PANEL SIZE 125X100X2MM</v>
          </cell>
          <cell r="D82" t="str">
            <v>CH01</v>
          </cell>
          <cell r="E82">
            <v>200</v>
          </cell>
          <cell r="F82">
            <v>0</v>
          </cell>
          <cell r="G82">
            <v>0</v>
          </cell>
          <cell r="H82">
            <v>200</v>
          </cell>
          <cell r="I82">
            <v>0</v>
          </cell>
          <cell r="J82">
            <v>0</v>
          </cell>
          <cell r="K82">
            <v>0</v>
          </cell>
        </row>
        <row r="83">
          <cell r="A83">
            <v>80</v>
          </cell>
          <cell r="B83" t="str">
            <v>AA101324</v>
          </cell>
          <cell r="C83" t="str">
            <v>DUCT FOR CLUTCH COWLING</v>
          </cell>
          <cell r="D83" t="str">
            <v>WA03</v>
          </cell>
          <cell r="E83">
            <v>20</v>
          </cell>
          <cell r="F83">
            <v>0</v>
          </cell>
          <cell r="G83">
            <v>0</v>
          </cell>
          <cell r="H83">
            <v>20</v>
          </cell>
          <cell r="I83">
            <v>0</v>
          </cell>
          <cell r="J83">
            <v>0</v>
          </cell>
          <cell r="K83">
            <v>0</v>
          </cell>
        </row>
        <row r="84">
          <cell r="A84">
            <v>81</v>
          </cell>
          <cell r="B84" t="str">
            <v>AA101384</v>
          </cell>
          <cell r="C84" t="str">
            <v xml:space="preserve">FAN, CRANKSHAFT </v>
          </cell>
          <cell r="D84" t="str">
            <v>WA01</v>
          </cell>
          <cell r="E84">
            <v>3528</v>
          </cell>
          <cell r="F84">
            <v>0</v>
          </cell>
          <cell r="G84">
            <v>0</v>
          </cell>
          <cell r="H84">
            <v>3528</v>
          </cell>
          <cell r="I84">
            <v>0</v>
          </cell>
          <cell r="J84">
            <v>0</v>
          </cell>
          <cell r="K84">
            <v>0</v>
          </cell>
        </row>
        <row r="85">
          <cell r="A85">
            <v>82</v>
          </cell>
          <cell r="B85" t="str">
            <v>AA101385</v>
          </cell>
          <cell r="C85" t="str">
            <v>FAN COVER</v>
          </cell>
          <cell r="D85" t="str">
            <v>WA01</v>
          </cell>
          <cell r="E85">
            <v>3438</v>
          </cell>
          <cell r="F85">
            <v>0</v>
          </cell>
          <cell r="G85">
            <v>0</v>
          </cell>
          <cell r="H85">
            <v>3438</v>
          </cell>
          <cell r="I85">
            <v>0</v>
          </cell>
          <cell r="J85">
            <v>0</v>
          </cell>
          <cell r="K85">
            <v>0</v>
          </cell>
        </row>
        <row r="86">
          <cell r="A86">
            <v>83</v>
          </cell>
          <cell r="B86" t="str">
            <v>AA101484</v>
          </cell>
          <cell r="C86" t="str">
            <v>BELLOW</v>
          </cell>
          <cell r="D86" t="str">
            <v>WA01</v>
          </cell>
          <cell r="E86">
            <v>4750</v>
          </cell>
          <cell r="F86">
            <v>0</v>
          </cell>
          <cell r="G86">
            <v>0</v>
          </cell>
          <cell r="H86">
            <v>4750</v>
          </cell>
          <cell r="I86">
            <v>0</v>
          </cell>
          <cell r="J86">
            <v>0</v>
          </cell>
          <cell r="K86">
            <v>0</v>
          </cell>
        </row>
        <row r="87">
          <cell r="A87">
            <v>84</v>
          </cell>
          <cell r="B87" t="str">
            <v>AA121081</v>
          </cell>
          <cell r="C87" t="str">
            <v>HOSE PIPE</v>
          </cell>
          <cell r="D87" t="str">
            <v>WA01</v>
          </cell>
          <cell r="E87">
            <v>1579</v>
          </cell>
          <cell r="F87">
            <v>0</v>
          </cell>
          <cell r="G87">
            <v>0</v>
          </cell>
          <cell r="H87">
            <v>1579</v>
          </cell>
          <cell r="I87">
            <v>0</v>
          </cell>
          <cell r="J87">
            <v>0</v>
          </cell>
          <cell r="K87">
            <v>0</v>
          </cell>
        </row>
        <row r="88">
          <cell r="A88">
            <v>85</v>
          </cell>
          <cell r="B88" t="str">
            <v>AA231035</v>
          </cell>
          <cell r="C88" t="str">
            <v>HOOD COMPLETE-BROWN FOR RE-</v>
          </cell>
          <cell r="D88" t="str">
            <v>WA01</v>
          </cell>
          <cell r="E88">
            <v>4100</v>
          </cell>
          <cell r="F88">
            <v>0</v>
          </cell>
          <cell r="G88">
            <v>0</v>
          </cell>
          <cell r="H88">
            <v>4100</v>
          </cell>
          <cell r="I88">
            <v>0</v>
          </cell>
          <cell r="J88">
            <v>0</v>
          </cell>
          <cell r="K88">
            <v>0</v>
          </cell>
        </row>
        <row r="89">
          <cell r="A89">
            <v>86</v>
          </cell>
          <cell r="B89" t="str">
            <v>AA231037</v>
          </cell>
          <cell r="C89" t="str">
            <v>HOOD COMP.-BROWN:EXPORT:RE-</v>
          </cell>
          <cell r="D89" t="str">
            <v>WA01</v>
          </cell>
          <cell r="E89">
            <v>1046</v>
          </cell>
          <cell r="F89">
            <v>0</v>
          </cell>
          <cell r="G89">
            <v>0</v>
          </cell>
          <cell r="H89">
            <v>1046</v>
          </cell>
          <cell r="I89">
            <v>0</v>
          </cell>
          <cell r="J89">
            <v>0</v>
          </cell>
          <cell r="K89">
            <v>0</v>
          </cell>
        </row>
        <row r="90">
          <cell r="A90">
            <v>87</v>
          </cell>
          <cell r="B90" t="str">
            <v>AA231039</v>
          </cell>
          <cell r="C90" t="str">
            <v>HOOD COMP.-WHITE:EXPORT:RE-</v>
          </cell>
          <cell r="D90" t="str">
            <v>WA01</v>
          </cell>
          <cell r="E90">
            <v>1024</v>
          </cell>
          <cell r="F90">
            <v>0</v>
          </cell>
          <cell r="G90">
            <v>0</v>
          </cell>
          <cell r="H90">
            <v>1024</v>
          </cell>
          <cell r="I90">
            <v>0</v>
          </cell>
          <cell r="J90">
            <v>0</v>
          </cell>
          <cell r="K90">
            <v>0</v>
          </cell>
        </row>
        <row r="91">
          <cell r="A91">
            <v>88</v>
          </cell>
          <cell r="B91" t="str">
            <v>AA231048</v>
          </cell>
          <cell r="C91" t="str">
            <v>HOOD COMP.-GREEN:EXPORT:RE-</v>
          </cell>
          <cell r="D91" t="str">
            <v>WA01</v>
          </cell>
          <cell r="E91">
            <v>318</v>
          </cell>
          <cell r="F91">
            <v>0</v>
          </cell>
          <cell r="G91">
            <v>0</v>
          </cell>
          <cell r="H91">
            <v>318</v>
          </cell>
          <cell r="I91">
            <v>0</v>
          </cell>
          <cell r="J91">
            <v>0</v>
          </cell>
          <cell r="K91">
            <v>0</v>
          </cell>
        </row>
        <row r="92">
          <cell r="A92">
            <v>89</v>
          </cell>
          <cell r="B92" t="str">
            <v>AB161174</v>
          </cell>
          <cell r="C92" t="str">
            <v>COVER ASSY-STEERING+`B' MON</v>
          </cell>
          <cell r="D92" t="str">
            <v>WA01</v>
          </cell>
          <cell r="E92">
            <v>20500</v>
          </cell>
          <cell r="F92">
            <v>0</v>
          </cell>
          <cell r="G92">
            <v>0</v>
          </cell>
          <cell r="H92">
            <v>20500</v>
          </cell>
          <cell r="I92">
            <v>0</v>
          </cell>
          <cell r="J92">
            <v>0</v>
          </cell>
          <cell r="K92">
            <v>0</v>
          </cell>
        </row>
        <row r="93">
          <cell r="A93">
            <v>90</v>
          </cell>
          <cell r="B93" t="str">
            <v>AE131003</v>
          </cell>
          <cell r="C93" t="str">
            <v>BUSH</v>
          </cell>
          <cell r="D93" t="str">
            <v>WA01</v>
          </cell>
          <cell r="E93">
            <v>3200</v>
          </cell>
          <cell r="F93">
            <v>0</v>
          </cell>
          <cell r="G93">
            <v>0</v>
          </cell>
          <cell r="H93">
            <v>3200</v>
          </cell>
          <cell r="I93">
            <v>0</v>
          </cell>
          <cell r="J93">
            <v>0</v>
          </cell>
          <cell r="K93">
            <v>0</v>
          </cell>
        </row>
        <row r="94">
          <cell r="A94">
            <v>91</v>
          </cell>
          <cell r="B94" t="str">
            <v>AF121133</v>
          </cell>
          <cell r="C94" t="str">
            <v>FILTER COMPLETE - FUEL FOR</v>
          </cell>
          <cell r="D94" t="str">
            <v>WA01</v>
          </cell>
          <cell r="E94">
            <v>1900</v>
          </cell>
          <cell r="F94">
            <v>0</v>
          </cell>
          <cell r="G94">
            <v>0</v>
          </cell>
          <cell r="H94">
            <v>1900</v>
          </cell>
          <cell r="I94">
            <v>0</v>
          </cell>
          <cell r="J94">
            <v>0</v>
          </cell>
          <cell r="K94">
            <v>0</v>
          </cell>
        </row>
        <row r="95">
          <cell r="A95">
            <v>92</v>
          </cell>
          <cell r="C95" t="str">
            <v>PIPE - HOSE, CLEAN AIR INT</v>
          </cell>
          <cell r="D95" t="str">
            <v>WA01</v>
          </cell>
          <cell r="E95">
            <v>1352</v>
          </cell>
          <cell r="F95">
            <v>0</v>
          </cell>
          <cell r="G95">
            <v>0</v>
          </cell>
          <cell r="H95">
            <v>1352</v>
          </cell>
          <cell r="I95">
            <v>0</v>
          </cell>
          <cell r="J95">
            <v>0</v>
          </cell>
          <cell r="K95">
            <v>0</v>
          </cell>
        </row>
        <row r="96">
          <cell r="A96">
            <v>93</v>
          </cell>
          <cell r="B96" t="str">
            <v>AF231013</v>
          </cell>
          <cell r="C96" t="str">
            <v>HOOD COMPLETE - YELLOW FOR</v>
          </cell>
          <cell r="D96" t="str">
            <v>WA01</v>
          </cell>
          <cell r="E96">
            <v>370</v>
          </cell>
          <cell r="F96">
            <v>0</v>
          </cell>
          <cell r="G96">
            <v>0</v>
          </cell>
          <cell r="H96">
            <v>370</v>
          </cell>
          <cell r="I96">
            <v>0</v>
          </cell>
          <cell r="J96">
            <v>0</v>
          </cell>
          <cell r="K96">
            <v>0</v>
          </cell>
        </row>
        <row r="97">
          <cell r="A97">
            <v>94</v>
          </cell>
          <cell r="B97" t="str">
            <v>AJ121061</v>
          </cell>
          <cell r="C97" t="str">
            <v>GROMMET-FILLING VALV</v>
          </cell>
          <cell r="D97" t="str">
            <v>WA01</v>
          </cell>
          <cell r="E97">
            <v>230</v>
          </cell>
          <cell r="F97">
            <v>0</v>
          </cell>
          <cell r="G97">
            <v>0</v>
          </cell>
          <cell r="H97">
            <v>230</v>
          </cell>
          <cell r="I97">
            <v>0</v>
          </cell>
          <cell r="J97">
            <v>0</v>
          </cell>
          <cell r="K97">
            <v>0</v>
          </cell>
        </row>
        <row r="98">
          <cell r="A98">
            <v>95</v>
          </cell>
          <cell r="B98" t="str">
            <v>AL121002</v>
          </cell>
          <cell r="C98" t="str">
            <v>HOSE INTAKE-MANIFOLD</v>
          </cell>
          <cell r="D98" t="str">
            <v>WA01</v>
          </cell>
          <cell r="E98">
            <v>2077</v>
          </cell>
          <cell r="F98">
            <v>0</v>
          </cell>
          <cell r="G98">
            <v>0</v>
          </cell>
          <cell r="H98">
            <v>2077</v>
          </cell>
          <cell r="I98">
            <v>0</v>
          </cell>
          <cell r="J98">
            <v>0</v>
          </cell>
          <cell r="K98">
            <v>0</v>
          </cell>
        </row>
        <row r="99">
          <cell r="A99">
            <v>96</v>
          </cell>
          <cell r="B99" t="str">
            <v>AL121012</v>
          </cell>
          <cell r="C99" t="str">
            <v>HOSE INTAKE-CHASSIS</v>
          </cell>
          <cell r="D99" t="str">
            <v>WA01</v>
          </cell>
          <cell r="E99">
            <v>2203</v>
          </cell>
          <cell r="F99">
            <v>0</v>
          </cell>
          <cell r="G99">
            <v>0</v>
          </cell>
          <cell r="H99">
            <v>2203</v>
          </cell>
          <cell r="I99">
            <v>0</v>
          </cell>
          <cell r="J99">
            <v>0</v>
          </cell>
          <cell r="K99">
            <v>0</v>
          </cell>
        </row>
        <row r="100">
          <cell r="A100">
            <v>97</v>
          </cell>
          <cell r="B100" t="str">
            <v>AL121012</v>
          </cell>
          <cell r="C100" t="str">
            <v>HOSE INTAKE-CHASSIS</v>
          </cell>
          <cell r="D100" t="str">
            <v>WA03</v>
          </cell>
          <cell r="E100">
            <v>25</v>
          </cell>
          <cell r="F100">
            <v>0</v>
          </cell>
          <cell r="G100">
            <v>0</v>
          </cell>
          <cell r="H100">
            <v>25</v>
          </cell>
          <cell r="I100">
            <v>0</v>
          </cell>
          <cell r="J100">
            <v>0</v>
          </cell>
          <cell r="K100">
            <v>0</v>
          </cell>
        </row>
        <row r="101">
          <cell r="A101">
            <v>98</v>
          </cell>
          <cell r="B101" t="str">
            <v>AL161112</v>
          </cell>
          <cell r="C101" t="str">
            <v>FRONT MUDGUARD - RE GOODS C</v>
          </cell>
          <cell r="D101" t="str">
            <v>WA01</v>
          </cell>
          <cell r="E101">
            <v>2220</v>
          </cell>
          <cell r="F101">
            <v>0</v>
          </cell>
          <cell r="G101">
            <v>0</v>
          </cell>
          <cell r="H101">
            <v>2220</v>
          </cell>
          <cell r="I101">
            <v>0</v>
          </cell>
          <cell r="J101">
            <v>0</v>
          </cell>
          <cell r="K101">
            <v>0</v>
          </cell>
        </row>
        <row r="102">
          <cell r="A102">
            <v>99</v>
          </cell>
          <cell r="B102" t="str">
            <v>AL161112</v>
          </cell>
          <cell r="C102" t="str">
            <v>FRONT MUDGUARD - RE GOODS C</v>
          </cell>
          <cell r="D102" t="str">
            <v>WA03</v>
          </cell>
          <cell r="E102">
            <v>120</v>
          </cell>
          <cell r="F102">
            <v>0</v>
          </cell>
          <cell r="G102">
            <v>0</v>
          </cell>
          <cell r="H102">
            <v>120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>
            <v>100</v>
          </cell>
          <cell r="B103" t="str">
            <v>AL161113</v>
          </cell>
          <cell r="C103" t="str">
            <v>GRILL - CENTRAL FOR `R.E.-G</v>
          </cell>
          <cell r="D103" t="str">
            <v>WA01</v>
          </cell>
          <cell r="E103">
            <v>2334</v>
          </cell>
          <cell r="F103">
            <v>0</v>
          </cell>
          <cell r="G103">
            <v>0</v>
          </cell>
          <cell r="H103">
            <v>2334</v>
          </cell>
          <cell r="I103">
            <v>0</v>
          </cell>
          <cell r="J103">
            <v>0</v>
          </cell>
          <cell r="K103">
            <v>0</v>
          </cell>
        </row>
        <row r="104">
          <cell r="A104">
            <v>101</v>
          </cell>
          <cell r="B104" t="str">
            <v>AL161113</v>
          </cell>
          <cell r="C104" t="str">
            <v>GRILL - CENTRAL FOR `R.E.-G</v>
          </cell>
          <cell r="D104" t="str">
            <v>WA03</v>
          </cell>
          <cell r="E104">
            <v>80</v>
          </cell>
          <cell r="F104">
            <v>0</v>
          </cell>
          <cell r="G104">
            <v>0</v>
          </cell>
          <cell r="H104">
            <v>80</v>
          </cell>
          <cell r="I104">
            <v>0</v>
          </cell>
          <cell r="J104">
            <v>0</v>
          </cell>
          <cell r="K104">
            <v>0</v>
          </cell>
        </row>
        <row r="105">
          <cell r="A105">
            <v>102</v>
          </cell>
          <cell r="B105" t="str">
            <v>AL161114</v>
          </cell>
          <cell r="C105" t="str">
            <v>HEAD LAMP - BLINKER HOUSING</v>
          </cell>
          <cell r="D105" t="str">
            <v>WA01</v>
          </cell>
          <cell r="E105">
            <v>2280</v>
          </cell>
          <cell r="F105">
            <v>0</v>
          </cell>
          <cell r="G105">
            <v>0</v>
          </cell>
          <cell r="H105">
            <v>2280</v>
          </cell>
          <cell r="I105">
            <v>0</v>
          </cell>
          <cell r="J105">
            <v>0</v>
          </cell>
          <cell r="K105">
            <v>0</v>
          </cell>
        </row>
        <row r="106">
          <cell r="A106">
            <v>103</v>
          </cell>
          <cell r="B106" t="str">
            <v>AL161114</v>
          </cell>
          <cell r="C106" t="str">
            <v>HEAD LAMP - BLINKER HOUSING</v>
          </cell>
          <cell r="D106" t="str">
            <v>WA03</v>
          </cell>
          <cell r="E106">
            <v>300</v>
          </cell>
          <cell r="F106">
            <v>0</v>
          </cell>
          <cell r="G106">
            <v>0</v>
          </cell>
          <cell r="H106">
            <v>300</v>
          </cell>
          <cell r="I106">
            <v>0</v>
          </cell>
          <cell r="J106">
            <v>0</v>
          </cell>
          <cell r="K106">
            <v>0</v>
          </cell>
        </row>
        <row r="107">
          <cell r="A107">
            <v>104</v>
          </cell>
          <cell r="B107" t="str">
            <v>AL161115</v>
          </cell>
          <cell r="C107" t="str">
            <v>HEAD LAMP - BLINKER HOUSING</v>
          </cell>
          <cell r="D107" t="str">
            <v>WA01</v>
          </cell>
          <cell r="E107">
            <v>2280</v>
          </cell>
          <cell r="F107">
            <v>0</v>
          </cell>
          <cell r="G107">
            <v>0</v>
          </cell>
          <cell r="H107">
            <v>2280</v>
          </cell>
          <cell r="I107">
            <v>0</v>
          </cell>
          <cell r="J107">
            <v>0</v>
          </cell>
          <cell r="K107">
            <v>0</v>
          </cell>
        </row>
        <row r="108">
          <cell r="A108">
            <v>105</v>
          </cell>
          <cell r="B108" t="str">
            <v>AL161115</v>
          </cell>
          <cell r="C108" t="str">
            <v>HEAD LAMP - BLINKER HOUSING</v>
          </cell>
          <cell r="D108" t="str">
            <v>WA03</v>
          </cell>
          <cell r="E108">
            <v>130</v>
          </cell>
          <cell r="F108">
            <v>0</v>
          </cell>
          <cell r="G108">
            <v>0</v>
          </cell>
          <cell r="H108">
            <v>130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>
            <v>106</v>
          </cell>
          <cell r="B109" t="str">
            <v>AL161116</v>
          </cell>
          <cell r="C109" t="str">
            <v>DASHBOARD ASSEMBLY: `R.E.-G</v>
          </cell>
          <cell r="D109" t="str">
            <v>WA03</v>
          </cell>
          <cell r="E109">
            <v>10</v>
          </cell>
          <cell r="F109">
            <v>0</v>
          </cell>
          <cell r="G109">
            <v>0</v>
          </cell>
          <cell r="H109">
            <v>10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>
            <v>107</v>
          </cell>
          <cell r="B110" t="str">
            <v>AL161155</v>
          </cell>
          <cell r="C110" t="str">
            <v>TRIM - UPPER FOR `R.E.-G.C.</v>
          </cell>
          <cell r="D110" t="str">
            <v>WA01</v>
          </cell>
          <cell r="E110">
            <v>2340</v>
          </cell>
          <cell r="F110">
            <v>0</v>
          </cell>
          <cell r="G110">
            <v>0</v>
          </cell>
          <cell r="H110">
            <v>2340</v>
          </cell>
          <cell r="I110">
            <v>0</v>
          </cell>
          <cell r="J110">
            <v>0</v>
          </cell>
          <cell r="K110">
            <v>0</v>
          </cell>
        </row>
        <row r="111">
          <cell r="A111">
            <v>108</v>
          </cell>
          <cell r="B111" t="str">
            <v>AL161161</v>
          </cell>
          <cell r="C111" t="str">
            <v>COVER -STEERING FOR`R.E.-G.</v>
          </cell>
          <cell r="D111" t="str">
            <v>WA03</v>
          </cell>
          <cell r="E111">
            <v>15</v>
          </cell>
          <cell r="F111">
            <v>0</v>
          </cell>
          <cell r="G111">
            <v>0</v>
          </cell>
          <cell r="H111">
            <v>15</v>
          </cell>
          <cell r="I111">
            <v>0</v>
          </cell>
          <cell r="J111">
            <v>0</v>
          </cell>
          <cell r="K111">
            <v>0</v>
          </cell>
        </row>
        <row r="112">
          <cell r="A112">
            <v>109</v>
          </cell>
          <cell r="B112" t="str">
            <v>AL161183</v>
          </cell>
          <cell r="C112" t="str">
            <v>DASHBOARD ASSLY COMP</v>
          </cell>
          <cell r="D112" t="str">
            <v>WA01</v>
          </cell>
          <cell r="E112">
            <v>2300</v>
          </cell>
          <cell r="F112">
            <v>0</v>
          </cell>
          <cell r="G112">
            <v>0</v>
          </cell>
          <cell r="H112">
            <v>2300</v>
          </cell>
          <cell r="I112">
            <v>0</v>
          </cell>
          <cell r="J112">
            <v>0</v>
          </cell>
          <cell r="K112">
            <v>0</v>
          </cell>
        </row>
        <row r="113">
          <cell r="A113">
            <v>110</v>
          </cell>
          <cell r="B113" t="str">
            <v>AL241004</v>
          </cell>
          <cell r="C113" t="str">
            <v>MUDGUARD - REAR :- R.E.-GOO</v>
          </cell>
          <cell r="D113" t="str">
            <v>WA01</v>
          </cell>
          <cell r="E113">
            <v>4532</v>
          </cell>
          <cell r="F113">
            <v>0</v>
          </cell>
          <cell r="G113">
            <v>0</v>
          </cell>
          <cell r="H113">
            <v>4532</v>
          </cell>
          <cell r="I113">
            <v>0</v>
          </cell>
          <cell r="J113">
            <v>0</v>
          </cell>
          <cell r="K113">
            <v>0</v>
          </cell>
        </row>
        <row r="114">
          <cell r="A114">
            <v>111</v>
          </cell>
          <cell r="B114" t="str">
            <v>BA102240</v>
          </cell>
          <cell r="C114" t="str">
            <v>CASE SPIRAL(PLASTIC)</v>
          </cell>
          <cell r="D114" t="str">
            <v>WA01</v>
          </cell>
          <cell r="E114">
            <v>5380</v>
          </cell>
          <cell r="F114">
            <v>0</v>
          </cell>
          <cell r="G114">
            <v>0</v>
          </cell>
          <cell r="H114">
            <v>5380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>
            <v>112</v>
          </cell>
          <cell r="B115" t="str">
            <v>BA191041</v>
          </cell>
          <cell r="C115" t="str">
            <v>SLEEVE - PROTECTION :- 30 x</v>
          </cell>
          <cell r="D115" t="str">
            <v>WA01</v>
          </cell>
          <cell r="E115">
            <v>14000</v>
          </cell>
          <cell r="F115">
            <v>0</v>
          </cell>
          <cell r="G115">
            <v>0</v>
          </cell>
          <cell r="H115">
            <v>14000</v>
          </cell>
          <cell r="I115">
            <v>0</v>
          </cell>
          <cell r="J115">
            <v>0</v>
          </cell>
          <cell r="K115">
            <v>0</v>
          </cell>
        </row>
        <row r="116">
          <cell r="A116">
            <v>113</v>
          </cell>
          <cell r="B116" t="str">
            <v>BA231044</v>
          </cell>
          <cell r="C116" t="str">
            <v>SHEET -HEAT INSULATING FOR</v>
          </cell>
          <cell r="D116" t="str">
            <v>WA01</v>
          </cell>
          <cell r="E116">
            <v>1200</v>
          </cell>
          <cell r="F116">
            <v>0</v>
          </cell>
          <cell r="G116">
            <v>0</v>
          </cell>
          <cell r="H116">
            <v>1200</v>
          </cell>
          <cell r="I116">
            <v>0</v>
          </cell>
          <cell r="J116">
            <v>0</v>
          </cell>
          <cell r="K116">
            <v>0</v>
          </cell>
        </row>
        <row r="117">
          <cell r="A117">
            <v>114</v>
          </cell>
          <cell r="B117" t="str">
            <v>CD101094</v>
          </cell>
          <cell r="C117" t="str">
            <v>COWLING ASY.COMP. FOR H.T.</v>
          </cell>
          <cell r="D117" t="str">
            <v>AK01</v>
          </cell>
          <cell r="E117">
            <v>6576</v>
          </cell>
          <cell r="F117">
            <v>0</v>
          </cell>
          <cell r="G117">
            <v>0</v>
          </cell>
          <cell r="H117">
            <v>6576</v>
          </cell>
          <cell r="I117">
            <v>0</v>
          </cell>
          <cell r="J117">
            <v>0</v>
          </cell>
          <cell r="K117">
            <v>0</v>
          </cell>
        </row>
        <row r="118">
          <cell r="A118">
            <v>115</v>
          </cell>
          <cell r="B118" t="str">
            <v>CD121032</v>
          </cell>
          <cell r="C118" t="str">
            <v>AIR FILTER ASSLY.WITH CARTR</v>
          </cell>
          <cell r="D118" t="str">
            <v>AK01</v>
          </cell>
          <cell r="E118">
            <v>3200</v>
          </cell>
          <cell r="F118">
            <v>0</v>
          </cell>
          <cell r="G118">
            <v>0</v>
          </cell>
          <cell r="H118">
            <v>3200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>
            <v>116</v>
          </cell>
          <cell r="B119" t="str">
            <v>CL121007</v>
          </cell>
          <cell r="C119" t="str">
            <v>BELLOW :- CHETAK-4S (100 CC</v>
          </cell>
          <cell r="D119" t="str">
            <v>AK01</v>
          </cell>
          <cell r="E119">
            <v>2651</v>
          </cell>
          <cell r="F119">
            <v>0</v>
          </cell>
          <cell r="G119">
            <v>0</v>
          </cell>
          <cell r="H119">
            <v>2651</v>
          </cell>
          <cell r="I119">
            <v>0</v>
          </cell>
          <cell r="J119">
            <v>0</v>
          </cell>
          <cell r="K119">
            <v>0</v>
          </cell>
        </row>
        <row r="120">
          <cell r="A120">
            <v>117</v>
          </cell>
          <cell r="B120" t="str">
            <v>CL121021</v>
          </cell>
          <cell r="C120" t="str">
            <v>INTAKE DUCT WITH SLEEVE</v>
          </cell>
          <cell r="D120" t="str">
            <v>AK01</v>
          </cell>
          <cell r="E120">
            <v>2626</v>
          </cell>
          <cell r="F120">
            <v>0</v>
          </cell>
          <cell r="G120">
            <v>0</v>
          </cell>
          <cell r="H120">
            <v>2626</v>
          </cell>
          <cell r="I120">
            <v>0</v>
          </cell>
          <cell r="J120">
            <v>0</v>
          </cell>
          <cell r="K120">
            <v>0</v>
          </cell>
        </row>
        <row r="121">
          <cell r="A121">
            <v>118</v>
          </cell>
          <cell r="B121" t="str">
            <v>CL121023</v>
          </cell>
          <cell r="C121" t="str">
            <v>AIR FILTER ASSY WITH CARTRI</v>
          </cell>
          <cell r="D121" t="str">
            <v>AK01</v>
          </cell>
          <cell r="E121">
            <v>1900</v>
          </cell>
          <cell r="F121">
            <v>0</v>
          </cell>
          <cell r="G121">
            <v>0</v>
          </cell>
          <cell r="H121">
            <v>1900</v>
          </cell>
          <cell r="I121">
            <v>0</v>
          </cell>
          <cell r="J121">
            <v>0</v>
          </cell>
          <cell r="K121">
            <v>0</v>
          </cell>
        </row>
        <row r="122">
          <cell r="A122">
            <v>119</v>
          </cell>
          <cell r="B122" t="str">
            <v>CL161093</v>
          </cell>
          <cell r="C122" t="str">
            <v>NOSE</v>
          </cell>
          <cell r="D122" t="str">
            <v>AK01</v>
          </cell>
          <cell r="E122">
            <v>9500</v>
          </cell>
          <cell r="F122">
            <v>0</v>
          </cell>
          <cell r="G122">
            <v>0</v>
          </cell>
          <cell r="H122">
            <v>9500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>
            <v>120</v>
          </cell>
          <cell r="B123" t="str">
            <v>CL161094</v>
          </cell>
          <cell r="C123" t="str">
            <v>DISTANCE PIECE FOR NOSE WIT</v>
          </cell>
          <cell r="D123" t="str">
            <v>AK01</v>
          </cell>
          <cell r="E123">
            <v>8550</v>
          </cell>
          <cell r="F123">
            <v>0</v>
          </cell>
          <cell r="G123">
            <v>0</v>
          </cell>
          <cell r="H123">
            <v>8550</v>
          </cell>
          <cell r="I123">
            <v>0</v>
          </cell>
          <cell r="J123">
            <v>0</v>
          </cell>
          <cell r="K123">
            <v>0</v>
          </cell>
        </row>
        <row r="124">
          <cell r="A124">
            <v>121</v>
          </cell>
          <cell r="B124" t="str">
            <v>CL161095</v>
          </cell>
          <cell r="C124" t="str">
            <v>BRACKET ASSEMBLY</v>
          </cell>
          <cell r="D124" t="str">
            <v>AK01</v>
          </cell>
          <cell r="E124">
            <v>8000</v>
          </cell>
          <cell r="F124">
            <v>0</v>
          </cell>
          <cell r="G124">
            <v>0</v>
          </cell>
          <cell r="H124">
            <v>8000</v>
          </cell>
          <cell r="I124">
            <v>0</v>
          </cell>
          <cell r="J124">
            <v>0</v>
          </cell>
          <cell r="K124">
            <v>0</v>
          </cell>
        </row>
        <row r="125">
          <cell r="A125">
            <v>122</v>
          </cell>
          <cell r="B125" t="str">
            <v>CL181013</v>
          </cell>
          <cell r="C125" t="str">
            <v>RIM FOR HANDLE BAR</v>
          </cell>
          <cell r="D125" t="str">
            <v>AK01</v>
          </cell>
          <cell r="E125">
            <v>341</v>
          </cell>
          <cell r="F125">
            <v>0</v>
          </cell>
          <cell r="G125">
            <v>0</v>
          </cell>
          <cell r="H125">
            <v>341</v>
          </cell>
          <cell r="I125">
            <v>0</v>
          </cell>
          <cell r="J125">
            <v>0</v>
          </cell>
          <cell r="K125">
            <v>0</v>
          </cell>
        </row>
        <row r="126">
          <cell r="A126">
            <v>123</v>
          </cell>
          <cell r="B126" t="str">
            <v>DD101219</v>
          </cell>
          <cell r="C126" t="str">
            <v>TUBE - RUBBER</v>
          </cell>
          <cell r="D126" t="str">
            <v>WA03</v>
          </cell>
          <cell r="E126">
            <v>75</v>
          </cell>
          <cell r="F126">
            <v>0</v>
          </cell>
          <cell r="G126">
            <v>0</v>
          </cell>
          <cell r="H126">
            <v>75</v>
          </cell>
          <cell r="I126">
            <v>0</v>
          </cell>
          <cell r="J126">
            <v>0</v>
          </cell>
          <cell r="K126">
            <v>0</v>
          </cell>
        </row>
        <row r="127">
          <cell r="A127">
            <v>124</v>
          </cell>
          <cell r="B127" t="str">
            <v>DD101325</v>
          </cell>
          <cell r="C127" t="str">
            <v>CAP - OIL FILLER</v>
          </cell>
          <cell r="D127" t="str">
            <v>WA01</v>
          </cell>
          <cell r="E127">
            <v>41100</v>
          </cell>
          <cell r="F127">
            <v>0</v>
          </cell>
          <cell r="G127">
            <v>0</v>
          </cell>
          <cell r="H127">
            <v>41100</v>
          </cell>
          <cell r="I127">
            <v>0</v>
          </cell>
          <cell r="J127">
            <v>0</v>
          </cell>
          <cell r="K127">
            <v>0</v>
          </cell>
        </row>
        <row r="128">
          <cell r="A128">
            <v>125</v>
          </cell>
          <cell r="B128" t="str">
            <v>DD101325</v>
          </cell>
          <cell r="C128" t="str">
            <v>CAP - OIL FILLER</v>
          </cell>
          <cell r="D128" t="str">
            <v>WA03</v>
          </cell>
          <cell r="E128">
            <v>6000</v>
          </cell>
          <cell r="F128">
            <v>0</v>
          </cell>
          <cell r="G128">
            <v>0</v>
          </cell>
          <cell r="H128">
            <v>6000</v>
          </cell>
          <cell r="I128">
            <v>0</v>
          </cell>
          <cell r="J128">
            <v>0</v>
          </cell>
          <cell r="K128">
            <v>0</v>
          </cell>
        </row>
        <row r="129">
          <cell r="A129">
            <v>126</v>
          </cell>
          <cell r="B129" t="str">
            <v>DD121145</v>
          </cell>
          <cell r="C129" t="str">
            <v>FILTER ASSEMBLY - AIR</v>
          </cell>
          <cell r="D129" t="str">
            <v>WA03</v>
          </cell>
          <cell r="E129">
            <v>20</v>
          </cell>
          <cell r="F129">
            <v>0</v>
          </cell>
          <cell r="G129">
            <v>0</v>
          </cell>
          <cell r="H129">
            <v>20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>
            <v>127</v>
          </cell>
          <cell r="B130" t="str">
            <v>DD161010</v>
          </cell>
          <cell r="C130" t="str">
            <v>FENDER - FRONT</v>
          </cell>
          <cell r="D130" t="str">
            <v>WA03</v>
          </cell>
          <cell r="E130">
            <v>128</v>
          </cell>
          <cell r="F130">
            <v>0</v>
          </cell>
          <cell r="G130">
            <v>0</v>
          </cell>
          <cell r="H130">
            <v>128</v>
          </cell>
          <cell r="I130">
            <v>0</v>
          </cell>
          <cell r="J130">
            <v>0</v>
          </cell>
          <cell r="K130">
            <v>0</v>
          </cell>
        </row>
        <row r="131">
          <cell r="A131">
            <v>128</v>
          </cell>
          <cell r="B131" t="str">
            <v>DD161079</v>
          </cell>
          <cell r="C131" t="str">
            <v>COVER - SEAT</v>
          </cell>
          <cell r="D131" t="str">
            <v>WA01</v>
          </cell>
          <cell r="E131">
            <v>15150</v>
          </cell>
          <cell r="F131">
            <v>0</v>
          </cell>
          <cell r="G131">
            <v>0</v>
          </cell>
          <cell r="H131">
            <v>15150</v>
          </cell>
          <cell r="I131">
            <v>0</v>
          </cell>
          <cell r="J131">
            <v>0</v>
          </cell>
          <cell r="K131">
            <v>0</v>
          </cell>
        </row>
        <row r="132">
          <cell r="A132">
            <v>129</v>
          </cell>
          <cell r="B132" t="str">
            <v>DD161280</v>
          </cell>
          <cell r="C132" t="str">
            <v>FENDER-REAR</v>
          </cell>
          <cell r="D132" t="str">
            <v>WA03</v>
          </cell>
          <cell r="E132">
            <v>200</v>
          </cell>
          <cell r="F132">
            <v>0</v>
          </cell>
          <cell r="G132">
            <v>0</v>
          </cell>
          <cell r="H132">
            <v>200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>
            <v>130</v>
          </cell>
          <cell r="B133" t="str">
            <v>DD181109</v>
          </cell>
          <cell r="C133" t="str">
            <v>COWLING (FAIRING) / DAMPER</v>
          </cell>
          <cell r="D133" t="str">
            <v>WA01</v>
          </cell>
          <cell r="E133">
            <v>126</v>
          </cell>
          <cell r="F133">
            <v>0</v>
          </cell>
          <cell r="G133">
            <v>0</v>
          </cell>
          <cell r="H133">
            <v>126</v>
          </cell>
          <cell r="I133">
            <v>0</v>
          </cell>
          <cell r="J133">
            <v>0</v>
          </cell>
          <cell r="K133">
            <v>0</v>
          </cell>
        </row>
        <row r="134">
          <cell r="A134">
            <v>131</v>
          </cell>
          <cell r="B134" t="str">
            <v>DD191056</v>
          </cell>
          <cell r="C134" t="str">
            <v>GRIP - LEFT HAND</v>
          </cell>
          <cell r="D134" t="str">
            <v>WA01</v>
          </cell>
          <cell r="E134">
            <v>18300</v>
          </cell>
          <cell r="F134">
            <v>0</v>
          </cell>
          <cell r="G134">
            <v>0</v>
          </cell>
          <cell r="H134">
            <v>18300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>
            <v>132</v>
          </cell>
          <cell r="B135" t="str">
            <v>DD191056</v>
          </cell>
          <cell r="C135" t="str">
            <v>GRIP - LEFT HAND</v>
          </cell>
          <cell r="D135" t="str">
            <v>WA03</v>
          </cell>
          <cell r="E135">
            <v>250</v>
          </cell>
          <cell r="F135">
            <v>0</v>
          </cell>
          <cell r="G135">
            <v>0</v>
          </cell>
          <cell r="H135">
            <v>250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>
            <v>133</v>
          </cell>
          <cell r="B136" t="str">
            <v>DD191057</v>
          </cell>
          <cell r="C136" t="str">
            <v>GRIP ASSEMBLY - RIGHT HAND</v>
          </cell>
          <cell r="D136" t="str">
            <v>WA03</v>
          </cell>
          <cell r="E136">
            <v>593</v>
          </cell>
          <cell r="F136">
            <v>0</v>
          </cell>
          <cell r="G136">
            <v>0</v>
          </cell>
          <cell r="H136">
            <v>593</v>
          </cell>
          <cell r="I136">
            <v>0</v>
          </cell>
          <cell r="J136">
            <v>0</v>
          </cell>
          <cell r="K136">
            <v>0</v>
          </cell>
        </row>
        <row r="137">
          <cell r="A137">
            <v>134</v>
          </cell>
          <cell r="B137" t="str">
            <v>DF141128</v>
          </cell>
          <cell r="C137" t="str">
            <v>DAMPER (FUEL TANK MOUNTNG)</v>
          </cell>
          <cell r="D137" t="str">
            <v>WA01</v>
          </cell>
          <cell r="E137">
            <v>92000</v>
          </cell>
          <cell r="F137">
            <v>0</v>
          </cell>
          <cell r="G137">
            <v>0</v>
          </cell>
          <cell r="H137">
            <v>92000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>
            <v>135</v>
          </cell>
          <cell r="B138" t="str">
            <v>DF161104</v>
          </cell>
          <cell r="C138" t="str">
            <v>FENDER - REAR</v>
          </cell>
          <cell r="D138" t="str">
            <v>WA03</v>
          </cell>
          <cell r="E138">
            <v>90</v>
          </cell>
          <cell r="F138">
            <v>0</v>
          </cell>
          <cell r="G138">
            <v>0</v>
          </cell>
          <cell r="H138">
            <v>90</v>
          </cell>
          <cell r="I138">
            <v>0</v>
          </cell>
          <cell r="J138">
            <v>0</v>
          </cell>
          <cell r="K138">
            <v>0</v>
          </cell>
        </row>
        <row r="139">
          <cell r="A139">
            <v>136</v>
          </cell>
          <cell r="B139" t="str">
            <v>DF181036</v>
          </cell>
          <cell r="C139" t="str">
            <v>COWLING - LH</v>
          </cell>
          <cell r="D139" t="str">
            <v>WA01</v>
          </cell>
          <cell r="E139">
            <v>24280</v>
          </cell>
          <cell r="F139">
            <v>0</v>
          </cell>
          <cell r="G139">
            <v>0</v>
          </cell>
          <cell r="H139">
            <v>24280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>
            <v>137</v>
          </cell>
          <cell r="B140" t="str">
            <v>DF181037</v>
          </cell>
          <cell r="C140" t="str">
            <v>COWLING - RH</v>
          </cell>
          <cell r="D140" t="str">
            <v>WA01</v>
          </cell>
          <cell r="E140">
            <v>22500</v>
          </cell>
          <cell r="F140">
            <v>0</v>
          </cell>
          <cell r="G140">
            <v>0</v>
          </cell>
          <cell r="H140">
            <v>22500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>
            <v>138</v>
          </cell>
          <cell r="B141" t="str">
            <v>DF181059</v>
          </cell>
          <cell r="C141" t="str">
            <v>WINDSHIELD WITH LABEL - `KA</v>
          </cell>
          <cell r="D141" t="str">
            <v>WA01</v>
          </cell>
          <cell r="E141">
            <v>22703</v>
          </cell>
          <cell r="F141">
            <v>0</v>
          </cell>
          <cell r="G141">
            <v>0</v>
          </cell>
          <cell r="H141">
            <v>22703</v>
          </cell>
          <cell r="I141">
            <v>0</v>
          </cell>
          <cell r="J141">
            <v>0</v>
          </cell>
          <cell r="K141">
            <v>0</v>
          </cell>
        </row>
        <row r="142">
          <cell r="A142">
            <v>139</v>
          </cell>
          <cell r="B142" t="str">
            <v>DF181059</v>
          </cell>
          <cell r="C142" t="str">
            <v>WINDSHIELD WITH LABEL - `KA</v>
          </cell>
          <cell r="D142" t="str">
            <v>WA03</v>
          </cell>
          <cell r="E142">
            <v>1500</v>
          </cell>
          <cell r="F142">
            <v>0</v>
          </cell>
          <cell r="G142">
            <v>0</v>
          </cell>
          <cell r="H142">
            <v>1500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>
            <v>140</v>
          </cell>
          <cell r="B143" t="str">
            <v>DF181060</v>
          </cell>
          <cell r="C143" t="str">
            <v>WINDSHIELD WITH LABEL :- `b</v>
          </cell>
          <cell r="D143" t="str">
            <v>WA01</v>
          </cell>
          <cell r="E143">
            <v>1920</v>
          </cell>
          <cell r="F143">
            <v>0</v>
          </cell>
          <cell r="G143">
            <v>0</v>
          </cell>
          <cell r="H143">
            <v>1920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>
            <v>141</v>
          </cell>
          <cell r="B144" t="str">
            <v>DF211032</v>
          </cell>
          <cell r="C144" t="str">
            <v>SEAT ASY+DAMPR+`bajaj' W/O</v>
          </cell>
          <cell r="D144" t="str">
            <v>WA03</v>
          </cell>
          <cell r="E144">
            <v>9</v>
          </cell>
          <cell r="F144">
            <v>0</v>
          </cell>
          <cell r="G144">
            <v>0</v>
          </cell>
          <cell r="H144">
            <v>9</v>
          </cell>
          <cell r="I144">
            <v>0</v>
          </cell>
          <cell r="J144">
            <v>0</v>
          </cell>
          <cell r="K144">
            <v>0</v>
          </cell>
        </row>
        <row r="145">
          <cell r="A145">
            <v>142</v>
          </cell>
          <cell r="B145" t="str">
            <v>DF221017</v>
          </cell>
          <cell r="C145" t="str">
            <v>COVER - GRIP FRAME ASSEMBLY</v>
          </cell>
          <cell r="D145" t="str">
            <v>WA03</v>
          </cell>
          <cell r="E145">
            <v>140</v>
          </cell>
          <cell r="F145">
            <v>0</v>
          </cell>
          <cell r="G145">
            <v>0</v>
          </cell>
          <cell r="H145">
            <v>140</v>
          </cell>
          <cell r="I145">
            <v>0</v>
          </cell>
          <cell r="J145">
            <v>0</v>
          </cell>
          <cell r="K145">
            <v>0</v>
          </cell>
        </row>
        <row r="146">
          <cell r="A146">
            <v>143</v>
          </cell>
          <cell r="B146" t="str">
            <v>DF221018</v>
          </cell>
          <cell r="C146" t="str">
            <v>COVER ASSEMBLY - GRIP FRAME</v>
          </cell>
          <cell r="D146" t="str">
            <v>WA03</v>
          </cell>
          <cell r="E146">
            <v>60</v>
          </cell>
          <cell r="F146">
            <v>0</v>
          </cell>
          <cell r="G146">
            <v>0</v>
          </cell>
          <cell r="H146">
            <v>60</v>
          </cell>
          <cell r="I146">
            <v>0</v>
          </cell>
          <cell r="J146">
            <v>0</v>
          </cell>
          <cell r="K146">
            <v>0</v>
          </cell>
        </row>
        <row r="147">
          <cell r="A147">
            <v>144</v>
          </cell>
          <cell r="B147" t="str">
            <v>DG101023</v>
          </cell>
          <cell r="C147" t="str">
            <v>HOLDER - CARBURETTOR</v>
          </cell>
          <cell r="D147" t="str">
            <v>WA01</v>
          </cell>
          <cell r="E147">
            <v>70</v>
          </cell>
          <cell r="F147">
            <v>0</v>
          </cell>
          <cell r="G147">
            <v>0</v>
          </cell>
          <cell r="H147">
            <v>70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>
            <v>145</v>
          </cell>
          <cell r="B148" t="str">
            <v>DG101188</v>
          </cell>
          <cell r="C148" t="str">
            <v>DAMPER</v>
          </cell>
          <cell r="D148" t="str">
            <v>WA01</v>
          </cell>
          <cell r="E148">
            <v>130</v>
          </cell>
          <cell r="F148">
            <v>0</v>
          </cell>
          <cell r="G148">
            <v>0</v>
          </cell>
          <cell r="H148">
            <v>130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>
            <v>146</v>
          </cell>
          <cell r="B149" t="str">
            <v>DG101339</v>
          </cell>
          <cell r="C149" t="str">
            <v>DAMPER</v>
          </cell>
          <cell r="D149" t="str">
            <v>WA01</v>
          </cell>
          <cell r="E149">
            <v>90</v>
          </cell>
          <cell r="F149">
            <v>0</v>
          </cell>
          <cell r="G149">
            <v>0</v>
          </cell>
          <cell r="H149">
            <v>90</v>
          </cell>
          <cell r="I149">
            <v>0</v>
          </cell>
          <cell r="J149">
            <v>0</v>
          </cell>
          <cell r="K149">
            <v>0</v>
          </cell>
        </row>
        <row r="150">
          <cell r="A150">
            <v>147</v>
          </cell>
          <cell r="B150" t="str">
            <v>DG141039</v>
          </cell>
          <cell r="C150" t="str">
            <v>COVER</v>
          </cell>
          <cell r="D150" t="str">
            <v>WA01</v>
          </cell>
          <cell r="E150">
            <v>125</v>
          </cell>
          <cell r="F150">
            <v>0</v>
          </cell>
          <cell r="G150">
            <v>0</v>
          </cell>
          <cell r="H150">
            <v>125</v>
          </cell>
          <cell r="I150">
            <v>0</v>
          </cell>
          <cell r="J150">
            <v>0</v>
          </cell>
          <cell r="K150">
            <v>0</v>
          </cell>
        </row>
        <row r="151">
          <cell r="A151">
            <v>148</v>
          </cell>
          <cell r="B151" t="str">
            <v>DG161120</v>
          </cell>
          <cell r="C151" t="str">
            <v>CASE - CHAIN</v>
          </cell>
          <cell r="D151" t="str">
            <v>WA01</v>
          </cell>
          <cell r="E151">
            <v>37</v>
          </cell>
          <cell r="F151">
            <v>0</v>
          </cell>
          <cell r="G151">
            <v>0</v>
          </cell>
          <cell r="H151">
            <v>37</v>
          </cell>
          <cell r="I151">
            <v>0</v>
          </cell>
          <cell r="J151">
            <v>0</v>
          </cell>
          <cell r="K151">
            <v>0</v>
          </cell>
        </row>
        <row r="152">
          <cell r="A152">
            <v>149</v>
          </cell>
          <cell r="B152" t="str">
            <v>DG161167</v>
          </cell>
          <cell r="C152" t="str">
            <v>BAND</v>
          </cell>
          <cell r="D152" t="str">
            <v>WA01</v>
          </cell>
          <cell r="E152">
            <v>170</v>
          </cell>
          <cell r="F152">
            <v>0</v>
          </cell>
          <cell r="G152">
            <v>0</v>
          </cell>
          <cell r="H152">
            <v>170</v>
          </cell>
          <cell r="I152">
            <v>0</v>
          </cell>
          <cell r="J152">
            <v>0</v>
          </cell>
          <cell r="K152">
            <v>0</v>
          </cell>
        </row>
        <row r="153">
          <cell r="A153">
            <v>150</v>
          </cell>
          <cell r="B153" t="str">
            <v>DG161183</v>
          </cell>
          <cell r="C153" t="str">
            <v>COVER - REAR FENDER :- RIGH</v>
          </cell>
          <cell r="D153" t="str">
            <v>WA01</v>
          </cell>
          <cell r="E153">
            <v>50</v>
          </cell>
          <cell r="F153">
            <v>0</v>
          </cell>
          <cell r="G153">
            <v>0</v>
          </cell>
          <cell r="H153">
            <v>50</v>
          </cell>
          <cell r="I153">
            <v>0</v>
          </cell>
          <cell r="J153">
            <v>0</v>
          </cell>
          <cell r="K153">
            <v>0</v>
          </cell>
        </row>
        <row r="154">
          <cell r="A154">
            <v>151</v>
          </cell>
          <cell r="B154" t="str">
            <v>DG161220</v>
          </cell>
          <cell r="C154" t="str">
            <v>COVER - SIDE :- RIGHT HAND</v>
          </cell>
          <cell r="D154" t="str">
            <v>WA01</v>
          </cell>
          <cell r="E154">
            <v>60</v>
          </cell>
          <cell r="F154">
            <v>0</v>
          </cell>
          <cell r="G154">
            <v>0</v>
          </cell>
          <cell r="H154">
            <v>60</v>
          </cell>
          <cell r="I154">
            <v>0</v>
          </cell>
          <cell r="J154">
            <v>0</v>
          </cell>
          <cell r="K154">
            <v>0</v>
          </cell>
        </row>
        <row r="155">
          <cell r="A155">
            <v>152</v>
          </cell>
          <cell r="B155" t="str">
            <v>DG161220</v>
          </cell>
          <cell r="C155" t="str">
            <v>COVER - SIDE :- RIGHT HAND</v>
          </cell>
          <cell r="D155" t="str">
            <v>WA03</v>
          </cell>
          <cell r="E155">
            <v>30</v>
          </cell>
          <cell r="F155">
            <v>0</v>
          </cell>
          <cell r="G155">
            <v>0</v>
          </cell>
          <cell r="H155">
            <v>30</v>
          </cell>
          <cell r="I155">
            <v>0</v>
          </cell>
          <cell r="J155">
            <v>0</v>
          </cell>
          <cell r="K155">
            <v>0</v>
          </cell>
        </row>
        <row r="156">
          <cell r="A156">
            <v>153</v>
          </cell>
          <cell r="B156" t="str">
            <v>DG161267</v>
          </cell>
          <cell r="C156" t="str">
            <v>FLAP</v>
          </cell>
          <cell r="D156" t="str">
            <v>WA01</v>
          </cell>
          <cell r="E156">
            <v>61</v>
          </cell>
          <cell r="F156">
            <v>0</v>
          </cell>
          <cell r="G156">
            <v>0</v>
          </cell>
          <cell r="H156">
            <v>61</v>
          </cell>
          <cell r="I156">
            <v>0</v>
          </cell>
          <cell r="J156">
            <v>0</v>
          </cell>
          <cell r="K156">
            <v>0</v>
          </cell>
        </row>
        <row r="157">
          <cell r="A157">
            <v>154</v>
          </cell>
          <cell r="B157" t="str">
            <v>DG191015</v>
          </cell>
          <cell r="C157" t="str">
            <v>GRIP - LH</v>
          </cell>
          <cell r="D157" t="str">
            <v>WA01</v>
          </cell>
          <cell r="E157">
            <v>50</v>
          </cell>
          <cell r="F157">
            <v>0</v>
          </cell>
          <cell r="G157">
            <v>0</v>
          </cell>
          <cell r="H157">
            <v>50</v>
          </cell>
          <cell r="I157">
            <v>0</v>
          </cell>
          <cell r="J157">
            <v>0</v>
          </cell>
          <cell r="K157">
            <v>0</v>
          </cell>
        </row>
        <row r="158">
          <cell r="A158">
            <v>155</v>
          </cell>
          <cell r="B158" t="str">
            <v>DG191016</v>
          </cell>
          <cell r="C158" t="str">
            <v>GRIP ASSEMBLY - RH</v>
          </cell>
          <cell r="D158" t="str">
            <v>WA01</v>
          </cell>
          <cell r="E158">
            <v>100</v>
          </cell>
          <cell r="F158">
            <v>0</v>
          </cell>
          <cell r="G158">
            <v>0</v>
          </cell>
          <cell r="H158">
            <v>100</v>
          </cell>
          <cell r="I158">
            <v>0</v>
          </cell>
          <cell r="J158">
            <v>0</v>
          </cell>
          <cell r="K158">
            <v>0</v>
          </cell>
        </row>
        <row r="159">
          <cell r="A159">
            <v>156</v>
          </cell>
          <cell r="B159" t="str">
            <v>DH121016</v>
          </cell>
          <cell r="C159" t="str">
            <v>CLEANER COMPLETE - AIR</v>
          </cell>
          <cell r="D159" t="str">
            <v>CH01</v>
          </cell>
          <cell r="E159">
            <v>20</v>
          </cell>
          <cell r="F159">
            <v>0</v>
          </cell>
          <cell r="G159">
            <v>0</v>
          </cell>
          <cell r="H159">
            <v>20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>
            <v>157</v>
          </cell>
          <cell r="B160" t="str">
            <v>DH121020</v>
          </cell>
          <cell r="C160" t="str">
            <v>BRACKET - LOCK</v>
          </cell>
          <cell r="D160" t="str">
            <v>WA03</v>
          </cell>
          <cell r="E160">
            <v>200</v>
          </cell>
          <cell r="F160">
            <v>0</v>
          </cell>
          <cell r="G160">
            <v>0</v>
          </cell>
          <cell r="H160">
            <v>200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>
            <v>158</v>
          </cell>
          <cell r="B161" t="str">
            <v>DH121022</v>
          </cell>
          <cell r="C161" t="str">
            <v>ELEMENT - AIR FILTER</v>
          </cell>
          <cell r="D161" t="str">
            <v>WA03</v>
          </cell>
          <cell r="E161">
            <v>5700</v>
          </cell>
          <cell r="F161">
            <v>0</v>
          </cell>
          <cell r="G161">
            <v>0</v>
          </cell>
          <cell r="H161">
            <v>5700</v>
          </cell>
          <cell r="I161">
            <v>0</v>
          </cell>
          <cell r="J161">
            <v>0</v>
          </cell>
          <cell r="K161">
            <v>0</v>
          </cell>
        </row>
        <row r="162">
          <cell r="A162">
            <v>159</v>
          </cell>
          <cell r="B162" t="str">
            <v>DJ121005</v>
          </cell>
          <cell r="C162" t="str">
            <v>TUBE - CONNECTING (FOR BS26</v>
          </cell>
          <cell r="D162" t="str">
            <v>WA03</v>
          </cell>
          <cell r="E162">
            <v>60</v>
          </cell>
          <cell r="F162">
            <v>0</v>
          </cell>
          <cell r="G162">
            <v>0</v>
          </cell>
          <cell r="H162">
            <v>60</v>
          </cell>
          <cell r="I162">
            <v>0</v>
          </cell>
          <cell r="J162">
            <v>0</v>
          </cell>
          <cell r="K162">
            <v>0</v>
          </cell>
        </row>
        <row r="163">
          <cell r="A163">
            <v>160</v>
          </cell>
          <cell r="B163" t="str">
            <v>DL161016</v>
          </cell>
          <cell r="C163" t="str">
            <v>COVER - SIDE :- LEFT</v>
          </cell>
          <cell r="D163" t="str">
            <v>WA01</v>
          </cell>
          <cell r="E163">
            <v>23495</v>
          </cell>
          <cell r="F163">
            <v>0</v>
          </cell>
          <cell r="G163">
            <v>0</v>
          </cell>
          <cell r="H163">
            <v>23495</v>
          </cell>
          <cell r="I163">
            <v>0</v>
          </cell>
          <cell r="J163">
            <v>0</v>
          </cell>
          <cell r="K163">
            <v>0</v>
          </cell>
        </row>
        <row r="164">
          <cell r="A164">
            <v>161</v>
          </cell>
          <cell r="B164" t="str">
            <v>DL161018</v>
          </cell>
          <cell r="C164" t="str">
            <v>COVER - SIDE :- RIGHT</v>
          </cell>
          <cell r="D164" t="str">
            <v>WA01</v>
          </cell>
          <cell r="E164">
            <v>23595</v>
          </cell>
          <cell r="F164">
            <v>0</v>
          </cell>
          <cell r="G164">
            <v>0</v>
          </cell>
          <cell r="H164">
            <v>23595</v>
          </cell>
          <cell r="I164">
            <v>0</v>
          </cell>
          <cell r="J164">
            <v>0</v>
          </cell>
          <cell r="K164">
            <v>0</v>
          </cell>
        </row>
        <row r="165">
          <cell r="A165">
            <v>162</v>
          </cell>
          <cell r="B165" t="str">
            <v>DM121002</v>
          </cell>
          <cell r="C165" t="str">
            <v>FILTER ASSEMBLY - AIR</v>
          </cell>
          <cell r="D165" t="str">
            <v>WA01</v>
          </cell>
          <cell r="E165">
            <v>28542</v>
          </cell>
          <cell r="F165">
            <v>0</v>
          </cell>
          <cell r="G165">
            <v>0</v>
          </cell>
          <cell r="H165">
            <v>28542</v>
          </cell>
          <cell r="I165">
            <v>0</v>
          </cell>
          <cell r="J165">
            <v>0</v>
          </cell>
          <cell r="K165">
            <v>0</v>
          </cell>
        </row>
        <row r="166">
          <cell r="A166">
            <v>163</v>
          </cell>
          <cell r="B166" t="str">
            <v>DM121002</v>
          </cell>
          <cell r="C166" t="str">
            <v>FILTER ASSEMBLY - AIR</v>
          </cell>
          <cell r="D166" t="str">
            <v>WA03</v>
          </cell>
          <cell r="E166">
            <v>10</v>
          </cell>
          <cell r="F166">
            <v>0</v>
          </cell>
          <cell r="G166">
            <v>0</v>
          </cell>
          <cell r="H166">
            <v>10</v>
          </cell>
          <cell r="I166">
            <v>0</v>
          </cell>
          <cell r="J166">
            <v>0</v>
          </cell>
          <cell r="K166">
            <v>0</v>
          </cell>
        </row>
        <row r="167">
          <cell r="A167">
            <v>164</v>
          </cell>
          <cell r="B167" t="str">
            <v>DM121003</v>
          </cell>
          <cell r="C167" t="str">
            <v>CASE AIR FILTER</v>
          </cell>
          <cell r="D167" t="str">
            <v>WA03</v>
          </cell>
          <cell r="E167">
            <v>96</v>
          </cell>
          <cell r="F167">
            <v>0</v>
          </cell>
          <cell r="G167">
            <v>0</v>
          </cell>
          <cell r="H167">
            <v>96</v>
          </cell>
          <cell r="I167">
            <v>0</v>
          </cell>
          <cell r="J167">
            <v>0</v>
          </cell>
          <cell r="K167">
            <v>0</v>
          </cell>
        </row>
        <row r="168">
          <cell r="A168">
            <v>165</v>
          </cell>
          <cell r="B168" t="str">
            <v>DM121004</v>
          </cell>
          <cell r="C168" t="str">
            <v>CAP</v>
          </cell>
          <cell r="D168" t="str">
            <v>WA03</v>
          </cell>
          <cell r="E168">
            <v>69</v>
          </cell>
          <cell r="F168">
            <v>0</v>
          </cell>
          <cell r="G168">
            <v>0</v>
          </cell>
          <cell r="H168">
            <v>69</v>
          </cell>
          <cell r="I168">
            <v>0</v>
          </cell>
          <cell r="J168">
            <v>0</v>
          </cell>
          <cell r="K168">
            <v>0</v>
          </cell>
        </row>
        <row r="169">
          <cell r="A169">
            <v>166</v>
          </cell>
          <cell r="B169" t="str">
            <v>DM121010</v>
          </cell>
          <cell r="C169" t="str">
            <v>BAND - BATTERY</v>
          </cell>
          <cell r="D169" t="str">
            <v>WA03</v>
          </cell>
          <cell r="E169">
            <v>20</v>
          </cell>
          <cell r="F169">
            <v>0</v>
          </cell>
          <cell r="G169">
            <v>0</v>
          </cell>
          <cell r="H169">
            <v>20</v>
          </cell>
          <cell r="I169">
            <v>0</v>
          </cell>
          <cell r="J169">
            <v>0</v>
          </cell>
          <cell r="K169">
            <v>0</v>
          </cell>
        </row>
        <row r="170">
          <cell r="A170">
            <v>167</v>
          </cell>
          <cell r="B170" t="str">
            <v>DM121014</v>
          </cell>
          <cell r="C170" t="str">
            <v>TUBE - OIL DRAIN</v>
          </cell>
          <cell r="D170" t="str">
            <v>WA03</v>
          </cell>
          <cell r="E170">
            <v>40</v>
          </cell>
          <cell r="F170">
            <v>0</v>
          </cell>
          <cell r="G170">
            <v>0</v>
          </cell>
          <cell r="H170">
            <v>40</v>
          </cell>
          <cell r="I170">
            <v>0</v>
          </cell>
          <cell r="J170">
            <v>0</v>
          </cell>
          <cell r="K170">
            <v>0</v>
          </cell>
        </row>
        <row r="171">
          <cell r="A171">
            <v>168</v>
          </cell>
          <cell r="B171" t="str">
            <v>DM121023</v>
          </cell>
          <cell r="C171" t="str">
            <v>TUBE - CARBURETTOR AIR VENT</v>
          </cell>
          <cell r="D171" t="str">
            <v>WA01</v>
          </cell>
          <cell r="E171">
            <v>43000</v>
          </cell>
          <cell r="F171">
            <v>0</v>
          </cell>
          <cell r="G171">
            <v>0</v>
          </cell>
          <cell r="H171">
            <v>43000</v>
          </cell>
          <cell r="I171">
            <v>0</v>
          </cell>
          <cell r="J171">
            <v>0</v>
          </cell>
          <cell r="K171">
            <v>0</v>
          </cell>
        </row>
        <row r="172">
          <cell r="A172">
            <v>169</v>
          </cell>
          <cell r="B172" t="str">
            <v>DM121031</v>
          </cell>
          <cell r="C172" t="str">
            <v>TUBE ASSEMBLY - CARBURETTOR</v>
          </cell>
          <cell r="D172" t="str">
            <v>WA03</v>
          </cell>
          <cell r="E172">
            <v>50</v>
          </cell>
          <cell r="F172">
            <v>0</v>
          </cell>
          <cell r="G172">
            <v>0</v>
          </cell>
          <cell r="H172">
            <v>50</v>
          </cell>
          <cell r="I172">
            <v>0</v>
          </cell>
          <cell r="J172">
            <v>0</v>
          </cell>
          <cell r="K172">
            <v>0</v>
          </cell>
        </row>
        <row r="173">
          <cell r="A173">
            <v>170</v>
          </cell>
          <cell r="B173" t="str">
            <v>DP121021</v>
          </cell>
          <cell r="C173" t="str">
            <v>FILTER ASSEMBLY - AIR</v>
          </cell>
          <cell r="D173" t="str">
            <v>WA01</v>
          </cell>
          <cell r="E173">
            <v>3126</v>
          </cell>
          <cell r="F173">
            <v>0</v>
          </cell>
          <cell r="G173">
            <v>0</v>
          </cell>
          <cell r="H173">
            <v>3126</v>
          </cell>
          <cell r="I173">
            <v>0</v>
          </cell>
          <cell r="J173">
            <v>0</v>
          </cell>
          <cell r="K173">
            <v>0</v>
          </cell>
        </row>
        <row r="174">
          <cell r="A174">
            <v>171</v>
          </cell>
          <cell r="B174" t="str">
            <v>DP161006</v>
          </cell>
          <cell r="C174" t="str">
            <v>FENDER-REAR FR</v>
          </cell>
          <cell r="D174" t="str">
            <v>WA01</v>
          </cell>
          <cell r="E174">
            <v>2910</v>
          </cell>
          <cell r="F174">
            <v>0</v>
          </cell>
          <cell r="G174">
            <v>0</v>
          </cell>
          <cell r="H174">
            <v>2910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>
            <v>172</v>
          </cell>
          <cell r="B175" t="str">
            <v>DP161062</v>
          </cell>
          <cell r="C175" t="str">
            <v>COVER - SEAT :- LEFT</v>
          </cell>
          <cell r="D175" t="str">
            <v>WA01</v>
          </cell>
          <cell r="E175">
            <v>3280</v>
          </cell>
          <cell r="F175">
            <v>0</v>
          </cell>
          <cell r="G175">
            <v>0</v>
          </cell>
          <cell r="H175">
            <v>3280</v>
          </cell>
          <cell r="I175">
            <v>0</v>
          </cell>
          <cell r="J175">
            <v>0</v>
          </cell>
          <cell r="K175">
            <v>0</v>
          </cell>
        </row>
        <row r="176">
          <cell r="A176">
            <v>173</v>
          </cell>
          <cell r="B176" t="str">
            <v>DP161063</v>
          </cell>
          <cell r="C176" t="str">
            <v>COVER - SEAT :- RIGHT</v>
          </cell>
          <cell r="D176" t="str">
            <v>WA01</v>
          </cell>
          <cell r="E176">
            <v>3080</v>
          </cell>
          <cell r="F176">
            <v>0</v>
          </cell>
          <cell r="G176">
            <v>0</v>
          </cell>
          <cell r="H176">
            <v>3080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174</v>
          </cell>
          <cell r="B177" t="str">
            <v>DP161064</v>
          </cell>
          <cell r="C177" t="str">
            <v>COVER-TAIL</v>
          </cell>
          <cell r="D177" t="str">
            <v>WA01</v>
          </cell>
          <cell r="E177">
            <v>3195</v>
          </cell>
          <cell r="F177">
            <v>0</v>
          </cell>
          <cell r="G177">
            <v>0</v>
          </cell>
          <cell r="H177">
            <v>3195</v>
          </cell>
          <cell r="I177">
            <v>0</v>
          </cell>
          <cell r="J177">
            <v>0</v>
          </cell>
          <cell r="K177">
            <v>0</v>
          </cell>
        </row>
        <row r="178">
          <cell r="A178">
            <v>175</v>
          </cell>
          <cell r="B178" t="str">
            <v>DP161132</v>
          </cell>
          <cell r="C178" t="str">
            <v>DAMPER (STEP-RUBBER)</v>
          </cell>
          <cell r="D178" t="str">
            <v>WA01</v>
          </cell>
          <cell r="E178">
            <v>5100</v>
          </cell>
          <cell r="F178">
            <v>0</v>
          </cell>
          <cell r="G178">
            <v>0</v>
          </cell>
          <cell r="H178">
            <v>5100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>
            <v>176</v>
          </cell>
          <cell r="B179" t="str">
            <v>DP161182</v>
          </cell>
          <cell r="C179" t="str">
            <v>BAND-BATTERY</v>
          </cell>
          <cell r="D179" t="str">
            <v>WA01</v>
          </cell>
          <cell r="E179">
            <v>3223</v>
          </cell>
          <cell r="F179">
            <v>0</v>
          </cell>
          <cell r="G179">
            <v>0</v>
          </cell>
          <cell r="H179">
            <v>3223</v>
          </cell>
          <cell r="I179">
            <v>0</v>
          </cell>
          <cell r="J179">
            <v>0</v>
          </cell>
          <cell r="K179">
            <v>0</v>
          </cell>
        </row>
        <row r="180">
          <cell r="A180">
            <v>177</v>
          </cell>
          <cell r="B180" t="str">
            <v>DP191015</v>
          </cell>
          <cell r="C180" t="str">
            <v>GRIP - ASSEMBLY (RH)</v>
          </cell>
          <cell r="D180" t="str">
            <v>WA01</v>
          </cell>
          <cell r="E180">
            <v>2700</v>
          </cell>
          <cell r="F180">
            <v>0</v>
          </cell>
          <cell r="G180">
            <v>0</v>
          </cell>
          <cell r="H180">
            <v>2700</v>
          </cell>
          <cell r="I180">
            <v>0</v>
          </cell>
          <cell r="J180">
            <v>0</v>
          </cell>
          <cell r="K180">
            <v>0</v>
          </cell>
        </row>
        <row r="181">
          <cell r="A181">
            <v>178</v>
          </cell>
          <cell r="B181" t="str">
            <v>FD121001</v>
          </cell>
          <cell r="C181" t="str">
            <v>FILTER ASSEMBLY - AIR</v>
          </cell>
          <cell r="D181" t="str">
            <v>AK01</v>
          </cell>
          <cell r="E181">
            <v>910</v>
          </cell>
          <cell r="F181">
            <v>0</v>
          </cell>
          <cell r="G181">
            <v>0</v>
          </cell>
          <cell r="H181">
            <v>910</v>
          </cell>
          <cell r="I181">
            <v>0</v>
          </cell>
          <cell r="J181">
            <v>0</v>
          </cell>
          <cell r="K181">
            <v>0</v>
          </cell>
        </row>
        <row r="182">
          <cell r="A182">
            <v>179</v>
          </cell>
          <cell r="B182" t="str">
            <v>DP161082</v>
          </cell>
          <cell r="C182" t="str">
            <v>FENDER COMPLETE REAR</v>
          </cell>
          <cell r="D182" t="str">
            <v>WA01</v>
          </cell>
          <cell r="E182">
            <v>3096</v>
          </cell>
          <cell r="F182">
            <v>0</v>
          </cell>
          <cell r="G182">
            <v>0</v>
          </cell>
          <cell r="H182">
            <v>3096</v>
          </cell>
          <cell r="I182">
            <v>1</v>
          </cell>
          <cell r="J182">
            <v>323</v>
          </cell>
          <cell r="K182">
            <v>323</v>
          </cell>
          <cell r="L182" t="str">
            <v>Plate w/o thread</v>
          </cell>
          <cell r="M182" t="str">
            <v>100% Inspection is started with tick mark</v>
          </cell>
          <cell r="N182">
            <v>37648</v>
          </cell>
        </row>
        <row r="183">
          <cell r="A183">
            <v>180</v>
          </cell>
          <cell r="B183" t="str">
            <v>DD121145</v>
          </cell>
          <cell r="C183" t="str">
            <v>FILTER ASSEMBLY - AIR</v>
          </cell>
          <cell r="D183" t="str">
            <v>WA01</v>
          </cell>
          <cell r="E183">
            <v>14806</v>
          </cell>
          <cell r="F183">
            <v>0</v>
          </cell>
          <cell r="G183">
            <v>0</v>
          </cell>
          <cell r="H183">
            <v>14806</v>
          </cell>
          <cell r="I183">
            <v>4</v>
          </cell>
          <cell r="J183">
            <v>270</v>
          </cell>
          <cell r="K183">
            <v>270</v>
          </cell>
          <cell r="L183" t="str">
            <v>Bolt Broken ,w/o BSV Tube,bush</v>
          </cell>
          <cell r="M183" t="str">
            <v>100% Inspection is started with tick mark</v>
          </cell>
          <cell r="N183" t="str">
            <v>--</v>
          </cell>
        </row>
        <row r="184">
          <cell r="A184">
            <v>181</v>
          </cell>
          <cell r="B184" t="str">
            <v>52DF0135</v>
          </cell>
          <cell r="C184" t="str">
            <v>SF FOR REAR FENDER  ASSEMBE</v>
          </cell>
          <cell r="D184" t="str">
            <v>WA01</v>
          </cell>
          <cell r="E184">
            <v>33300</v>
          </cell>
          <cell r="F184">
            <v>0</v>
          </cell>
          <cell r="G184">
            <v>0</v>
          </cell>
          <cell r="H184">
            <v>33300</v>
          </cell>
          <cell r="I184">
            <v>7</v>
          </cell>
          <cell r="J184">
            <v>210</v>
          </cell>
          <cell r="K184">
            <v>210</v>
          </cell>
          <cell r="L184" t="str">
            <v>Minor flashes in side hole</v>
          </cell>
          <cell r="M184" t="str">
            <v>100% Inspection is started with tick mark and debited to the concern contractor</v>
          </cell>
          <cell r="N184" t="str">
            <v>--</v>
          </cell>
        </row>
        <row r="185">
          <cell r="A185">
            <v>182</v>
          </cell>
          <cell r="B185" t="str">
            <v>DH121105</v>
          </cell>
          <cell r="C185" t="str">
            <v>FILTER (CLEANER) COMPLETE -</v>
          </cell>
          <cell r="D185" t="str">
            <v>CH01</v>
          </cell>
          <cell r="E185">
            <v>23222</v>
          </cell>
          <cell r="F185">
            <v>0</v>
          </cell>
          <cell r="G185">
            <v>0</v>
          </cell>
          <cell r="H185">
            <v>23222</v>
          </cell>
          <cell r="I185">
            <v>41</v>
          </cell>
          <cell r="J185">
            <v>1766</v>
          </cell>
          <cell r="K185">
            <v>1766</v>
          </cell>
          <cell r="L185" t="str">
            <v>Lug Broken,Duct fittment wrong</v>
          </cell>
          <cell r="M185" t="str">
            <v>New design boxes under rectification first lot will be despatch on 20/02/04</v>
          </cell>
          <cell r="N185">
            <v>38037</v>
          </cell>
        </row>
        <row r="186">
          <cell r="A186">
            <v>183</v>
          </cell>
          <cell r="B186">
            <v>28101136</v>
          </cell>
          <cell r="C186" t="str">
            <v>COWLING</v>
          </cell>
          <cell r="D186" t="str">
            <v>AK01</v>
          </cell>
          <cell r="E186">
            <v>2731</v>
          </cell>
          <cell r="F186">
            <v>0</v>
          </cell>
          <cell r="G186">
            <v>0</v>
          </cell>
          <cell r="H186">
            <v>2731</v>
          </cell>
          <cell r="I186">
            <v>53</v>
          </cell>
          <cell r="J186">
            <v>19407</v>
          </cell>
          <cell r="K186">
            <v>19407</v>
          </cell>
          <cell r="L186" t="str">
            <v>Mr.Sarvanmoorthy of M/s.BAL CD.Suggested to take trial in Plane PPCP instead of regular material PPCP 20% TF</v>
          </cell>
          <cell r="M186" t="str">
            <v>Material sent back to M/s.BALOur invoice no is 1125834  dt.2401/04  Vehicle no -MH-16-3379-B</v>
          </cell>
        </row>
        <row r="187">
          <cell r="A187">
            <v>184</v>
          </cell>
          <cell r="B187" t="str">
            <v>DD191057</v>
          </cell>
          <cell r="C187" t="str">
            <v>GRIP ASSEMBLY - RIGHT HAND</v>
          </cell>
          <cell r="D187" t="str">
            <v>WA01</v>
          </cell>
          <cell r="E187">
            <v>15650</v>
          </cell>
          <cell r="F187">
            <v>0</v>
          </cell>
          <cell r="G187">
            <v>0</v>
          </cell>
          <cell r="H187">
            <v>15650</v>
          </cell>
          <cell r="I187">
            <v>76</v>
          </cell>
          <cell r="J187">
            <v>4856</v>
          </cell>
          <cell r="K187">
            <v>4856</v>
          </cell>
          <cell r="L187" t="str">
            <v xml:space="preserve">Parting line flashes </v>
          </cell>
          <cell r="M187" t="str">
            <v>Minor flashes is started to remove  by polish paper</v>
          </cell>
          <cell r="N187">
            <v>37992</v>
          </cell>
        </row>
        <row r="188">
          <cell r="A188">
            <v>185</v>
          </cell>
          <cell r="B188">
            <v>28101084</v>
          </cell>
          <cell r="C188" t="str">
            <v>COVER ASSEMBLY - FAN</v>
          </cell>
          <cell r="D188" t="str">
            <v>AK01</v>
          </cell>
          <cell r="E188">
            <v>2882</v>
          </cell>
          <cell r="F188">
            <v>0</v>
          </cell>
          <cell r="G188">
            <v>0</v>
          </cell>
          <cell r="H188">
            <v>2882</v>
          </cell>
          <cell r="I188">
            <v>92</v>
          </cell>
          <cell r="J188">
            <v>31922</v>
          </cell>
          <cell r="K188">
            <v>31922</v>
          </cell>
          <cell r="L188" t="str">
            <v>Mr.Sarvanmoorthy of M/s.BAL CD.Suggested to take trial in Plane PPCP instead of regular material PPCP 20% TF</v>
          </cell>
          <cell r="M188" t="str">
            <v>Material sent back to M/s.BALOur invoice no is 1125816  dt.2401/04  vehicle no MH-16 3379-B</v>
          </cell>
        </row>
        <row r="189">
          <cell r="A189">
            <v>186</v>
          </cell>
          <cell r="B189" t="str">
            <v>DD191016</v>
          </cell>
          <cell r="C189" t="str">
            <v>GRIP ASSEMBLY - RIGHT HAND</v>
          </cell>
          <cell r="D189" t="str">
            <v>WA01</v>
          </cell>
          <cell r="E189">
            <v>24135</v>
          </cell>
          <cell r="F189">
            <v>0</v>
          </cell>
          <cell r="G189">
            <v>0</v>
          </cell>
          <cell r="H189">
            <v>24135</v>
          </cell>
          <cell r="I189">
            <v>639</v>
          </cell>
          <cell r="J189">
            <v>26476</v>
          </cell>
          <cell r="K189">
            <v>26476</v>
          </cell>
          <cell r="L189" t="str">
            <v>Confirmed with BAL and not traceble at BAL Discussed With Mr.S.A.Pantoji, Mr.Jagtap</v>
          </cell>
        </row>
        <row r="190">
          <cell r="A190">
            <v>187</v>
          </cell>
          <cell r="B190" t="str">
            <v>DD191018</v>
          </cell>
          <cell r="C190" t="str">
            <v>GRIP - LEFT HAND</v>
          </cell>
          <cell r="D190" t="str">
            <v>WA01</v>
          </cell>
          <cell r="E190">
            <v>24235</v>
          </cell>
          <cell r="F190">
            <v>0</v>
          </cell>
          <cell r="G190">
            <v>0</v>
          </cell>
          <cell r="H190">
            <v>24235</v>
          </cell>
          <cell r="I190">
            <v>750</v>
          </cell>
          <cell r="J190">
            <v>30947</v>
          </cell>
          <cell r="K190">
            <v>30947</v>
          </cell>
          <cell r="L190" t="str">
            <v>Confirmed with BAL and not traceble at BAL Discussed With Mr.S.A.Pantoji, Mr.Jagtap</v>
          </cell>
        </row>
        <row r="191">
          <cell r="A191">
            <v>188</v>
          </cell>
          <cell r="B191">
            <v>16151028</v>
          </cell>
          <cell r="C191" t="str">
            <v>SUPPORT</v>
          </cell>
          <cell r="D191" t="str">
            <v>AK01</v>
          </cell>
          <cell r="E191">
            <v>6000</v>
          </cell>
          <cell r="F191">
            <v>0</v>
          </cell>
          <cell r="G191">
            <v>0</v>
          </cell>
          <cell r="H191">
            <v>6000</v>
          </cell>
          <cell r="I191">
            <v>4121</v>
          </cell>
          <cell r="J191">
            <v>686833</v>
          </cell>
          <cell r="K191">
            <v>686833</v>
          </cell>
          <cell r="L191" t="str">
            <v>OD dimension higher side</v>
          </cell>
          <cell r="M191" t="str">
            <v>Checked received lot and found 3880 nos ok for OD Dimension and 341 nos are supplied by other supplier Material will be sent back to BALafter confirmation by Mr.VAK</v>
          </cell>
        </row>
        <row r="192">
          <cell r="E192">
            <v>1110379</v>
          </cell>
          <cell r="F192">
            <v>0</v>
          </cell>
          <cell r="G192">
            <v>0</v>
          </cell>
          <cell r="H192">
            <v>1110379</v>
          </cell>
          <cell r="I192">
            <v>5784</v>
          </cell>
          <cell r="J192">
            <v>5209.032231337228</v>
          </cell>
          <cell r="K192">
            <v>5209.032231337228</v>
          </cell>
        </row>
        <row r="193">
          <cell r="B193" t="str">
            <v>OVERALL PPM</v>
          </cell>
          <cell r="E193">
            <v>1110379</v>
          </cell>
          <cell r="F193">
            <v>0</v>
          </cell>
          <cell r="G193">
            <v>0</v>
          </cell>
          <cell r="H193">
            <v>1110379</v>
          </cell>
          <cell r="I193">
            <v>5784</v>
          </cell>
          <cell r="J193">
            <v>5209</v>
          </cell>
          <cell r="K193">
            <v>5209</v>
          </cell>
        </row>
        <row r="194">
          <cell r="B194" t="str">
            <v>SIGMA LEVEL</v>
          </cell>
          <cell r="G194">
            <v>6</v>
          </cell>
          <cell r="J194">
            <v>4</v>
          </cell>
          <cell r="K194">
            <v>4</v>
          </cell>
        </row>
        <row r="196">
          <cell r="C196" t="str">
            <v>Legend</v>
          </cell>
          <cell r="E196" t="str">
            <v>Indicates 100% rating - Zero PPM</v>
          </cell>
        </row>
        <row r="197">
          <cell r="E197" t="str">
            <v>Indicates action taken and implemented</v>
          </cell>
        </row>
        <row r="198">
          <cell r="E198" t="str">
            <v>Indicates action under process</v>
          </cell>
        </row>
        <row r="199">
          <cell r="E199" t="str">
            <v>Indicates development rejection.</v>
          </cell>
        </row>
        <row r="200">
          <cell r="E200" t="str">
            <v>Indicates BAL problem.</v>
          </cell>
        </row>
      </sheetData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y-jag"/>
      <sheetName val="occ-jag"/>
      <sheetName val="Sheet1"/>
      <sheetName val="Sheet1 (2)"/>
      <sheetName val="Sheet1 (3)"/>
      <sheetName val="Sheet1 (4)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Sheet2"/>
      <sheetName val="Sheet1 (5)"/>
    </sheetNames>
    <sheetDataSet>
      <sheetData sheetId="0"/>
      <sheetData sheetId="1"/>
      <sheetData sheetId="2">
        <row r="2">
          <cell r="A2" t="str">
            <v>30300014611</v>
          </cell>
        </row>
        <row r="3">
          <cell r="A3" t="str">
            <v>30300014611</v>
          </cell>
        </row>
        <row r="4">
          <cell r="A4" t="str">
            <v>30300014672</v>
          </cell>
        </row>
        <row r="5">
          <cell r="A5" t="str">
            <v>30300014672</v>
          </cell>
        </row>
        <row r="6">
          <cell r="A6" t="str">
            <v>30300014672</v>
          </cell>
        </row>
        <row r="7">
          <cell r="A7" t="str">
            <v>30300014672</v>
          </cell>
        </row>
        <row r="8">
          <cell r="A8" t="str">
            <v>30300014730</v>
          </cell>
        </row>
        <row r="9">
          <cell r="A9" t="str">
            <v>30300014731</v>
          </cell>
        </row>
        <row r="10">
          <cell r="A10" t="str">
            <v>30300014733</v>
          </cell>
        </row>
        <row r="11">
          <cell r="A11" t="str">
            <v>30300014734</v>
          </cell>
        </row>
        <row r="12">
          <cell r="A12" t="str">
            <v>30300014735</v>
          </cell>
        </row>
        <row r="13">
          <cell r="A13" t="str">
            <v>30300014737</v>
          </cell>
        </row>
        <row r="14">
          <cell r="A14" t="str">
            <v>30300014802</v>
          </cell>
        </row>
        <row r="15">
          <cell r="A15" t="str">
            <v>30300014802</v>
          </cell>
        </row>
        <row r="16">
          <cell r="A16" t="str">
            <v>30300014802</v>
          </cell>
        </row>
        <row r="17">
          <cell r="A17" t="str">
            <v>30300014901</v>
          </cell>
        </row>
        <row r="18">
          <cell r="A18" t="str">
            <v>30300014902</v>
          </cell>
        </row>
        <row r="19">
          <cell r="A19" t="str">
            <v>30300014903</v>
          </cell>
        </row>
        <row r="20">
          <cell r="A20" t="str">
            <v>30300014906</v>
          </cell>
        </row>
        <row r="21">
          <cell r="A21" t="str">
            <v>30300014907</v>
          </cell>
        </row>
        <row r="22">
          <cell r="A22" t="str">
            <v>30300014908</v>
          </cell>
        </row>
        <row r="23">
          <cell r="A23" t="str">
            <v>30300014909</v>
          </cell>
        </row>
        <row r="24">
          <cell r="A24" t="str">
            <v>30300014936</v>
          </cell>
        </row>
        <row r="25">
          <cell r="A25" t="str">
            <v>30300014977</v>
          </cell>
        </row>
        <row r="26">
          <cell r="A26" t="str">
            <v>30500021271</v>
          </cell>
        </row>
        <row r="27">
          <cell r="A27" t="str">
            <v>30500021271</v>
          </cell>
        </row>
        <row r="28">
          <cell r="A28" t="str">
            <v>30500021271</v>
          </cell>
        </row>
        <row r="29">
          <cell r="A29" t="str">
            <v>30500021435</v>
          </cell>
        </row>
        <row r="30">
          <cell r="A30" t="str">
            <v>30500021435</v>
          </cell>
        </row>
        <row r="31">
          <cell r="A31" t="str">
            <v>30500022289</v>
          </cell>
        </row>
        <row r="32">
          <cell r="A32" t="str">
            <v>30500022289</v>
          </cell>
        </row>
        <row r="33">
          <cell r="A33" t="str">
            <v>30500022290</v>
          </cell>
        </row>
        <row r="34">
          <cell r="A34" t="str">
            <v>30500022290</v>
          </cell>
        </row>
        <row r="35">
          <cell r="A35" t="str">
            <v>30500022290</v>
          </cell>
        </row>
        <row r="36">
          <cell r="A36" t="str">
            <v>30500022290</v>
          </cell>
        </row>
        <row r="37">
          <cell r="A37" t="str">
            <v>30500022291</v>
          </cell>
        </row>
        <row r="38">
          <cell r="A38" t="str">
            <v>30500022291</v>
          </cell>
        </row>
        <row r="39">
          <cell r="A39" t="str">
            <v>30500022291</v>
          </cell>
        </row>
        <row r="40">
          <cell r="A40" t="str">
            <v>30500022291</v>
          </cell>
        </row>
        <row r="41">
          <cell r="A41" t="str">
            <v>30500022292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クロス集計テーブル【基データ】"/>
      <sheetName val="T_クロス集計テーブル【体裁整理】"/>
    </sheetNames>
    <sheetDataSet>
      <sheetData sheetId="0">
        <row r="1">
          <cell r="A1" t="str">
            <v>工程</v>
          </cell>
          <cell r="B1" t="str">
            <v>作業</v>
          </cell>
          <cell r="C1" t="str">
            <v>82151-52E20</v>
          </cell>
          <cell r="D1" t="str">
            <v>82151-52E30</v>
          </cell>
          <cell r="E1" t="str">
            <v>82151-52E40</v>
          </cell>
          <cell r="F1" t="str">
            <v>82151-52E50</v>
          </cell>
          <cell r="G1" t="str">
            <v>82151-52E60</v>
          </cell>
          <cell r="H1" t="str">
            <v>82151-52E70</v>
          </cell>
          <cell r="I1" t="str">
            <v>82151-52E80</v>
          </cell>
          <cell r="J1" t="str">
            <v>82151-52E90</v>
          </cell>
          <cell r="K1" t="str">
            <v>82151-52F00</v>
          </cell>
          <cell r="L1" t="str">
            <v>82151-52F10</v>
          </cell>
          <cell r="M1" t="str">
            <v>82151-52F20</v>
          </cell>
          <cell r="N1" t="str">
            <v>82151-52F80</v>
          </cell>
          <cell r="O1" t="str">
            <v>82152-52B20</v>
          </cell>
          <cell r="P1" t="str">
            <v>82152-52B30</v>
          </cell>
          <cell r="Q1" t="str">
            <v>82152-52B40</v>
          </cell>
          <cell r="R1" t="str">
            <v>82152-52B50</v>
          </cell>
          <cell r="S1" t="str">
            <v>82152-52B60</v>
          </cell>
          <cell r="T1" t="str">
            <v>82152-52B70</v>
          </cell>
          <cell r="U1" t="str">
            <v>82152-52B80</v>
          </cell>
          <cell r="V1" t="str">
            <v>82152-52B90</v>
          </cell>
          <cell r="W1" t="str">
            <v>82152-52C00</v>
          </cell>
          <cell r="X1" t="str">
            <v>82152-52C10</v>
          </cell>
          <cell r="Y1" t="str">
            <v>82152-52C20</v>
          </cell>
          <cell r="Z1" t="str">
            <v>82152-52C80</v>
          </cell>
          <cell r="AA1" t="str">
            <v>82153-52340</v>
          </cell>
          <cell r="AB1" t="str">
            <v>82153-52350</v>
          </cell>
          <cell r="AC1" t="str">
            <v>82186-52120</v>
          </cell>
        </row>
        <row r="2">
          <cell r="A2" t="str">
            <v>一般電線切圧工程</v>
          </cell>
          <cell r="B2" t="str">
            <v>自動機非防水</v>
          </cell>
          <cell r="C2">
            <v>2.7576000000000001</v>
          </cell>
          <cell r="D2">
            <v>3.3679999999999999</v>
          </cell>
          <cell r="E2">
            <v>0.1744</v>
          </cell>
          <cell r="F2">
            <v>0.2616</v>
          </cell>
          <cell r="G2">
            <v>0.436</v>
          </cell>
          <cell r="H2">
            <v>1.2208000000000001</v>
          </cell>
          <cell r="I2">
            <v>1.6363000000000001</v>
          </cell>
          <cell r="J2">
            <v>1.1131</v>
          </cell>
          <cell r="K2">
            <v>1.2875000000000001</v>
          </cell>
          <cell r="L2">
            <v>1.7902</v>
          </cell>
          <cell r="M2">
            <v>1.9645999999999999</v>
          </cell>
          <cell r="N2">
            <v>0.78480000000000005</v>
          </cell>
          <cell r="O2">
            <v>1.3747</v>
          </cell>
          <cell r="P2">
            <v>2.1595</v>
          </cell>
          <cell r="Q2">
            <v>0.1744</v>
          </cell>
          <cell r="R2">
            <v>0.2616</v>
          </cell>
          <cell r="S2">
            <v>0.436</v>
          </cell>
          <cell r="T2">
            <v>1.2208000000000001</v>
          </cell>
          <cell r="U2">
            <v>1.9645999999999999</v>
          </cell>
          <cell r="V2">
            <v>1.7902</v>
          </cell>
          <cell r="W2">
            <v>1.9645999999999999</v>
          </cell>
          <cell r="X2">
            <v>1.1131</v>
          </cell>
          <cell r="Y2">
            <v>1.2875000000000001</v>
          </cell>
          <cell r="Z2">
            <v>0.78480000000000005</v>
          </cell>
          <cell r="AA2">
            <v>0.59399999999999997</v>
          </cell>
          <cell r="AB2">
            <v>0.3488</v>
          </cell>
          <cell r="AC2">
            <v>8.3099999999999993E-2</v>
          </cell>
        </row>
        <row r="3">
          <cell r="A3" t="str">
            <v>一般電線切圧工程</v>
          </cell>
          <cell r="B3" t="str">
            <v>自動機防水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一般電線切圧工程</v>
          </cell>
          <cell r="B4" t="str">
            <v>手切り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</row>
        <row r="5">
          <cell r="A5" t="str">
            <v>一般電線切圧工程</v>
          </cell>
          <cell r="B5" t="str">
            <v>個室ｺﾞﾑ栓挿入</v>
          </cell>
          <cell r="C5">
            <v>0</v>
          </cell>
          <cell r="D5">
            <v>0.70279999999999998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0.70279999999999998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A6" t="str">
            <v>一般電線切圧工程</v>
          </cell>
          <cell r="B6" t="str">
            <v>手圧着</v>
          </cell>
          <cell r="C6">
            <v>0</v>
          </cell>
          <cell r="D6">
            <v>0.45429999999999998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0.45429999999999998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6.0999999999999999E-2</v>
          </cell>
        </row>
        <row r="7">
          <cell r="A7" t="str">
            <v>一般電線切圧工程</v>
          </cell>
          <cell r="B7" t="str">
            <v>その他</v>
          </cell>
          <cell r="C7">
            <v>0.04</v>
          </cell>
          <cell r="D7">
            <v>6.6000000000000003E-2</v>
          </cell>
          <cell r="E7">
            <v>4.0000000000000001E-3</v>
          </cell>
          <cell r="F7">
            <v>6.0000000000000001E-3</v>
          </cell>
          <cell r="G7">
            <v>0.01</v>
          </cell>
          <cell r="H7">
            <v>0.02</v>
          </cell>
          <cell r="I7">
            <v>0.02</v>
          </cell>
          <cell r="J7">
            <v>0.01</v>
          </cell>
          <cell r="K7">
            <v>1.4E-2</v>
          </cell>
          <cell r="L7">
            <v>1.6E-2</v>
          </cell>
          <cell r="M7">
            <v>0.02</v>
          </cell>
          <cell r="N7">
            <v>1.6E-2</v>
          </cell>
          <cell r="O7">
            <v>1.7999999999999999E-2</v>
          </cell>
          <cell r="P7">
            <v>4.5999999999999999E-2</v>
          </cell>
          <cell r="Q7">
            <v>4.0000000000000001E-3</v>
          </cell>
          <cell r="R7">
            <v>6.0000000000000001E-3</v>
          </cell>
          <cell r="S7">
            <v>0.01</v>
          </cell>
          <cell r="T7">
            <v>0.02</v>
          </cell>
          <cell r="U7">
            <v>0.02</v>
          </cell>
          <cell r="V7">
            <v>1.6E-2</v>
          </cell>
          <cell r="W7">
            <v>0.02</v>
          </cell>
          <cell r="X7">
            <v>0.01</v>
          </cell>
          <cell r="Y7">
            <v>1.4E-2</v>
          </cell>
          <cell r="Z7">
            <v>1.6E-2</v>
          </cell>
          <cell r="AA7">
            <v>0</v>
          </cell>
          <cell r="AB7">
            <v>4.0000000000000001E-3</v>
          </cell>
          <cell r="AC7">
            <v>0</v>
          </cell>
        </row>
        <row r="8">
          <cell r="A8" t="str">
            <v>一般電線切圧工程</v>
          </cell>
          <cell r="B8" t="str">
            <v>合計・・・・・・</v>
          </cell>
          <cell r="C8">
            <v>2.7976000000000001</v>
          </cell>
          <cell r="D8">
            <v>4.5911</v>
          </cell>
          <cell r="E8">
            <v>0.1784</v>
          </cell>
          <cell r="F8">
            <v>0.2676</v>
          </cell>
          <cell r="G8">
            <v>0.44600000000000001</v>
          </cell>
          <cell r="H8">
            <v>1.2408000000000001</v>
          </cell>
          <cell r="I8">
            <v>1.6563000000000001</v>
          </cell>
          <cell r="J8">
            <v>1.1231</v>
          </cell>
          <cell r="K8">
            <v>1.3015000000000001</v>
          </cell>
          <cell r="L8">
            <v>1.8062</v>
          </cell>
          <cell r="M8">
            <v>1.9845999999999999</v>
          </cell>
          <cell r="N8">
            <v>0.80080000000000007</v>
          </cell>
          <cell r="O8">
            <v>1.3927</v>
          </cell>
          <cell r="P8">
            <v>3.3625999999999996</v>
          </cell>
          <cell r="Q8">
            <v>0.1784</v>
          </cell>
          <cell r="R8">
            <v>0.2676</v>
          </cell>
          <cell r="S8">
            <v>0.44600000000000001</v>
          </cell>
          <cell r="T8">
            <v>1.2408000000000001</v>
          </cell>
          <cell r="U8">
            <v>1.9845999999999999</v>
          </cell>
          <cell r="V8">
            <v>1.8062</v>
          </cell>
          <cell r="W8">
            <v>1.9845999999999999</v>
          </cell>
          <cell r="X8">
            <v>1.1231</v>
          </cell>
          <cell r="Y8">
            <v>1.3015000000000001</v>
          </cell>
          <cell r="Z8">
            <v>0.80080000000000007</v>
          </cell>
          <cell r="AA8">
            <v>0.59399999999999997</v>
          </cell>
          <cell r="AB8">
            <v>0.3528</v>
          </cell>
          <cell r="AC8">
            <v>0.14410000000000001</v>
          </cell>
        </row>
        <row r="9">
          <cell r="A9" t="str">
            <v>バッテリー工程</v>
          </cell>
          <cell r="B9" t="str">
            <v>切断皮むき（ｷｬｽﾃｨﾝｸﾞ）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>バッテリー工程</v>
          </cell>
          <cell r="B10" t="str">
            <v>端末・中間皮むき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>バッテリー工程</v>
          </cell>
          <cell r="B11" t="str">
            <v>手圧着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>バッテリー工程</v>
          </cell>
          <cell r="B12" t="str">
            <v>その他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A13" t="str">
            <v>バッテリー工程</v>
          </cell>
          <cell r="B13" t="str">
            <v>合計・・・・・・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シールド（特殊線）工程</v>
          </cell>
          <cell r="B14" t="str">
            <v>切断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>シールド（特殊線）工程</v>
          </cell>
          <cell r="B15" t="str">
            <v>端末処理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</row>
        <row r="16">
          <cell r="A16" t="str">
            <v>シールド（特殊線）工程</v>
          </cell>
          <cell r="B16" t="str">
            <v>個室ｺﾞﾑ栓挿入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>シールド（特殊線）工程</v>
          </cell>
          <cell r="B17" t="str">
            <v>手圧着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</row>
        <row r="18">
          <cell r="A18" t="str">
            <v>シールド（特殊線）工程</v>
          </cell>
          <cell r="B18" t="str">
            <v>テーピング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A19" t="str">
            <v>シールド（特殊線）工程</v>
          </cell>
          <cell r="B19" t="str">
            <v>その他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>シールド（特殊線）工程</v>
          </cell>
          <cell r="B20" t="str">
            <v>合計・・・・・・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A21" t="str">
            <v>ＳＡＭ工程</v>
          </cell>
          <cell r="B21" t="str">
            <v>ＳＡＭ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>ＳＡＭ工程</v>
          </cell>
          <cell r="B22" t="str">
            <v>合計・・・・・・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>ツイスト工程</v>
          </cell>
          <cell r="B23" t="str">
            <v>ツイスト</v>
          </cell>
          <cell r="C23">
            <v>0</v>
          </cell>
          <cell r="D23">
            <v>0.36519999999999997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0.36559999999999998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</row>
        <row r="24">
          <cell r="A24" t="str">
            <v>ツイスト工程</v>
          </cell>
          <cell r="B24" t="str">
            <v>合計・・・・・・</v>
          </cell>
          <cell r="C24">
            <v>0</v>
          </cell>
          <cell r="D24">
            <v>0.36519999999999997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0.36559999999999998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</row>
        <row r="25">
          <cell r="A25" t="str">
            <v>スプライスジョイント工程</v>
          </cell>
          <cell r="B25" t="str">
            <v>皮むき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>スプライスジョイント工程</v>
          </cell>
          <cell r="B26" t="str">
            <v>圧着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</row>
        <row r="27">
          <cell r="A27" t="str">
            <v>スプライスジョイント工程</v>
          </cell>
          <cell r="B27" t="str">
            <v>絶縁処理（テーピング）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</row>
        <row r="28">
          <cell r="A28" t="str">
            <v>スプライスジョイント工程</v>
          </cell>
          <cell r="B28" t="str">
            <v>その他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>スプライスジョイント工程</v>
          </cell>
          <cell r="B29" t="str">
            <v>合計・・・・・・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>集中ジョイント工程</v>
          </cell>
          <cell r="B30" t="str">
            <v>溶接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A31" t="str">
            <v>集中ジョイント工程</v>
          </cell>
          <cell r="B31" t="str">
            <v>絶縁処理（ｷｬｯﾌﾟ・VS）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A32" t="str">
            <v>集中ジョイント工程</v>
          </cell>
          <cell r="B32" t="str">
            <v>その他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集中ジョイント工程</v>
          </cell>
          <cell r="B33" t="str">
            <v>合計・・・・・・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4">
          <cell r="A34" t="str">
            <v>■仕掛工程合計■</v>
          </cell>
          <cell r="C34">
            <v>2.7976000000000001</v>
          </cell>
          <cell r="D34">
            <v>4.9562999999999997</v>
          </cell>
          <cell r="E34">
            <v>0.1784</v>
          </cell>
          <cell r="F34">
            <v>0.2676</v>
          </cell>
          <cell r="G34">
            <v>0.44600000000000001</v>
          </cell>
          <cell r="H34">
            <v>1.2408000000000001</v>
          </cell>
          <cell r="I34">
            <v>1.6563000000000001</v>
          </cell>
          <cell r="J34">
            <v>1.1231</v>
          </cell>
          <cell r="K34">
            <v>1.3015000000000001</v>
          </cell>
          <cell r="L34">
            <v>1.8062</v>
          </cell>
          <cell r="M34">
            <v>1.9845999999999999</v>
          </cell>
          <cell r="N34">
            <v>0.80080000000000007</v>
          </cell>
          <cell r="O34">
            <v>1.3927</v>
          </cell>
          <cell r="P34">
            <v>3.7281999999999997</v>
          </cell>
          <cell r="Q34">
            <v>0.1784</v>
          </cell>
          <cell r="R34">
            <v>0.2676</v>
          </cell>
          <cell r="S34">
            <v>0.44600000000000001</v>
          </cell>
          <cell r="T34">
            <v>1.2408000000000001</v>
          </cell>
          <cell r="U34">
            <v>1.9845999999999999</v>
          </cell>
          <cell r="V34">
            <v>1.8062</v>
          </cell>
          <cell r="W34">
            <v>1.9845999999999999</v>
          </cell>
          <cell r="X34">
            <v>1.1231</v>
          </cell>
          <cell r="Y34">
            <v>1.3015000000000001</v>
          </cell>
          <cell r="Z34">
            <v>0.80080000000000007</v>
          </cell>
          <cell r="AA34">
            <v>0.59399999999999997</v>
          </cell>
          <cell r="AB34">
            <v>0.3528</v>
          </cell>
          <cell r="AC34">
            <v>0.14410000000000001</v>
          </cell>
        </row>
        <row r="35">
          <cell r="A35" t="str">
            <v>部品切断工程</v>
          </cell>
          <cell r="B35" t="str">
            <v>割コルゲート切断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>部品切断工程</v>
          </cell>
          <cell r="B36" t="str">
            <v>丸コルゲート切断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>部品切断工程</v>
          </cell>
          <cell r="B37" t="str">
            <v>割チューブ切断</v>
          </cell>
          <cell r="C37">
            <v>0.31490000000000001</v>
          </cell>
          <cell r="D37">
            <v>0.31490000000000001</v>
          </cell>
          <cell r="E37">
            <v>0.1769</v>
          </cell>
          <cell r="F37">
            <v>0.1769</v>
          </cell>
          <cell r="G37">
            <v>0.1769</v>
          </cell>
          <cell r="H37">
            <v>0.31490000000000001</v>
          </cell>
          <cell r="I37">
            <v>0.31490000000000001</v>
          </cell>
          <cell r="J37">
            <v>0.31490000000000001</v>
          </cell>
          <cell r="K37">
            <v>0.31490000000000001</v>
          </cell>
          <cell r="L37">
            <v>0.31490000000000001</v>
          </cell>
          <cell r="M37">
            <v>0.31490000000000001</v>
          </cell>
          <cell r="N37">
            <v>0.31490000000000001</v>
          </cell>
          <cell r="O37">
            <v>0.31490000000000001</v>
          </cell>
          <cell r="P37">
            <v>0.31490000000000001</v>
          </cell>
          <cell r="Q37">
            <v>0.1769</v>
          </cell>
          <cell r="R37">
            <v>0.1769</v>
          </cell>
          <cell r="S37">
            <v>0.1769</v>
          </cell>
          <cell r="T37">
            <v>0.31490000000000001</v>
          </cell>
          <cell r="U37">
            <v>0.31490000000000001</v>
          </cell>
          <cell r="V37">
            <v>0.31490000000000001</v>
          </cell>
          <cell r="W37">
            <v>0.31490000000000001</v>
          </cell>
          <cell r="X37">
            <v>0.31490000000000001</v>
          </cell>
          <cell r="Y37">
            <v>0.31490000000000001</v>
          </cell>
          <cell r="Z37">
            <v>0.31490000000000001</v>
          </cell>
          <cell r="AA37">
            <v>0</v>
          </cell>
          <cell r="AB37">
            <v>0</v>
          </cell>
          <cell r="AC37">
            <v>0</v>
          </cell>
        </row>
        <row r="38">
          <cell r="A38" t="str">
            <v>部品切断工程</v>
          </cell>
          <cell r="B38" t="str">
            <v>丸チューブ切断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A39" t="str">
            <v>部品切断工程</v>
          </cell>
          <cell r="B39" t="str">
            <v>プロテビニール切断</v>
          </cell>
          <cell r="C39">
            <v>0.16220000000000001</v>
          </cell>
          <cell r="D39">
            <v>0.16220000000000001</v>
          </cell>
          <cell r="E39">
            <v>8.1699999999999995E-2</v>
          </cell>
          <cell r="F39">
            <v>8.1699999999999995E-2</v>
          </cell>
          <cell r="G39">
            <v>8.1699999999999995E-2</v>
          </cell>
          <cell r="H39">
            <v>0.16220000000000001</v>
          </cell>
          <cell r="I39">
            <v>0.16220000000000001</v>
          </cell>
          <cell r="J39">
            <v>0.16220000000000001</v>
          </cell>
          <cell r="K39">
            <v>0.16220000000000001</v>
          </cell>
          <cell r="L39">
            <v>0.16220000000000001</v>
          </cell>
          <cell r="M39">
            <v>0.16220000000000001</v>
          </cell>
          <cell r="N39">
            <v>0.16220000000000001</v>
          </cell>
          <cell r="O39">
            <v>0.16220000000000001</v>
          </cell>
          <cell r="P39">
            <v>0.16220000000000001</v>
          </cell>
          <cell r="Q39">
            <v>8.1699999999999995E-2</v>
          </cell>
          <cell r="R39">
            <v>8.1699999999999995E-2</v>
          </cell>
          <cell r="S39">
            <v>8.1699999999999995E-2</v>
          </cell>
          <cell r="T39">
            <v>0.16220000000000001</v>
          </cell>
          <cell r="U39">
            <v>0.16220000000000001</v>
          </cell>
          <cell r="V39">
            <v>0.16220000000000001</v>
          </cell>
          <cell r="W39">
            <v>0.16220000000000001</v>
          </cell>
          <cell r="X39">
            <v>0.16220000000000001</v>
          </cell>
          <cell r="Y39">
            <v>0.16220000000000001</v>
          </cell>
          <cell r="Z39">
            <v>0.16220000000000001</v>
          </cell>
          <cell r="AA39">
            <v>8.3000000000000004E-2</v>
          </cell>
          <cell r="AB39">
            <v>8.3000000000000004E-2</v>
          </cell>
          <cell r="AC39">
            <v>0</v>
          </cell>
        </row>
        <row r="40">
          <cell r="A40" t="str">
            <v>部品切断工程</v>
          </cell>
          <cell r="B40" t="str">
            <v>その他切断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1">
          <cell r="A41" t="str">
            <v>部品切断工程</v>
          </cell>
          <cell r="B41" t="str">
            <v>合計・・・・・・</v>
          </cell>
          <cell r="C41">
            <v>0.47710000000000002</v>
          </cell>
          <cell r="D41">
            <v>0.47710000000000002</v>
          </cell>
          <cell r="E41">
            <v>0.2586</v>
          </cell>
          <cell r="F41">
            <v>0.2586</v>
          </cell>
          <cell r="G41">
            <v>0.2586</v>
          </cell>
          <cell r="H41">
            <v>0.47710000000000002</v>
          </cell>
          <cell r="I41">
            <v>0.47710000000000002</v>
          </cell>
          <cell r="J41">
            <v>0.47710000000000002</v>
          </cell>
          <cell r="K41">
            <v>0.47710000000000002</v>
          </cell>
          <cell r="L41">
            <v>0.47710000000000002</v>
          </cell>
          <cell r="M41">
            <v>0.47710000000000002</v>
          </cell>
          <cell r="N41">
            <v>0.47710000000000002</v>
          </cell>
          <cell r="O41">
            <v>0.47710000000000002</v>
          </cell>
          <cell r="P41">
            <v>0.47710000000000002</v>
          </cell>
          <cell r="Q41">
            <v>0.2586</v>
          </cell>
          <cell r="R41">
            <v>0.2586</v>
          </cell>
          <cell r="S41">
            <v>0.2586</v>
          </cell>
          <cell r="T41">
            <v>0.47710000000000002</v>
          </cell>
          <cell r="U41">
            <v>0.47710000000000002</v>
          </cell>
          <cell r="V41">
            <v>0.47710000000000002</v>
          </cell>
          <cell r="W41">
            <v>0.47710000000000002</v>
          </cell>
          <cell r="X41">
            <v>0.47710000000000002</v>
          </cell>
          <cell r="Y41">
            <v>0.47710000000000002</v>
          </cell>
          <cell r="Z41">
            <v>0.47710000000000002</v>
          </cell>
          <cell r="AA41">
            <v>8.3000000000000004E-2</v>
          </cell>
          <cell r="AB41">
            <v>8.3000000000000004E-2</v>
          </cell>
          <cell r="AC41">
            <v>0</v>
          </cell>
        </row>
        <row r="42">
          <cell r="A42" t="str">
            <v>■部品切断工程合計■</v>
          </cell>
          <cell r="C42">
            <v>0.47710000000000002</v>
          </cell>
          <cell r="D42">
            <v>0.47710000000000002</v>
          </cell>
          <cell r="E42">
            <v>0.2586</v>
          </cell>
          <cell r="F42">
            <v>0.2586</v>
          </cell>
          <cell r="G42">
            <v>0.2586</v>
          </cell>
          <cell r="H42">
            <v>0.47710000000000002</v>
          </cell>
          <cell r="I42">
            <v>0.47710000000000002</v>
          </cell>
          <cell r="J42">
            <v>0.47710000000000002</v>
          </cell>
          <cell r="K42">
            <v>0.47710000000000002</v>
          </cell>
          <cell r="L42">
            <v>0.47710000000000002</v>
          </cell>
          <cell r="M42">
            <v>0.47710000000000002</v>
          </cell>
          <cell r="N42">
            <v>0.47710000000000002</v>
          </cell>
          <cell r="O42">
            <v>0.47710000000000002</v>
          </cell>
          <cell r="P42">
            <v>0.47710000000000002</v>
          </cell>
          <cell r="Q42">
            <v>0.2586</v>
          </cell>
          <cell r="R42">
            <v>0.2586</v>
          </cell>
          <cell r="S42">
            <v>0.2586</v>
          </cell>
          <cell r="T42">
            <v>0.47710000000000002</v>
          </cell>
          <cell r="U42">
            <v>0.47710000000000002</v>
          </cell>
          <cell r="V42">
            <v>0.47710000000000002</v>
          </cell>
          <cell r="W42">
            <v>0.47710000000000002</v>
          </cell>
          <cell r="X42">
            <v>0.47710000000000002</v>
          </cell>
          <cell r="Y42">
            <v>0.47710000000000002</v>
          </cell>
          <cell r="Z42">
            <v>0.47710000000000002</v>
          </cell>
          <cell r="AA42">
            <v>8.3000000000000004E-2</v>
          </cell>
          <cell r="AB42">
            <v>8.3000000000000004E-2</v>
          </cell>
          <cell r="AC42">
            <v>0</v>
          </cell>
        </row>
        <row r="43">
          <cell r="A43" t="str">
            <v>0.64サブＡＳＳＹ工程</v>
          </cell>
          <cell r="B43" t="str">
            <v>たぐり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4">
          <cell r="A44" t="str">
            <v>0.64サブＡＳＳＹ工程</v>
          </cell>
          <cell r="B44" t="str">
            <v>端子挿入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</row>
        <row r="45">
          <cell r="A45" t="str">
            <v>0.64サブＡＳＳＹ工程</v>
          </cell>
          <cell r="B45" t="str">
            <v>合計・・・・・・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A46" t="str">
            <v>一般サブＡＳＳＹ工程</v>
          </cell>
          <cell r="B46" t="str">
            <v>たぐり</v>
          </cell>
          <cell r="C46">
            <v>2.4621</v>
          </cell>
          <cell r="D46">
            <v>2.9207999999999998</v>
          </cell>
          <cell r="E46">
            <v>0.14410000000000001</v>
          </cell>
          <cell r="F46">
            <v>0.2218</v>
          </cell>
          <cell r="G46">
            <v>0.36040000000000005</v>
          </cell>
          <cell r="H46">
            <v>1.3483000000000001</v>
          </cell>
          <cell r="I46">
            <v>1.5710000000000002</v>
          </cell>
          <cell r="J46">
            <v>1.1145</v>
          </cell>
          <cell r="K46">
            <v>1.2533000000000001</v>
          </cell>
          <cell r="L46">
            <v>1.6578000000000002</v>
          </cell>
          <cell r="M46">
            <v>1.7965000000000002</v>
          </cell>
          <cell r="N46">
            <v>0.78789999999999993</v>
          </cell>
          <cell r="O46">
            <v>1.2787999999999999</v>
          </cell>
          <cell r="P46">
            <v>1.9893999999999998</v>
          </cell>
          <cell r="Q46">
            <v>0.1434</v>
          </cell>
          <cell r="R46">
            <v>0.2228</v>
          </cell>
          <cell r="S46">
            <v>0.36099999999999999</v>
          </cell>
          <cell r="T46">
            <v>1.3463000000000003</v>
          </cell>
          <cell r="U46">
            <v>1.8</v>
          </cell>
          <cell r="V46">
            <v>1.6565999999999999</v>
          </cell>
          <cell r="W46">
            <v>1.7947000000000002</v>
          </cell>
          <cell r="X46">
            <v>1.113</v>
          </cell>
          <cell r="Y46">
            <v>1.2510999999999999</v>
          </cell>
          <cell r="Z46">
            <v>0.7873</v>
          </cell>
          <cell r="AA46">
            <v>0.45660000000000001</v>
          </cell>
          <cell r="AB46">
            <v>0.2918</v>
          </cell>
          <cell r="AC46">
            <v>3.7499999999999999E-2</v>
          </cell>
        </row>
        <row r="47">
          <cell r="A47" t="str">
            <v>一般サブＡＳＳＹ工程</v>
          </cell>
          <cell r="B47" t="str">
            <v>端子挿入</v>
          </cell>
          <cell r="C47">
            <v>2.9676999999999998</v>
          </cell>
          <cell r="D47">
            <v>3.4668999999999999</v>
          </cell>
          <cell r="E47">
            <v>0</v>
          </cell>
          <cell r="F47">
            <v>0</v>
          </cell>
          <cell r="G47">
            <v>0</v>
          </cell>
          <cell r="H47">
            <v>1.4076</v>
          </cell>
          <cell r="I47">
            <v>1.9738</v>
          </cell>
          <cell r="J47">
            <v>1.5363</v>
          </cell>
          <cell r="K47">
            <v>1.6936</v>
          </cell>
          <cell r="L47">
            <v>2.1110000000000002</v>
          </cell>
          <cell r="M47">
            <v>2.2679</v>
          </cell>
          <cell r="N47">
            <v>1.0939000000000001</v>
          </cell>
          <cell r="O47">
            <v>1.7859</v>
          </cell>
          <cell r="P47">
            <v>2.4712000000000001</v>
          </cell>
          <cell r="Q47">
            <v>0</v>
          </cell>
          <cell r="R47">
            <v>0</v>
          </cell>
          <cell r="S47">
            <v>0</v>
          </cell>
          <cell r="T47">
            <v>1.4462999999999999</v>
          </cell>
          <cell r="U47">
            <v>2.2679</v>
          </cell>
          <cell r="V47">
            <v>2.1110000000000002</v>
          </cell>
          <cell r="W47">
            <v>2.2679</v>
          </cell>
          <cell r="X47">
            <v>1.5363</v>
          </cell>
          <cell r="Y47">
            <v>1.6936</v>
          </cell>
          <cell r="Z47">
            <v>1.0939000000000001</v>
          </cell>
          <cell r="AA47">
            <v>0.80469999999999997</v>
          </cell>
          <cell r="AB47">
            <v>0</v>
          </cell>
          <cell r="AC47">
            <v>0</v>
          </cell>
        </row>
        <row r="48">
          <cell r="A48" t="str">
            <v>一般サブＡＳＳＹ工程</v>
          </cell>
          <cell r="B48" t="str">
            <v>その他</v>
          </cell>
          <cell r="C48">
            <v>0</v>
          </cell>
          <cell r="D48">
            <v>8.8800000000000004E-2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8.8800000000000004E-2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</row>
        <row r="49">
          <cell r="A49" t="str">
            <v>一般サブＡＳＳＹ工程</v>
          </cell>
          <cell r="B49" t="str">
            <v>合計・・・・・・</v>
          </cell>
          <cell r="C49">
            <v>5.4298000000000002</v>
          </cell>
          <cell r="D49">
            <v>6.4764999999999997</v>
          </cell>
          <cell r="E49">
            <v>0.14410000000000001</v>
          </cell>
          <cell r="F49">
            <v>0.2218</v>
          </cell>
          <cell r="G49">
            <v>0.36040000000000005</v>
          </cell>
          <cell r="H49">
            <v>2.7559</v>
          </cell>
          <cell r="I49">
            <v>3.5448000000000004</v>
          </cell>
          <cell r="J49">
            <v>2.6508000000000003</v>
          </cell>
          <cell r="K49">
            <v>2.9469000000000003</v>
          </cell>
          <cell r="L49">
            <v>3.7688000000000006</v>
          </cell>
          <cell r="M49">
            <v>4.0644</v>
          </cell>
          <cell r="N49">
            <v>1.8818000000000001</v>
          </cell>
          <cell r="O49">
            <v>3.0647000000000002</v>
          </cell>
          <cell r="P49">
            <v>4.5493999999999994</v>
          </cell>
          <cell r="Q49">
            <v>0.1434</v>
          </cell>
          <cell r="R49">
            <v>0.2228</v>
          </cell>
          <cell r="S49">
            <v>0.36099999999999999</v>
          </cell>
          <cell r="T49">
            <v>2.7926000000000002</v>
          </cell>
          <cell r="U49">
            <v>4.0678999999999998</v>
          </cell>
          <cell r="V49">
            <v>3.7675999999999998</v>
          </cell>
          <cell r="W49">
            <v>4.0625999999999998</v>
          </cell>
          <cell r="X49">
            <v>2.6493000000000002</v>
          </cell>
          <cell r="Y49">
            <v>2.9447000000000001</v>
          </cell>
          <cell r="Z49">
            <v>1.8812000000000002</v>
          </cell>
          <cell r="AA49">
            <v>1.2612999999999999</v>
          </cell>
          <cell r="AB49">
            <v>0.2918</v>
          </cell>
          <cell r="AC49">
            <v>3.7499999999999999E-2</v>
          </cell>
        </row>
        <row r="50">
          <cell r="A50" t="str">
            <v>布線工程</v>
          </cell>
          <cell r="B50" t="str">
            <v>布線</v>
          </cell>
          <cell r="C50">
            <v>1.1867000000000001</v>
          </cell>
          <cell r="D50">
            <v>1.3357000000000001</v>
          </cell>
          <cell r="E50">
            <v>0.34520000000000001</v>
          </cell>
          <cell r="F50">
            <v>0.34840000000000004</v>
          </cell>
          <cell r="G50">
            <v>0.41259999999999997</v>
          </cell>
          <cell r="H50">
            <v>0.80100000000000005</v>
          </cell>
          <cell r="I50">
            <v>0.98809999999999998</v>
          </cell>
          <cell r="J50">
            <v>0.77980000000000005</v>
          </cell>
          <cell r="K50">
            <v>0.84440000000000004</v>
          </cell>
          <cell r="L50">
            <v>0.94130000000000003</v>
          </cell>
          <cell r="M50">
            <v>1.0028000000000001</v>
          </cell>
          <cell r="N50">
            <v>0.64179999999999993</v>
          </cell>
          <cell r="O50">
            <v>0.83719999999999994</v>
          </cell>
          <cell r="P50">
            <v>1.1281000000000001</v>
          </cell>
          <cell r="Q50">
            <v>0.34490000000000004</v>
          </cell>
          <cell r="R50">
            <v>0.34860000000000002</v>
          </cell>
          <cell r="S50">
            <v>0.41269999999999996</v>
          </cell>
          <cell r="T50">
            <v>0.80020000000000002</v>
          </cell>
          <cell r="U50">
            <v>1.0039</v>
          </cell>
          <cell r="V50">
            <v>0.94090000000000007</v>
          </cell>
          <cell r="W50">
            <v>1.0022</v>
          </cell>
          <cell r="X50">
            <v>0.77899999999999991</v>
          </cell>
          <cell r="Y50">
            <v>0.84329999999999994</v>
          </cell>
          <cell r="Z50">
            <v>0.64149999999999996</v>
          </cell>
          <cell r="AA50">
            <v>0.16449999999999998</v>
          </cell>
          <cell r="AB50">
            <v>4.5200000000000004E-2</v>
          </cell>
          <cell r="AC50">
            <v>1.8600000000000002E-2</v>
          </cell>
        </row>
        <row r="51">
          <cell r="A51" t="str">
            <v>布線工程</v>
          </cell>
          <cell r="B51" t="str">
            <v>後カプラ＋二重係止</v>
          </cell>
          <cell r="C51">
            <v>0.96820000000000039</v>
          </cell>
          <cell r="D51">
            <v>1.1494999999999997</v>
          </cell>
          <cell r="E51">
            <v>0.49440000000000001</v>
          </cell>
          <cell r="F51">
            <v>0.67779999999999996</v>
          </cell>
          <cell r="G51">
            <v>0.88109999999999999</v>
          </cell>
          <cell r="H51">
            <v>0.44690000000000007</v>
          </cell>
          <cell r="I51">
            <v>0.60969999999999991</v>
          </cell>
          <cell r="J51">
            <v>0.47720000000000007</v>
          </cell>
          <cell r="K51">
            <v>0.52320000000000011</v>
          </cell>
          <cell r="L51">
            <v>0.67769999999999975</v>
          </cell>
          <cell r="M51">
            <v>0.72409999999999997</v>
          </cell>
          <cell r="N51">
            <v>0.34549999999999992</v>
          </cell>
          <cell r="O51">
            <v>0.55160000000000031</v>
          </cell>
          <cell r="P51">
            <v>0.77179999999999982</v>
          </cell>
          <cell r="Q51">
            <v>0.49440000000000001</v>
          </cell>
          <cell r="R51">
            <v>0.67779999999999996</v>
          </cell>
          <cell r="S51">
            <v>0.88109999999999999</v>
          </cell>
          <cell r="T51">
            <v>0.45920000000000005</v>
          </cell>
          <cell r="U51">
            <v>0.72409999999999997</v>
          </cell>
          <cell r="V51">
            <v>0.67769999999999975</v>
          </cell>
          <cell r="W51">
            <v>0.72409999999999997</v>
          </cell>
          <cell r="X51">
            <v>0.47720000000000007</v>
          </cell>
          <cell r="Y51">
            <v>0.52320000000000011</v>
          </cell>
          <cell r="Z51">
            <v>0.34549999999999992</v>
          </cell>
          <cell r="AA51">
            <v>0.25550000000000006</v>
          </cell>
          <cell r="AB51">
            <v>0.7147</v>
          </cell>
          <cell r="AC51">
            <v>7.0000000000000007E-2</v>
          </cell>
        </row>
        <row r="52">
          <cell r="A52" t="str">
            <v>布線工程</v>
          </cell>
          <cell r="B52" t="str">
            <v>Ａ／Ｂ特別管理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3">
          <cell r="A53" t="str">
            <v>布線工程</v>
          </cell>
          <cell r="B53" t="str">
            <v>インライン集中ジョイント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</row>
        <row r="54">
          <cell r="A54" t="str">
            <v>布線工程</v>
          </cell>
          <cell r="B54" t="str">
            <v>圧接Ｊ／Ｃ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>布線工程</v>
          </cell>
          <cell r="B55" t="str">
            <v>その他</v>
          </cell>
          <cell r="C55">
            <v>0.86670000000000003</v>
          </cell>
          <cell r="D55">
            <v>0.86670000000000003</v>
          </cell>
          <cell r="E55">
            <v>0.28889999999999999</v>
          </cell>
          <cell r="F55">
            <v>0.28889999999999999</v>
          </cell>
          <cell r="G55">
            <v>0.28889999999999999</v>
          </cell>
          <cell r="H55">
            <v>0.28889999999999999</v>
          </cell>
          <cell r="I55">
            <v>0.57779999999999998</v>
          </cell>
          <cell r="J55">
            <v>0.57779999999999998</v>
          </cell>
          <cell r="K55">
            <v>0.57779999999999998</v>
          </cell>
          <cell r="L55">
            <v>0.86670000000000003</v>
          </cell>
          <cell r="M55">
            <v>0.86670000000000003</v>
          </cell>
          <cell r="N55">
            <v>0.28889999999999999</v>
          </cell>
          <cell r="O55">
            <v>0.57779999999999998</v>
          </cell>
          <cell r="P55">
            <v>0.57779999999999998</v>
          </cell>
          <cell r="Q55">
            <v>0.28889999999999999</v>
          </cell>
          <cell r="R55">
            <v>0.28889999999999999</v>
          </cell>
          <cell r="S55">
            <v>0.28889999999999999</v>
          </cell>
          <cell r="T55">
            <v>0.28889999999999999</v>
          </cell>
          <cell r="U55">
            <v>0.86670000000000003</v>
          </cell>
          <cell r="V55">
            <v>0.86670000000000003</v>
          </cell>
          <cell r="W55">
            <v>0.86670000000000003</v>
          </cell>
          <cell r="X55">
            <v>0.57779999999999998</v>
          </cell>
          <cell r="Y55">
            <v>0.57779999999999998</v>
          </cell>
          <cell r="Z55">
            <v>0.28889999999999999</v>
          </cell>
          <cell r="AA55">
            <v>0</v>
          </cell>
          <cell r="AB55">
            <v>0</v>
          </cell>
          <cell r="AC55">
            <v>0</v>
          </cell>
        </row>
        <row r="56">
          <cell r="A56" t="str">
            <v>布線工程</v>
          </cell>
          <cell r="B56" t="str">
            <v>合計・・・・・・</v>
          </cell>
          <cell r="C56">
            <v>3.0216000000000003</v>
          </cell>
          <cell r="D56">
            <v>3.3518999999999997</v>
          </cell>
          <cell r="E56">
            <v>1.1285000000000001</v>
          </cell>
          <cell r="F56">
            <v>1.3150999999999999</v>
          </cell>
          <cell r="G56">
            <v>1.5825999999999998</v>
          </cell>
          <cell r="H56">
            <v>1.5367999999999999</v>
          </cell>
          <cell r="I56">
            <v>2.1755999999999998</v>
          </cell>
          <cell r="J56">
            <v>1.8348</v>
          </cell>
          <cell r="K56">
            <v>1.9454000000000002</v>
          </cell>
          <cell r="L56">
            <v>2.4856999999999996</v>
          </cell>
          <cell r="M56">
            <v>2.5936000000000003</v>
          </cell>
          <cell r="N56">
            <v>1.2761999999999998</v>
          </cell>
          <cell r="O56">
            <v>1.9666000000000001</v>
          </cell>
          <cell r="P56">
            <v>2.4777</v>
          </cell>
          <cell r="Q56">
            <v>1.1282000000000001</v>
          </cell>
          <cell r="R56">
            <v>1.3152999999999999</v>
          </cell>
          <cell r="S56">
            <v>1.5827</v>
          </cell>
          <cell r="T56">
            <v>1.5483</v>
          </cell>
          <cell r="U56">
            <v>2.5947</v>
          </cell>
          <cell r="V56">
            <v>2.4852999999999996</v>
          </cell>
          <cell r="W56">
            <v>2.593</v>
          </cell>
          <cell r="X56">
            <v>1.8340000000000001</v>
          </cell>
          <cell r="Y56">
            <v>1.9443000000000001</v>
          </cell>
          <cell r="Z56">
            <v>1.2758999999999998</v>
          </cell>
          <cell r="AA56">
            <v>0.42</v>
          </cell>
          <cell r="AB56">
            <v>0.75990000000000002</v>
          </cell>
          <cell r="AC56">
            <v>8.8600000000000012E-2</v>
          </cell>
        </row>
        <row r="57">
          <cell r="A57" t="str">
            <v>部品ピッキング工程</v>
          </cell>
          <cell r="B57" t="str">
            <v>部品ピッキング</v>
          </cell>
          <cell r="C57">
            <v>0.39159999999999995</v>
          </cell>
          <cell r="D57">
            <v>0.39159999999999995</v>
          </cell>
          <cell r="E57">
            <v>0.17499999999999999</v>
          </cell>
          <cell r="F57">
            <v>0.17499999999999999</v>
          </cell>
          <cell r="G57">
            <v>0.17499999999999999</v>
          </cell>
          <cell r="H57">
            <v>0.4153</v>
          </cell>
          <cell r="I57">
            <v>0.4153</v>
          </cell>
          <cell r="J57">
            <v>0.39159999999999995</v>
          </cell>
          <cell r="K57">
            <v>0.39159999999999995</v>
          </cell>
          <cell r="L57">
            <v>0.39159999999999995</v>
          </cell>
          <cell r="M57">
            <v>0.39159999999999995</v>
          </cell>
          <cell r="N57">
            <v>0.4153</v>
          </cell>
          <cell r="O57">
            <v>0.39159999999999995</v>
          </cell>
          <cell r="P57">
            <v>0.39159999999999995</v>
          </cell>
          <cell r="Q57">
            <v>0.17499999999999999</v>
          </cell>
          <cell r="R57">
            <v>0.17499999999999999</v>
          </cell>
          <cell r="S57">
            <v>0.17499999999999999</v>
          </cell>
          <cell r="T57">
            <v>0.4153</v>
          </cell>
          <cell r="U57">
            <v>0.4153</v>
          </cell>
          <cell r="V57">
            <v>0.39159999999999995</v>
          </cell>
          <cell r="W57">
            <v>0.39159999999999995</v>
          </cell>
          <cell r="X57">
            <v>0.39159999999999995</v>
          </cell>
          <cell r="Y57">
            <v>0.39159999999999995</v>
          </cell>
          <cell r="Z57">
            <v>0.4153</v>
          </cell>
          <cell r="AA57">
            <v>0.19869999999999999</v>
          </cell>
          <cell r="AB57">
            <v>0.19869999999999999</v>
          </cell>
          <cell r="AC57">
            <v>5.6500000000000002E-2</v>
          </cell>
        </row>
        <row r="58">
          <cell r="A58" t="str">
            <v>部品ピッキング工程</v>
          </cell>
          <cell r="B58" t="str">
            <v>合計・・・・・・</v>
          </cell>
          <cell r="C58">
            <v>0.39159999999999995</v>
          </cell>
          <cell r="D58">
            <v>0.39159999999999995</v>
          </cell>
          <cell r="E58">
            <v>0.17499999999999999</v>
          </cell>
          <cell r="F58">
            <v>0.17499999999999999</v>
          </cell>
          <cell r="G58">
            <v>0.17499999999999999</v>
          </cell>
          <cell r="H58">
            <v>0.4153</v>
          </cell>
          <cell r="I58">
            <v>0.4153</v>
          </cell>
          <cell r="J58">
            <v>0.39159999999999995</v>
          </cell>
          <cell r="K58">
            <v>0.39159999999999995</v>
          </cell>
          <cell r="L58">
            <v>0.39159999999999995</v>
          </cell>
          <cell r="M58">
            <v>0.39159999999999995</v>
          </cell>
          <cell r="N58">
            <v>0.4153</v>
          </cell>
          <cell r="O58">
            <v>0.39159999999999995</v>
          </cell>
          <cell r="P58">
            <v>0.39159999999999995</v>
          </cell>
          <cell r="Q58">
            <v>0.17499999999999999</v>
          </cell>
          <cell r="R58">
            <v>0.17499999999999999</v>
          </cell>
          <cell r="S58">
            <v>0.17499999999999999</v>
          </cell>
          <cell r="T58">
            <v>0.4153</v>
          </cell>
          <cell r="U58">
            <v>0.4153</v>
          </cell>
          <cell r="V58">
            <v>0.39159999999999995</v>
          </cell>
          <cell r="W58">
            <v>0.39159999999999995</v>
          </cell>
          <cell r="X58">
            <v>0.39159999999999995</v>
          </cell>
          <cell r="Y58">
            <v>0.39159999999999995</v>
          </cell>
          <cell r="Z58">
            <v>0.4153</v>
          </cell>
          <cell r="AA58">
            <v>0.19869999999999999</v>
          </cell>
          <cell r="AB58">
            <v>0.19869999999999999</v>
          </cell>
          <cell r="AC58">
            <v>5.6500000000000002E-2</v>
          </cell>
        </row>
        <row r="59">
          <cell r="A59" t="str">
            <v>仕上工程</v>
          </cell>
          <cell r="B59" t="str">
            <v>テーピング</v>
          </cell>
          <cell r="C59">
            <v>2.0628000000000002</v>
          </cell>
          <cell r="D59">
            <v>2.1466000000000003</v>
          </cell>
          <cell r="E59">
            <v>0.60639999999999994</v>
          </cell>
          <cell r="F59">
            <v>0.67509999999999992</v>
          </cell>
          <cell r="G59">
            <v>0.76200000000000001</v>
          </cell>
          <cell r="H59">
            <v>1.6436000000000002</v>
          </cell>
          <cell r="I59">
            <v>2.0392999999999999</v>
          </cell>
          <cell r="J59">
            <v>1.5548</v>
          </cell>
          <cell r="K59">
            <v>1.6665000000000001</v>
          </cell>
          <cell r="L59">
            <v>1.7570999999999999</v>
          </cell>
          <cell r="M59">
            <v>1.8573</v>
          </cell>
          <cell r="N59">
            <v>1.4255</v>
          </cell>
          <cell r="O59">
            <v>1.4912000000000001</v>
          </cell>
          <cell r="P59">
            <v>2.0373999999999999</v>
          </cell>
          <cell r="Q59">
            <v>0.58550000000000002</v>
          </cell>
          <cell r="R59">
            <v>0.6542</v>
          </cell>
          <cell r="S59">
            <v>0.74069999999999991</v>
          </cell>
          <cell r="T59">
            <v>1.6205000000000001</v>
          </cell>
          <cell r="U59">
            <v>1.9966999999999999</v>
          </cell>
          <cell r="V59">
            <v>1.7324000000000002</v>
          </cell>
          <cell r="W59">
            <v>1.8323999999999998</v>
          </cell>
          <cell r="X59">
            <v>1.5319</v>
          </cell>
          <cell r="Y59">
            <v>1.6432</v>
          </cell>
          <cell r="Z59">
            <v>1.4034</v>
          </cell>
          <cell r="AA59">
            <v>0.5381999999999999</v>
          </cell>
          <cell r="AB59">
            <v>0.31069999999999998</v>
          </cell>
          <cell r="AC59">
            <v>0</v>
          </cell>
        </row>
        <row r="60">
          <cell r="A60" t="str">
            <v>仕上工程</v>
          </cell>
          <cell r="B60" t="str">
            <v>丸・割チューブ装着固定</v>
          </cell>
          <cell r="C60">
            <v>0.66270000000000007</v>
          </cell>
          <cell r="D60">
            <v>0.66270000000000007</v>
          </cell>
          <cell r="E60">
            <v>0.43680000000000002</v>
          </cell>
          <cell r="F60">
            <v>0.43680000000000002</v>
          </cell>
          <cell r="G60">
            <v>0.43680000000000002</v>
          </cell>
          <cell r="H60">
            <v>0.66270000000000007</v>
          </cell>
          <cell r="I60">
            <v>0.66270000000000007</v>
          </cell>
          <cell r="J60">
            <v>0.66270000000000007</v>
          </cell>
          <cell r="K60">
            <v>0.66270000000000007</v>
          </cell>
          <cell r="L60">
            <v>0.66270000000000007</v>
          </cell>
          <cell r="M60">
            <v>0.66270000000000007</v>
          </cell>
          <cell r="N60">
            <v>0.66270000000000007</v>
          </cell>
          <cell r="O60">
            <v>0.66270000000000007</v>
          </cell>
          <cell r="P60">
            <v>0.66270000000000007</v>
          </cell>
          <cell r="Q60">
            <v>0.43680000000000002</v>
          </cell>
          <cell r="R60">
            <v>0.43680000000000002</v>
          </cell>
          <cell r="S60">
            <v>0.43680000000000002</v>
          </cell>
          <cell r="T60">
            <v>0.66270000000000007</v>
          </cell>
          <cell r="U60">
            <v>0.66270000000000007</v>
          </cell>
          <cell r="V60">
            <v>0.66270000000000007</v>
          </cell>
          <cell r="W60">
            <v>0.66270000000000007</v>
          </cell>
          <cell r="X60">
            <v>0.66270000000000007</v>
          </cell>
          <cell r="Y60">
            <v>0.66270000000000007</v>
          </cell>
          <cell r="Z60">
            <v>0.66270000000000007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>仕上工程</v>
          </cell>
          <cell r="B61" t="str">
            <v>丸・割コルゲート装着固定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</row>
        <row r="62">
          <cell r="A62" t="str">
            <v>仕上工程</v>
          </cell>
          <cell r="B62" t="str">
            <v>その他チューブ類装着固定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</row>
        <row r="63">
          <cell r="A63" t="str">
            <v>仕上工程</v>
          </cell>
          <cell r="B63" t="str">
            <v>ＶＳ装着固定</v>
          </cell>
          <cell r="C63">
            <v>0.57409999999999994</v>
          </cell>
          <cell r="D63">
            <v>0.57409999999999994</v>
          </cell>
          <cell r="E63">
            <v>0.23720000000000002</v>
          </cell>
          <cell r="F63">
            <v>0.23720000000000002</v>
          </cell>
          <cell r="G63">
            <v>0.23720000000000002</v>
          </cell>
          <cell r="H63">
            <v>0.57409999999999994</v>
          </cell>
          <cell r="I63">
            <v>0.57409999999999994</v>
          </cell>
          <cell r="J63">
            <v>0.57409999999999994</v>
          </cell>
          <cell r="K63">
            <v>0.57409999999999994</v>
          </cell>
          <cell r="L63">
            <v>0.57409999999999994</v>
          </cell>
          <cell r="M63">
            <v>0.57409999999999994</v>
          </cell>
          <cell r="N63">
            <v>0.57409999999999994</v>
          </cell>
          <cell r="O63">
            <v>0.57409999999999994</v>
          </cell>
          <cell r="P63">
            <v>0.57409999999999994</v>
          </cell>
          <cell r="Q63">
            <v>0.23720000000000002</v>
          </cell>
          <cell r="R63">
            <v>0.23720000000000002</v>
          </cell>
          <cell r="S63">
            <v>0.23720000000000002</v>
          </cell>
          <cell r="T63">
            <v>0.57409999999999994</v>
          </cell>
          <cell r="U63">
            <v>0.57409999999999994</v>
          </cell>
          <cell r="V63">
            <v>0.57409999999999994</v>
          </cell>
          <cell r="W63">
            <v>0.57409999999999994</v>
          </cell>
          <cell r="X63">
            <v>0.57409999999999994</v>
          </cell>
          <cell r="Y63">
            <v>0.57409999999999994</v>
          </cell>
          <cell r="Z63">
            <v>0.57409999999999994</v>
          </cell>
          <cell r="AA63">
            <v>0.36419999999999997</v>
          </cell>
          <cell r="AB63">
            <v>0.36419999999999997</v>
          </cell>
          <cell r="AC63">
            <v>0</v>
          </cell>
        </row>
        <row r="64">
          <cell r="A64" t="str">
            <v>仕上工程</v>
          </cell>
          <cell r="B64" t="str">
            <v>ソフトテープ装着固定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A65" t="str">
            <v>仕上工程</v>
          </cell>
          <cell r="B65" t="str">
            <v>クランプ装着固定</v>
          </cell>
          <cell r="C65">
            <v>1.7428999999999999</v>
          </cell>
          <cell r="D65">
            <v>1.7428999999999999</v>
          </cell>
          <cell r="E65">
            <v>1.0670999999999999</v>
          </cell>
          <cell r="F65">
            <v>1.0670999999999999</v>
          </cell>
          <cell r="G65">
            <v>1.0670999999999999</v>
          </cell>
          <cell r="H65">
            <v>1.9278</v>
          </cell>
          <cell r="I65">
            <v>1.9278</v>
          </cell>
          <cell r="J65">
            <v>1.7428999999999999</v>
          </cell>
          <cell r="K65">
            <v>1.7428999999999999</v>
          </cell>
          <cell r="L65">
            <v>1.7428999999999999</v>
          </cell>
          <cell r="M65">
            <v>1.7428999999999999</v>
          </cell>
          <cell r="N65">
            <v>1.9278</v>
          </cell>
          <cell r="O65">
            <v>1.7428999999999999</v>
          </cell>
          <cell r="P65">
            <v>1.7428999999999999</v>
          </cell>
          <cell r="Q65">
            <v>1.0670999999999999</v>
          </cell>
          <cell r="R65">
            <v>1.0670999999999999</v>
          </cell>
          <cell r="S65">
            <v>1.0670999999999999</v>
          </cell>
          <cell r="T65">
            <v>1.9278</v>
          </cell>
          <cell r="U65">
            <v>1.9278</v>
          </cell>
          <cell r="V65">
            <v>1.7428999999999999</v>
          </cell>
          <cell r="W65">
            <v>1.7428999999999999</v>
          </cell>
          <cell r="X65">
            <v>1.7428999999999999</v>
          </cell>
          <cell r="Y65">
            <v>1.7428999999999999</v>
          </cell>
          <cell r="Z65">
            <v>1.9278</v>
          </cell>
          <cell r="AA65">
            <v>1.2462</v>
          </cell>
          <cell r="AB65">
            <v>1.2462</v>
          </cell>
          <cell r="AC65">
            <v>0.18490000000000001</v>
          </cell>
        </row>
        <row r="66">
          <cell r="A66" t="str">
            <v>仕上工程</v>
          </cell>
          <cell r="B66" t="str">
            <v>プロテクタ装着固定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7">
          <cell r="A67" t="str">
            <v>仕上工程</v>
          </cell>
          <cell r="B67" t="str">
            <v>グロメット装着固定</v>
          </cell>
          <cell r="C67">
            <v>1.2561</v>
          </cell>
          <cell r="D67">
            <v>1.2561</v>
          </cell>
          <cell r="E67">
            <v>1.2561</v>
          </cell>
          <cell r="F67">
            <v>1.2561</v>
          </cell>
          <cell r="G67">
            <v>1.2561</v>
          </cell>
          <cell r="H67">
            <v>1.2561</v>
          </cell>
          <cell r="I67">
            <v>1.2561</v>
          </cell>
          <cell r="J67">
            <v>1.2561</v>
          </cell>
          <cell r="K67">
            <v>1.2561</v>
          </cell>
          <cell r="L67">
            <v>1.2561</v>
          </cell>
          <cell r="M67">
            <v>1.2561</v>
          </cell>
          <cell r="N67">
            <v>1.2561</v>
          </cell>
          <cell r="O67">
            <v>1.2561</v>
          </cell>
          <cell r="P67">
            <v>1.2561</v>
          </cell>
          <cell r="Q67">
            <v>1.2561</v>
          </cell>
          <cell r="R67">
            <v>1.2561</v>
          </cell>
          <cell r="S67">
            <v>1.2561</v>
          </cell>
          <cell r="T67">
            <v>1.2561</v>
          </cell>
          <cell r="U67">
            <v>1.2561</v>
          </cell>
          <cell r="V67">
            <v>1.2561</v>
          </cell>
          <cell r="W67">
            <v>1.2561</v>
          </cell>
          <cell r="X67">
            <v>1.2561</v>
          </cell>
          <cell r="Y67">
            <v>1.2561</v>
          </cell>
          <cell r="Z67">
            <v>1.2561</v>
          </cell>
          <cell r="AA67">
            <v>1.2561</v>
          </cell>
          <cell r="AB67">
            <v>1.2561</v>
          </cell>
          <cell r="AC67">
            <v>0</v>
          </cell>
        </row>
        <row r="68">
          <cell r="A68" t="str">
            <v>仕上工程</v>
          </cell>
          <cell r="B68" t="str">
            <v>ドームランプ圧接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A69" t="str">
            <v>仕上工程</v>
          </cell>
          <cell r="B69" t="str">
            <v>その他作業</v>
          </cell>
          <cell r="C69">
            <v>0.1668</v>
          </cell>
          <cell r="D69">
            <v>0.1668</v>
          </cell>
          <cell r="E69">
            <v>0.1668</v>
          </cell>
          <cell r="F69">
            <v>0.1668</v>
          </cell>
          <cell r="G69">
            <v>0.1668</v>
          </cell>
          <cell r="H69">
            <v>0.1668</v>
          </cell>
          <cell r="I69">
            <v>0.1668</v>
          </cell>
          <cell r="J69">
            <v>0.1668</v>
          </cell>
          <cell r="K69">
            <v>0.1668</v>
          </cell>
          <cell r="L69">
            <v>0.1668</v>
          </cell>
          <cell r="M69">
            <v>0.1668</v>
          </cell>
          <cell r="N69">
            <v>0.1668</v>
          </cell>
          <cell r="O69">
            <v>0.1668</v>
          </cell>
          <cell r="P69">
            <v>0.1668</v>
          </cell>
          <cell r="Q69">
            <v>0.1668</v>
          </cell>
          <cell r="R69">
            <v>0.1668</v>
          </cell>
          <cell r="S69">
            <v>0.1668</v>
          </cell>
          <cell r="T69">
            <v>0.1668</v>
          </cell>
          <cell r="U69">
            <v>0.1668</v>
          </cell>
          <cell r="V69">
            <v>0.1668</v>
          </cell>
          <cell r="W69">
            <v>0.1668</v>
          </cell>
          <cell r="X69">
            <v>0.1668</v>
          </cell>
          <cell r="Y69">
            <v>0.1668</v>
          </cell>
          <cell r="Z69">
            <v>0.1668</v>
          </cell>
          <cell r="AA69">
            <v>0.1668</v>
          </cell>
          <cell r="AB69">
            <v>0.1668</v>
          </cell>
          <cell r="AC69">
            <v>0</v>
          </cell>
        </row>
        <row r="70">
          <cell r="A70" t="str">
            <v>仕上工程</v>
          </cell>
          <cell r="B70" t="str">
            <v>合計・・・・・・</v>
          </cell>
          <cell r="C70">
            <v>6.4654000000000007</v>
          </cell>
          <cell r="D70">
            <v>6.5492000000000008</v>
          </cell>
          <cell r="E70">
            <v>3.7704</v>
          </cell>
          <cell r="F70">
            <v>3.8390999999999997</v>
          </cell>
          <cell r="G70">
            <v>3.9259999999999997</v>
          </cell>
          <cell r="H70">
            <v>6.2311000000000005</v>
          </cell>
          <cell r="I70">
            <v>6.6268000000000002</v>
          </cell>
          <cell r="J70">
            <v>5.9574000000000007</v>
          </cell>
          <cell r="K70">
            <v>6.0691000000000006</v>
          </cell>
          <cell r="L70">
            <v>6.1597</v>
          </cell>
          <cell r="M70">
            <v>6.2599</v>
          </cell>
          <cell r="N70">
            <v>6.0129999999999999</v>
          </cell>
          <cell r="O70">
            <v>5.8938000000000006</v>
          </cell>
          <cell r="P70">
            <v>6.44</v>
          </cell>
          <cell r="Q70">
            <v>3.7494999999999998</v>
          </cell>
          <cell r="R70">
            <v>3.8181999999999996</v>
          </cell>
          <cell r="S70">
            <v>3.9046999999999996</v>
          </cell>
          <cell r="T70">
            <v>6.2080000000000002</v>
          </cell>
          <cell r="U70">
            <v>6.5842000000000001</v>
          </cell>
          <cell r="V70">
            <v>6.1349999999999998</v>
          </cell>
          <cell r="W70">
            <v>6.2350000000000003</v>
          </cell>
          <cell r="X70">
            <v>5.9345000000000008</v>
          </cell>
          <cell r="Y70">
            <v>6.0458000000000007</v>
          </cell>
          <cell r="Z70">
            <v>5.9908999999999999</v>
          </cell>
          <cell r="AA70">
            <v>3.5714999999999999</v>
          </cell>
          <cell r="AB70">
            <v>3.3439999999999999</v>
          </cell>
          <cell r="AC70">
            <v>0.18490000000000001</v>
          </cell>
        </row>
        <row r="71">
          <cell r="A71" t="str">
            <v>注入ＲＩＭ成形工程</v>
          </cell>
          <cell r="B71" t="str">
            <v>ＲＩＭ成形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>注入ＲＩＭ成形工程</v>
          </cell>
          <cell r="B72" t="str">
            <v>合計・・・・・・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A73" t="str">
            <v>検査工程</v>
          </cell>
          <cell r="B73" t="str">
            <v>寸法検査</v>
          </cell>
          <cell r="C73">
            <v>0.83430000000000004</v>
          </cell>
          <cell r="D73">
            <v>0.85730000000000006</v>
          </cell>
          <cell r="E73">
            <v>0.52089999999999992</v>
          </cell>
          <cell r="F73">
            <v>0.52089999999999992</v>
          </cell>
          <cell r="G73">
            <v>0.5383</v>
          </cell>
          <cell r="H73">
            <v>0.61660000000000004</v>
          </cell>
          <cell r="I73">
            <v>0.65139999999999998</v>
          </cell>
          <cell r="J73">
            <v>0.61660000000000004</v>
          </cell>
          <cell r="K73">
            <v>0.62529999999999997</v>
          </cell>
          <cell r="L73">
            <v>0.61660000000000004</v>
          </cell>
          <cell r="M73">
            <v>0.62529999999999997</v>
          </cell>
          <cell r="N73">
            <v>0.59919999999999995</v>
          </cell>
          <cell r="O73">
            <v>0.62529999999999997</v>
          </cell>
          <cell r="P73">
            <v>0.65139999999999998</v>
          </cell>
          <cell r="Q73">
            <v>0.52089999999999992</v>
          </cell>
          <cell r="R73">
            <v>0.52089999999999992</v>
          </cell>
          <cell r="S73">
            <v>0.5383</v>
          </cell>
          <cell r="T73">
            <v>0.61660000000000004</v>
          </cell>
          <cell r="U73">
            <v>0.63400000000000001</v>
          </cell>
          <cell r="V73">
            <v>0.61660000000000004</v>
          </cell>
          <cell r="W73">
            <v>0.62529999999999997</v>
          </cell>
          <cell r="X73">
            <v>0.61660000000000004</v>
          </cell>
          <cell r="Y73">
            <v>0.62529999999999997</v>
          </cell>
          <cell r="Z73">
            <v>0.59919999999999995</v>
          </cell>
          <cell r="AA73">
            <v>0.18329999999999999</v>
          </cell>
          <cell r="AB73">
            <v>0.15720000000000001</v>
          </cell>
          <cell r="AC73">
            <v>0.1137</v>
          </cell>
        </row>
        <row r="74">
          <cell r="A74" t="str">
            <v>検査工程</v>
          </cell>
          <cell r="B74" t="str">
            <v>導通検査</v>
          </cell>
          <cell r="C74">
            <v>1.232</v>
          </cell>
          <cell r="D74">
            <v>1.3311999999999999</v>
          </cell>
          <cell r="E74">
            <v>0.5796</v>
          </cell>
          <cell r="F74">
            <v>0.58289999999999997</v>
          </cell>
          <cell r="G74">
            <v>0.65519999999999989</v>
          </cell>
          <cell r="H74">
            <v>1.0087999999999999</v>
          </cell>
          <cell r="I74">
            <v>1.2222</v>
          </cell>
          <cell r="J74">
            <v>1.0391999999999999</v>
          </cell>
          <cell r="K74">
            <v>1.1115999999999999</v>
          </cell>
          <cell r="L74">
            <v>1.0655999999999999</v>
          </cell>
          <cell r="M74">
            <v>1.1379000000000001</v>
          </cell>
          <cell r="N74">
            <v>0.92610000000000003</v>
          </cell>
          <cell r="O74">
            <v>1.1141000000000001</v>
          </cell>
          <cell r="P74">
            <v>1.2862</v>
          </cell>
          <cell r="Q74">
            <v>0.57950000000000002</v>
          </cell>
          <cell r="R74">
            <v>0.58289999999999997</v>
          </cell>
          <cell r="S74">
            <v>0.65529999999999988</v>
          </cell>
          <cell r="T74">
            <v>1.0087999999999999</v>
          </cell>
          <cell r="U74">
            <v>1.1693</v>
          </cell>
          <cell r="V74">
            <v>1.0655999999999999</v>
          </cell>
          <cell r="W74">
            <v>1.1379000000000001</v>
          </cell>
          <cell r="X74">
            <v>1.0391999999999999</v>
          </cell>
          <cell r="Y74">
            <v>1.1114999999999999</v>
          </cell>
          <cell r="Z74">
            <v>0.92610000000000003</v>
          </cell>
          <cell r="AA74">
            <v>0.78910000000000002</v>
          </cell>
          <cell r="AB74">
            <v>0.64869999999999994</v>
          </cell>
          <cell r="AC74">
            <v>0.34889999999999999</v>
          </cell>
        </row>
        <row r="75">
          <cell r="A75" t="str">
            <v>検査工程</v>
          </cell>
          <cell r="B75" t="str">
            <v>導通部品装着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</row>
        <row r="76">
          <cell r="A76" t="str">
            <v>検査工程</v>
          </cell>
          <cell r="B76" t="str">
            <v>オプション検査部品装着</v>
          </cell>
          <cell r="C76">
            <v>0.1638</v>
          </cell>
          <cell r="D76">
            <v>0.1638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0.1638</v>
          </cell>
          <cell r="P76">
            <v>0.1638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7">
          <cell r="A77" t="str">
            <v>検査工程</v>
          </cell>
          <cell r="B77" t="str">
            <v>グリス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</row>
        <row r="78">
          <cell r="A78" t="str">
            <v>検査工程</v>
          </cell>
          <cell r="B78" t="str">
            <v>外観検査</v>
          </cell>
          <cell r="C78">
            <v>0.55479999999999996</v>
          </cell>
          <cell r="D78">
            <v>0.57019999999999993</v>
          </cell>
          <cell r="E78">
            <v>0</v>
          </cell>
          <cell r="F78">
            <v>0</v>
          </cell>
          <cell r="G78">
            <v>0</v>
          </cell>
          <cell r="H78">
            <v>0.50319999999999998</v>
          </cell>
          <cell r="I78">
            <v>0.54720000000000002</v>
          </cell>
          <cell r="J78">
            <v>0.46879999999999999</v>
          </cell>
          <cell r="K78">
            <v>0.48409999999999997</v>
          </cell>
          <cell r="L78">
            <v>0.49180000000000001</v>
          </cell>
          <cell r="M78">
            <v>0.5071</v>
          </cell>
          <cell r="N78">
            <v>0.4834</v>
          </cell>
          <cell r="O78">
            <v>0.50629999999999997</v>
          </cell>
          <cell r="P78">
            <v>0.5423</v>
          </cell>
          <cell r="Q78">
            <v>0</v>
          </cell>
          <cell r="R78">
            <v>0</v>
          </cell>
          <cell r="S78">
            <v>0</v>
          </cell>
          <cell r="T78">
            <v>0.50319999999999998</v>
          </cell>
          <cell r="U78">
            <v>0.55180000000000007</v>
          </cell>
          <cell r="V78">
            <v>0.49169999999999991</v>
          </cell>
          <cell r="W78">
            <v>0.50700000000000001</v>
          </cell>
          <cell r="X78">
            <v>0.46870000000000001</v>
          </cell>
          <cell r="Y78">
            <v>0.48399999999999999</v>
          </cell>
          <cell r="Z78">
            <v>0.4834</v>
          </cell>
          <cell r="AA78">
            <v>0.42409999999999998</v>
          </cell>
          <cell r="AB78">
            <v>0.39660000000000001</v>
          </cell>
          <cell r="AC78">
            <v>0</v>
          </cell>
        </row>
        <row r="79">
          <cell r="A79" t="str">
            <v>検査工程</v>
          </cell>
          <cell r="B79" t="str">
            <v>梱包その他</v>
          </cell>
          <cell r="C79">
            <v>0.10819999999999999</v>
          </cell>
          <cell r="D79">
            <v>0.11549999999999999</v>
          </cell>
          <cell r="E79">
            <v>7.329999999999999E-2</v>
          </cell>
          <cell r="F79">
            <v>7.4700000000000003E-2</v>
          </cell>
          <cell r="G79">
            <v>7.6799999999999993E-2</v>
          </cell>
          <cell r="H79">
            <v>9.0499999999999997E-2</v>
          </cell>
          <cell r="I79">
            <v>9.4699999999999993E-2</v>
          </cell>
          <cell r="J79">
            <v>8.6799999999999988E-2</v>
          </cell>
          <cell r="K79">
            <v>8.8999999999999996E-2</v>
          </cell>
          <cell r="L79">
            <v>9.7599999999999992E-2</v>
          </cell>
          <cell r="M79">
            <v>9.98E-2</v>
          </cell>
          <cell r="N79">
            <v>8.3299999999999999E-2</v>
          </cell>
          <cell r="O79">
            <v>8.8700000000000001E-2</v>
          </cell>
          <cell r="P79">
            <v>9.9199999999999997E-2</v>
          </cell>
          <cell r="Q79">
            <v>7.3200000000000001E-2</v>
          </cell>
          <cell r="R79">
            <v>7.4700000000000003E-2</v>
          </cell>
          <cell r="S79">
            <v>7.6799999999999993E-2</v>
          </cell>
          <cell r="T79">
            <v>9.0399999999999994E-2</v>
          </cell>
          <cell r="U79">
            <v>9.9899999999999989E-2</v>
          </cell>
          <cell r="V79">
            <v>9.7599999999999992E-2</v>
          </cell>
          <cell r="W79">
            <v>9.9699999999999997E-2</v>
          </cell>
          <cell r="X79">
            <v>8.6799999999999988E-2</v>
          </cell>
          <cell r="Y79">
            <v>8.8899999999999993E-2</v>
          </cell>
          <cell r="Z79">
            <v>8.3299999999999999E-2</v>
          </cell>
          <cell r="AA79">
            <v>7.6600000000000001E-2</v>
          </cell>
          <cell r="AB79">
            <v>7.5899999999999995E-2</v>
          </cell>
          <cell r="AC79">
            <v>7.1300000000000002E-2</v>
          </cell>
        </row>
        <row r="80">
          <cell r="A80" t="str">
            <v>検査工程</v>
          </cell>
          <cell r="B80" t="str">
            <v>合計・・・・・・</v>
          </cell>
          <cell r="C80">
            <v>2.8931000000000004</v>
          </cell>
          <cell r="D80">
            <v>3.0379999999999998</v>
          </cell>
          <cell r="E80">
            <v>1.1737999999999997</v>
          </cell>
          <cell r="F80">
            <v>1.1784999999999999</v>
          </cell>
          <cell r="G80">
            <v>1.2702999999999998</v>
          </cell>
          <cell r="H80">
            <v>2.2191000000000001</v>
          </cell>
          <cell r="I80">
            <v>2.5154999999999998</v>
          </cell>
          <cell r="J80">
            <v>2.2114000000000003</v>
          </cell>
          <cell r="K80">
            <v>2.31</v>
          </cell>
          <cell r="L80">
            <v>2.2715999999999998</v>
          </cell>
          <cell r="M80">
            <v>2.3701000000000003</v>
          </cell>
          <cell r="N80">
            <v>2.0920000000000001</v>
          </cell>
          <cell r="O80">
            <v>2.4981999999999998</v>
          </cell>
          <cell r="P80">
            <v>2.7429000000000001</v>
          </cell>
          <cell r="Q80">
            <v>1.1736</v>
          </cell>
          <cell r="R80">
            <v>1.1784999999999999</v>
          </cell>
          <cell r="S80">
            <v>1.2704</v>
          </cell>
          <cell r="T80">
            <v>2.2189999999999999</v>
          </cell>
          <cell r="U80">
            <v>2.4550000000000001</v>
          </cell>
          <cell r="V80">
            <v>2.2714999999999996</v>
          </cell>
          <cell r="W80">
            <v>2.3698999999999999</v>
          </cell>
          <cell r="X80">
            <v>2.2112999999999996</v>
          </cell>
          <cell r="Y80">
            <v>2.3096999999999999</v>
          </cell>
          <cell r="Z80">
            <v>2.0920000000000001</v>
          </cell>
          <cell r="AA80">
            <v>1.4731000000000001</v>
          </cell>
          <cell r="AB80">
            <v>1.2784</v>
          </cell>
          <cell r="AC80">
            <v>0.53390000000000004</v>
          </cell>
        </row>
        <row r="81">
          <cell r="A81" t="str">
            <v>■サブ～梱包工程合計■</v>
          </cell>
          <cell r="C81">
            <v>18.201500000000003</v>
          </cell>
          <cell r="D81">
            <v>19.807199999999998</v>
          </cell>
          <cell r="E81">
            <v>6.3917999999999999</v>
          </cell>
          <cell r="F81">
            <v>6.7294999999999998</v>
          </cell>
          <cell r="G81">
            <v>7.3142999999999994</v>
          </cell>
          <cell r="H81">
            <v>13.158200000000001</v>
          </cell>
          <cell r="I81">
            <v>15.277999999999999</v>
          </cell>
          <cell r="J81">
            <v>13.046000000000003</v>
          </cell>
          <cell r="K81">
            <v>13.663000000000002</v>
          </cell>
          <cell r="L81">
            <v>15.077400000000001</v>
          </cell>
          <cell r="M81">
            <v>15.679600000000001</v>
          </cell>
          <cell r="N81">
            <v>11.6783</v>
          </cell>
          <cell r="O81">
            <v>13.814900000000002</v>
          </cell>
          <cell r="P81">
            <v>16.601599999999998</v>
          </cell>
          <cell r="Q81">
            <v>6.3696999999999999</v>
          </cell>
          <cell r="R81">
            <v>6.7097999999999995</v>
          </cell>
          <cell r="S81">
            <v>7.2937999999999992</v>
          </cell>
          <cell r="T81">
            <v>13.183200000000001</v>
          </cell>
          <cell r="U81">
            <v>16.117100000000001</v>
          </cell>
          <cell r="V81">
            <v>15.050999999999998</v>
          </cell>
          <cell r="W81">
            <v>15.652099999999999</v>
          </cell>
          <cell r="X81">
            <v>13.0207</v>
          </cell>
          <cell r="Y81">
            <v>13.636099999999999</v>
          </cell>
          <cell r="Z81">
            <v>11.6553</v>
          </cell>
          <cell r="AA81">
            <v>6.9245999999999999</v>
          </cell>
          <cell r="AB81">
            <v>5.8727999999999998</v>
          </cell>
          <cell r="AC81">
            <v>0.90140000000000009</v>
          </cell>
        </row>
        <row r="82">
          <cell r="A82" t="str">
            <v>■■工数総合計■■</v>
          </cell>
          <cell r="C82">
            <v>21.476200000000002</v>
          </cell>
          <cell r="D82">
            <v>25.240599999999997</v>
          </cell>
          <cell r="E82">
            <v>6.8288000000000002</v>
          </cell>
          <cell r="F82">
            <v>7.2557</v>
          </cell>
          <cell r="G82">
            <v>8.0188999999999986</v>
          </cell>
          <cell r="H82">
            <v>14.876100000000001</v>
          </cell>
          <cell r="I82">
            <v>17.4114</v>
          </cell>
          <cell r="J82">
            <v>14.646200000000004</v>
          </cell>
          <cell r="K82">
            <v>15.441600000000003</v>
          </cell>
          <cell r="L82">
            <v>17.360700000000001</v>
          </cell>
          <cell r="M82">
            <v>18.141300000000001</v>
          </cell>
          <cell r="N82">
            <v>12.956200000000001</v>
          </cell>
          <cell r="O82">
            <v>15.684700000000001</v>
          </cell>
          <cell r="P82">
            <v>20.806899999999999</v>
          </cell>
          <cell r="Q82">
            <v>6.8067000000000002</v>
          </cell>
          <cell r="R82">
            <v>7.2359999999999998</v>
          </cell>
          <cell r="S82">
            <v>7.9983999999999993</v>
          </cell>
          <cell r="T82">
            <v>14.901100000000001</v>
          </cell>
          <cell r="U82">
            <v>18.578800000000001</v>
          </cell>
          <cell r="V82">
            <v>17.334299999999999</v>
          </cell>
          <cell r="W82">
            <v>18.113799999999998</v>
          </cell>
          <cell r="X82">
            <v>14.620899999999999</v>
          </cell>
          <cell r="Y82">
            <v>15.4147</v>
          </cell>
          <cell r="Z82">
            <v>12.933200000000001</v>
          </cell>
          <cell r="AA82">
            <v>7.6015999999999995</v>
          </cell>
          <cell r="AB82">
            <v>6.3086000000000002</v>
          </cell>
          <cell r="AC82">
            <v>1.0455000000000001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id Descriptions"/>
      <sheetName val="Project Details"/>
      <sheetName val="Group Details"/>
      <sheetName val="Range"/>
      <sheetName val="TOC"/>
      <sheetName val="GroupRank"/>
      <sheetName val="SuperGroupRank"/>
      <sheetName val="CoverPage"/>
      <sheetName val="dashboard"/>
      <sheetName val="score trends"/>
      <sheetName val="priority analysis"/>
      <sheetName val="standards trend"/>
      <sheetName val="service timing"/>
      <sheetName val="Fix it First Time"/>
      <sheetName val="Product Problems"/>
      <sheetName val="Parts"/>
      <sheetName val="Mgmt Rpt Data"/>
      <sheetName val="Sheet1"/>
      <sheetName val="Slide Mgmt"/>
      <sheetName val="Asian Honda CSS DLR rep 29-05 ("/>
      <sheetName val="CIVIC 1.6L(7ｶ国MA輸出)ｺｽﾄ"/>
      <sheetName val="Topline trends"/>
      <sheetName val="Sheet2"/>
      <sheetName val="P2対D1"/>
      <sheetName val="SRP FH"/>
      <sheetName val="LPDC G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I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シート目次"/>
      <sheetName val="指示数入力"/>
      <sheetName val="表紙"/>
      <sheetName val="出荷指示書"/>
      <sheetName val="ASSY生産実績(1F)"/>
      <sheetName val="ASSY生産実績(2F)"/>
      <sheetName val="部品払出し指示書(1FAｻｲｸﾙ1)"/>
      <sheetName val="部品払出し指示書(1FBｻｲｸﾙ1)"/>
      <sheetName val="部品払出し指示書(1FAｻｲｸﾙ2)"/>
      <sheetName val="部品払出し指示書(1FBｻｲｸﾙ2)"/>
      <sheetName val="部品払出し指示書(2Fｻｲｸﾙ1)"/>
      <sheetName val="部品払出し指示書(2Fｻｲｸﾙ2)"/>
      <sheetName val="ｻｲｸﾙ1部品切断作業日誌"/>
      <sheetName val="ｻｲｸﾙ2部品切断作業日誌"/>
      <sheetName val="切断圧着表紙"/>
      <sheetName val="ｻｲｸﾙ1切断圧着作業日誌"/>
      <sheetName val="ｻｲｸﾙ2切断圧着作業日誌"/>
      <sheetName val="ｻｲｸﾙ1.2号機材配日誌"/>
      <sheetName val="ｻｲｸﾙ2.2号機材配日誌"/>
      <sheetName val="ｻｲｸﾙ1端子圧着作業日誌"/>
      <sheetName val="ｻｲｸﾙ2端子圧着作業日誌"/>
      <sheetName val="ｻｲｸﾙ1ｼﾞｮｲﾝﾄ圧着作業日誌"/>
      <sheetName val="ｻｲｸﾙ2ｼﾞｮｲﾝﾄ圧着作業日誌"/>
      <sheetName val="ｻｲｸﾙ1仕掛揃ﾁｪｯｸ表"/>
      <sheetName val="ｻｲｸﾙ2仕掛揃ﾁｪｯｸ表"/>
    </sheetNames>
    <sheetDataSet>
      <sheetData sheetId="0" refreshError="1"/>
      <sheetData sheetId="1">
        <row r="16">
          <cell r="D16">
            <v>2</v>
          </cell>
          <cell r="E16">
            <v>3</v>
          </cell>
          <cell r="F16">
            <v>4</v>
          </cell>
          <cell r="G16">
            <v>5</v>
          </cell>
        </row>
        <row r="17">
          <cell r="C17" t="str">
            <v>指示書発行日</v>
          </cell>
          <cell r="E17">
            <v>37547</v>
          </cell>
        </row>
        <row r="18">
          <cell r="C18" t="str">
            <v>曜日</v>
          </cell>
          <cell r="E18" t="str">
            <v>金</v>
          </cell>
        </row>
        <row r="19">
          <cell r="C19" t="str">
            <v>製品出荷日</v>
          </cell>
          <cell r="E19">
            <v>37550</v>
          </cell>
        </row>
        <row r="20">
          <cell r="C20" t="str">
            <v>曜日</v>
          </cell>
          <cell r="E20" t="str">
            <v>月</v>
          </cell>
        </row>
        <row r="21">
          <cell r="C21" t="str">
            <v>82151-52560</v>
          </cell>
          <cell r="D21" t="str">
            <v>A</v>
          </cell>
          <cell r="E21">
            <v>60</v>
          </cell>
          <cell r="F21">
            <v>10.9414</v>
          </cell>
          <cell r="G21">
            <v>60</v>
          </cell>
        </row>
        <row r="22">
          <cell r="C22" t="str">
            <v>82151-52570</v>
          </cell>
          <cell r="D22">
            <v>-1</v>
          </cell>
          <cell r="F22">
            <v>4.6134000000000004</v>
          </cell>
          <cell r="G22">
            <v>0</v>
          </cell>
        </row>
        <row r="23">
          <cell r="C23" t="str">
            <v>82151-52580</v>
          </cell>
          <cell r="D23" t="str">
            <v>A</v>
          </cell>
          <cell r="E23">
            <v>170</v>
          </cell>
          <cell r="F23">
            <v>11.283300000000001</v>
          </cell>
          <cell r="G23">
            <v>170</v>
          </cell>
        </row>
        <row r="24">
          <cell r="C24" t="str">
            <v>82151-52590</v>
          </cell>
          <cell r="D24" t="str">
            <v>A</v>
          </cell>
          <cell r="E24">
            <v>100</v>
          </cell>
          <cell r="F24">
            <v>12.4087</v>
          </cell>
          <cell r="G24">
            <v>100</v>
          </cell>
        </row>
        <row r="25">
          <cell r="C25" t="str">
            <v>82152-52420</v>
          </cell>
          <cell r="D25" t="str">
            <v>A-1</v>
          </cell>
          <cell r="E25">
            <v>40</v>
          </cell>
          <cell r="F25">
            <v>7.1055000000000001</v>
          </cell>
          <cell r="G25">
            <v>40</v>
          </cell>
        </row>
        <row r="26">
          <cell r="C26" t="str">
            <v>82152-52430</v>
          </cell>
          <cell r="D26" t="str">
            <v>A</v>
          </cell>
          <cell r="F26">
            <v>4.5621</v>
          </cell>
          <cell r="G26">
            <v>0</v>
          </cell>
        </row>
        <row r="27">
          <cell r="C27" t="str">
            <v>82152-52440</v>
          </cell>
          <cell r="D27" t="str">
            <v>A-1</v>
          </cell>
          <cell r="E27">
            <v>290</v>
          </cell>
          <cell r="F27">
            <v>8.67</v>
          </cell>
          <cell r="G27">
            <v>290</v>
          </cell>
        </row>
        <row r="28">
          <cell r="C28" t="str">
            <v>82153-52070</v>
          </cell>
          <cell r="D28" t="str">
            <v>A</v>
          </cell>
          <cell r="E28">
            <v>360</v>
          </cell>
          <cell r="F28">
            <v>5.5640000000000001</v>
          </cell>
          <cell r="G28">
            <v>360</v>
          </cell>
        </row>
        <row r="29">
          <cell r="C29" t="str">
            <v>82153-52080</v>
          </cell>
          <cell r="D29" t="str">
            <v>B</v>
          </cell>
          <cell r="E29">
            <v>240</v>
          </cell>
          <cell r="F29">
            <v>7.4689999999999994</v>
          </cell>
          <cell r="G29">
            <v>240</v>
          </cell>
        </row>
        <row r="30">
          <cell r="C30" t="str">
            <v>82186-52050</v>
          </cell>
          <cell r="D30" t="str">
            <v>A</v>
          </cell>
          <cell r="E30">
            <v>400</v>
          </cell>
          <cell r="F30">
            <v>1.8921000000000001</v>
          </cell>
          <cell r="G30">
            <v>400</v>
          </cell>
        </row>
        <row r="31">
          <cell r="C31" t="str">
            <v>82187-52050</v>
          </cell>
          <cell r="D31" t="str">
            <v>A</v>
          </cell>
          <cell r="E31">
            <v>400</v>
          </cell>
          <cell r="F31">
            <v>1.2572000000000001</v>
          </cell>
          <cell r="G31">
            <v>400</v>
          </cell>
        </row>
        <row r="32">
          <cell r="C32" t="str">
            <v>82186-52020</v>
          </cell>
          <cell r="D32" t="str">
            <v>C</v>
          </cell>
          <cell r="E32">
            <v>300</v>
          </cell>
          <cell r="F32">
            <v>2.1189</v>
          </cell>
          <cell r="G32">
            <v>300</v>
          </cell>
        </row>
        <row r="33">
          <cell r="C33" t="str">
            <v>82187-52010</v>
          </cell>
          <cell r="D33" t="str">
            <v>F</v>
          </cell>
          <cell r="E33">
            <v>300</v>
          </cell>
          <cell r="F33">
            <v>1.8972</v>
          </cell>
          <cell r="G33">
            <v>300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</sheetData>
      <sheetData sheetId="2" refreshError="1"/>
      <sheetData sheetId="3">
        <row r="4">
          <cell r="N4">
            <v>2</v>
          </cell>
          <cell r="O4">
            <v>3</v>
          </cell>
          <cell r="P4">
            <v>5</v>
          </cell>
          <cell r="Q4">
            <v>6</v>
          </cell>
          <cell r="R4">
            <v>7</v>
          </cell>
          <cell r="S4">
            <v>8</v>
          </cell>
          <cell r="T4">
            <v>9</v>
          </cell>
          <cell r="U4">
            <v>10</v>
          </cell>
          <cell r="V4">
            <v>11</v>
          </cell>
        </row>
        <row r="5">
          <cell r="S5" t="str">
            <v>１Ｆライン</v>
          </cell>
        </row>
        <row r="6">
          <cell r="M6" t="str">
            <v>製品出荷日</v>
          </cell>
          <cell r="N6">
            <v>37550</v>
          </cell>
          <cell r="P6" t="str">
            <v>ライン稼動時間（分）</v>
          </cell>
          <cell r="S6" t="str">
            <v>330 分</v>
          </cell>
          <cell r="T6" t="str">
            <v>２Ｆ 分</v>
          </cell>
        </row>
        <row r="7">
          <cell r="M7" t="str">
            <v>曜日</v>
          </cell>
          <cell r="N7">
            <v>37550</v>
          </cell>
          <cell r="O7" t="str">
            <v>曜日</v>
          </cell>
          <cell r="P7" t="str">
            <v>ラインタクト設定（秒）</v>
          </cell>
          <cell r="S7" t="str">
            <v>120 秒</v>
          </cell>
          <cell r="T7" t="e">
            <v>#REF!</v>
          </cell>
        </row>
        <row r="9">
          <cell r="M9" t="str">
            <v>品 番</v>
          </cell>
          <cell r="N9" t="str">
            <v>訂正</v>
          </cell>
          <cell r="O9" t="str">
            <v>出荷指示数</v>
          </cell>
          <cell r="P9" t="str">
            <v>生産</v>
          </cell>
          <cell r="Q9" t="str">
            <v>サイクル１</v>
          </cell>
          <cell r="S9" t="str">
            <v>サイクル２</v>
          </cell>
          <cell r="U9" t="str">
            <v>サイクル３</v>
          </cell>
        </row>
        <row r="10">
          <cell r="O10" t="str">
            <v>出荷実績数</v>
          </cell>
          <cell r="P10" t="str">
            <v>指示数</v>
          </cell>
          <cell r="Q10" t="str">
            <v>Ａ</v>
          </cell>
          <cell r="R10" t="str">
            <v>Ｂ</v>
          </cell>
          <cell r="S10" t="str">
            <v>Ａ</v>
          </cell>
          <cell r="T10" t="str">
            <v>Ｂ</v>
          </cell>
          <cell r="U10" t="str">
            <v>Ａ</v>
          </cell>
          <cell r="V10" t="str">
            <v>Ｂ</v>
          </cell>
        </row>
        <row r="11">
          <cell r="M11" t="str">
            <v>82151-52570</v>
          </cell>
          <cell r="N11">
            <v>-1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P12">
            <v>0</v>
          </cell>
        </row>
        <row r="13">
          <cell r="M13" t="str">
            <v>82151-52560</v>
          </cell>
          <cell r="N13" t="str">
            <v>A</v>
          </cell>
          <cell r="O13">
            <v>60</v>
          </cell>
          <cell r="P13">
            <v>60</v>
          </cell>
          <cell r="Q13">
            <v>30</v>
          </cell>
          <cell r="R13">
            <v>30</v>
          </cell>
          <cell r="S13">
            <v>0</v>
          </cell>
          <cell r="T13">
            <v>0</v>
          </cell>
        </row>
        <row r="14">
          <cell r="P14">
            <v>0</v>
          </cell>
        </row>
        <row r="15">
          <cell r="M15" t="str">
            <v>82151-52590</v>
          </cell>
          <cell r="N15" t="str">
            <v>A</v>
          </cell>
          <cell r="O15">
            <v>100</v>
          </cell>
          <cell r="P15">
            <v>100</v>
          </cell>
          <cell r="Q15">
            <v>50</v>
          </cell>
          <cell r="R15">
            <v>50</v>
          </cell>
          <cell r="S15">
            <v>0</v>
          </cell>
          <cell r="T15">
            <v>0</v>
          </cell>
        </row>
        <row r="16">
          <cell r="P16">
            <v>0</v>
          </cell>
        </row>
        <row r="17">
          <cell r="M17" t="str">
            <v>82151-52580</v>
          </cell>
          <cell r="N17" t="str">
            <v>A</v>
          </cell>
          <cell r="O17">
            <v>170</v>
          </cell>
          <cell r="P17">
            <v>170</v>
          </cell>
          <cell r="Q17">
            <v>0</v>
          </cell>
          <cell r="R17">
            <v>0</v>
          </cell>
          <cell r="S17">
            <v>85</v>
          </cell>
          <cell r="T17">
            <v>85</v>
          </cell>
        </row>
        <row r="18">
          <cell r="P18">
            <v>0</v>
          </cell>
        </row>
        <row r="19">
          <cell r="M19" t="str">
            <v>82152-52430</v>
          </cell>
          <cell r="N19" t="str">
            <v>A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P20">
            <v>0</v>
          </cell>
        </row>
        <row r="21">
          <cell r="M21" t="str">
            <v>82152-52420</v>
          </cell>
          <cell r="N21" t="str">
            <v>A-1</v>
          </cell>
          <cell r="O21">
            <v>40</v>
          </cell>
          <cell r="P21">
            <v>40</v>
          </cell>
          <cell r="Q21">
            <v>20</v>
          </cell>
          <cell r="R21">
            <v>20</v>
          </cell>
          <cell r="S21">
            <v>0</v>
          </cell>
          <cell r="T21">
            <v>0</v>
          </cell>
        </row>
        <row r="22">
          <cell r="P22">
            <v>0</v>
          </cell>
        </row>
        <row r="23">
          <cell r="M23" t="str">
            <v>82152-52440</v>
          </cell>
          <cell r="N23" t="str">
            <v>A-1</v>
          </cell>
          <cell r="O23">
            <v>290</v>
          </cell>
          <cell r="P23">
            <v>290</v>
          </cell>
          <cell r="Q23">
            <v>60</v>
          </cell>
          <cell r="R23">
            <v>60</v>
          </cell>
          <cell r="S23">
            <v>85</v>
          </cell>
          <cell r="T23">
            <v>85</v>
          </cell>
        </row>
        <row r="24">
          <cell r="P24">
            <v>0</v>
          </cell>
        </row>
        <row r="25">
          <cell r="M25" t="str">
            <v>82186-52020</v>
          </cell>
          <cell r="N25" t="str">
            <v>C</v>
          </cell>
          <cell r="O25">
            <v>300</v>
          </cell>
          <cell r="P25">
            <v>300</v>
          </cell>
          <cell r="Q25">
            <v>0</v>
          </cell>
          <cell r="R25">
            <v>300</v>
          </cell>
          <cell r="S25">
            <v>0</v>
          </cell>
          <cell r="T25">
            <v>0</v>
          </cell>
        </row>
        <row r="26">
          <cell r="P26">
            <v>0</v>
          </cell>
        </row>
        <row r="27">
          <cell r="M27" t="str">
            <v>82187-52010</v>
          </cell>
          <cell r="N27" t="str">
            <v>F</v>
          </cell>
          <cell r="O27">
            <v>300</v>
          </cell>
          <cell r="P27">
            <v>300</v>
          </cell>
          <cell r="Q27">
            <v>300</v>
          </cell>
          <cell r="R27">
            <v>0</v>
          </cell>
          <cell r="S27">
            <v>0</v>
          </cell>
          <cell r="T27">
            <v>0</v>
          </cell>
        </row>
        <row r="28">
          <cell r="P28">
            <v>0</v>
          </cell>
        </row>
        <row r="29">
          <cell r="M29" t="str">
            <v>82153-52080</v>
          </cell>
          <cell r="N29" t="str">
            <v>B</v>
          </cell>
          <cell r="O29">
            <v>240</v>
          </cell>
          <cell r="P29">
            <v>240</v>
          </cell>
          <cell r="Q29">
            <v>240</v>
          </cell>
          <cell r="R29">
            <v>0</v>
          </cell>
          <cell r="S29">
            <v>0</v>
          </cell>
          <cell r="T29">
            <v>0</v>
          </cell>
        </row>
        <row r="30">
          <cell r="P30">
            <v>0</v>
          </cell>
        </row>
        <row r="31">
          <cell r="M31" t="str">
            <v>82153-52070</v>
          </cell>
          <cell r="N31" t="str">
            <v>A</v>
          </cell>
          <cell r="O31">
            <v>360</v>
          </cell>
          <cell r="P31">
            <v>360</v>
          </cell>
          <cell r="Q31">
            <v>60</v>
          </cell>
          <cell r="R31">
            <v>0</v>
          </cell>
          <cell r="S31">
            <v>300</v>
          </cell>
          <cell r="T31">
            <v>0</v>
          </cell>
        </row>
        <row r="32">
          <cell r="P32">
            <v>0</v>
          </cell>
        </row>
        <row r="33">
          <cell r="M33" t="str">
            <v>82186-52050</v>
          </cell>
          <cell r="N33" t="str">
            <v>A</v>
          </cell>
          <cell r="O33">
            <v>400</v>
          </cell>
          <cell r="P33">
            <v>400</v>
          </cell>
          <cell r="Q33">
            <v>400</v>
          </cell>
          <cell r="R33">
            <v>0</v>
          </cell>
          <cell r="S33">
            <v>0</v>
          </cell>
          <cell r="T33">
            <v>0</v>
          </cell>
        </row>
        <row r="34">
          <cell r="P34">
            <v>0</v>
          </cell>
        </row>
        <row r="35">
          <cell r="M35" t="str">
            <v>82187-52050</v>
          </cell>
          <cell r="N35" t="str">
            <v>A</v>
          </cell>
          <cell r="O35">
            <v>400</v>
          </cell>
          <cell r="P35">
            <v>400</v>
          </cell>
          <cell r="Q35">
            <v>400</v>
          </cell>
          <cell r="R35">
            <v>0</v>
          </cell>
          <cell r="S35">
            <v>0</v>
          </cell>
          <cell r="T35">
            <v>0</v>
          </cell>
        </row>
        <row r="36">
          <cell r="P36">
            <v>0</v>
          </cell>
        </row>
        <row r="37">
          <cell r="N37" t="str">
            <v/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P38">
            <v>0</v>
          </cell>
        </row>
        <row r="39">
          <cell r="N39" t="str">
            <v/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P40">
            <v>0</v>
          </cell>
        </row>
        <row r="41">
          <cell r="N41" t="str">
            <v/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P42">
            <v>0</v>
          </cell>
        </row>
        <row r="43">
          <cell r="N43" t="str">
            <v/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P44">
            <v>0</v>
          </cell>
        </row>
        <row r="45">
          <cell r="N45" t="str">
            <v/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P46">
            <v>0</v>
          </cell>
        </row>
        <row r="47">
          <cell r="N47" t="str">
            <v/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P48">
            <v>0</v>
          </cell>
        </row>
        <row r="49">
          <cell r="N49" t="str">
            <v/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P50">
            <v>0</v>
          </cell>
        </row>
        <row r="51">
          <cell r="N51" t="str">
            <v/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P52">
            <v>0</v>
          </cell>
        </row>
        <row r="53">
          <cell r="N53" t="str">
            <v/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P54">
            <v>0</v>
          </cell>
        </row>
        <row r="55">
          <cell r="N55" t="str">
            <v/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P56">
            <v>0</v>
          </cell>
        </row>
        <row r="57">
          <cell r="N57" t="str">
            <v/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P58">
            <v>0</v>
          </cell>
        </row>
        <row r="59">
          <cell r="N59" t="str">
            <v/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P60">
            <v>0</v>
          </cell>
        </row>
        <row r="61">
          <cell r="N61" t="str">
            <v/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P62">
            <v>0</v>
          </cell>
        </row>
        <row r="63">
          <cell r="N63" t="str">
            <v/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P64">
            <v>0</v>
          </cell>
        </row>
        <row r="65">
          <cell r="N65" t="str">
            <v/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P66">
            <v>0</v>
          </cell>
        </row>
        <row r="67">
          <cell r="N67" t="str">
            <v/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P68">
            <v>0</v>
          </cell>
        </row>
        <row r="69">
          <cell r="N69" t="str">
            <v/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P7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電線早見表"/>
    </sheetNames>
    <sheetDataSet>
      <sheetData sheetId="0">
        <row r="8">
          <cell r="B8" t="str">
            <v>B/-</v>
          </cell>
          <cell r="E8" t="str">
            <v>エ-1-1</v>
          </cell>
          <cell r="G8" t="str">
            <v>ア-2-4</v>
          </cell>
        </row>
        <row r="9">
          <cell r="B9" t="str">
            <v>B/L</v>
          </cell>
          <cell r="D9" t="str">
            <v>ウ-4-4</v>
          </cell>
        </row>
        <row r="10">
          <cell r="B10" t="str">
            <v>B/R</v>
          </cell>
          <cell r="D10" t="str">
            <v>ウ-4-4</v>
          </cell>
          <cell r="E10" t="str">
            <v>エ-2-1</v>
          </cell>
        </row>
        <row r="11">
          <cell r="B11" t="str">
            <v>B/W</v>
          </cell>
          <cell r="D11" t="str">
            <v>ウ-3-4</v>
          </cell>
        </row>
        <row r="12">
          <cell r="B12" t="str">
            <v>B/Y</v>
          </cell>
          <cell r="D12" t="str">
            <v>ウ-3-4</v>
          </cell>
          <cell r="E12" t="str">
            <v>エ-3-1</v>
          </cell>
        </row>
        <row r="13">
          <cell r="B13" t="str">
            <v>G/-</v>
          </cell>
          <cell r="C13" t="str">
            <v>エ-1-5</v>
          </cell>
          <cell r="D13" t="str">
            <v>イ-1-2</v>
          </cell>
          <cell r="F13" t="str">
            <v>オ-4-2</v>
          </cell>
          <cell r="G13" t="str">
            <v>ア-1-2</v>
          </cell>
        </row>
        <row r="14">
          <cell r="B14" t="str">
            <v>G/B</v>
          </cell>
          <cell r="C14" t="str">
            <v>ア-4-5</v>
          </cell>
          <cell r="D14" t="str">
            <v>ウ-2-2</v>
          </cell>
          <cell r="F14" t="str">
            <v>オ-3-2</v>
          </cell>
          <cell r="G14" t="str">
            <v>ア-2-2</v>
          </cell>
        </row>
        <row r="15">
          <cell r="B15" t="str">
            <v>G/R</v>
          </cell>
          <cell r="D15" t="str">
            <v>ウ-3-2</v>
          </cell>
        </row>
        <row r="16">
          <cell r="B16" t="str">
            <v>G/O</v>
          </cell>
          <cell r="C16" t="str">
            <v>オ-3-5</v>
          </cell>
          <cell r="D16" t="str">
            <v>ウ-3-2</v>
          </cell>
        </row>
        <row r="17">
          <cell r="B17" t="str">
            <v>G/W</v>
          </cell>
          <cell r="D17" t="str">
            <v>イ-2-2</v>
          </cell>
          <cell r="E17" t="str">
            <v>エ-4-4</v>
          </cell>
          <cell r="G17" t="str">
            <v>ア-3-2</v>
          </cell>
        </row>
        <row r="18">
          <cell r="B18" t="str">
            <v>G/Y</v>
          </cell>
          <cell r="C18" t="str">
            <v>エ-2-5</v>
          </cell>
          <cell r="D18" t="str">
            <v>ウ-1-2</v>
          </cell>
          <cell r="E18" t="str">
            <v>エ-3-4</v>
          </cell>
          <cell r="G18" t="str">
            <v>ア-4-2</v>
          </cell>
        </row>
        <row r="19">
          <cell r="B19" t="str">
            <v>L/-</v>
          </cell>
          <cell r="C19" t="str">
            <v>ア-2-5</v>
          </cell>
          <cell r="D19" t="str">
            <v>イ-1-3</v>
          </cell>
          <cell r="E19" t="str">
            <v>エ-3-3</v>
          </cell>
          <cell r="F19" t="str">
            <v>オ-3-3</v>
          </cell>
          <cell r="G19" t="str">
            <v>ア-2-3</v>
          </cell>
        </row>
        <row r="20">
          <cell r="B20" t="str">
            <v>L/B</v>
          </cell>
          <cell r="D20" t="str">
            <v>ウ-1-3</v>
          </cell>
          <cell r="F20" t="str">
            <v>オ-1-3</v>
          </cell>
        </row>
        <row r="21">
          <cell r="B21" t="str">
            <v>L/O</v>
          </cell>
          <cell r="F21" t="str">
            <v>オ-2-3</v>
          </cell>
        </row>
        <row r="22">
          <cell r="B22" t="str">
            <v>L/R</v>
          </cell>
          <cell r="C22" t="str">
            <v>オ-4-5</v>
          </cell>
          <cell r="D22" t="str">
            <v>ウ-2-3</v>
          </cell>
        </row>
        <row r="23">
          <cell r="B23" t="str">
            <v>L/W</v>
          </cell>
          <cell r="D23" t="str">
            <v>イ-2-3</v>
          </cell>
          <cell r="E23" t="str">
            <v>エ-4-3</v>
          </cell>
          <cell r="F23" t="str">
            <v>オ-4-3</v>
          </cell>
          <cell r="G23" t="str">
            <v>ア-4-3</v>
          </cell>
        </row>
        <row r="24">
          <cell r="B24" t="str">
            <v>L/Y</v>
          </cell>
          <cell r="D24" t="str">
            <v>ウ-3-3</v>
          </cell>
          <cell r="E24" t="str">
            <v>エ-2-3</v>
          </cell>
          <cell r="F24" t="str">
            <v>オ-1-4</v>
          </cell>
          <cell r="G24" t="str">
            <v>ア-3-3</v>
          </cell>
        </row>
        <row r="25">
          <cell r="B25" t="str">
            <v>P/-</v>
          </cell>
          <cell r="D25" t="str">
            <v>ウ-4-3</v>
          </cell>
        </row>
        <row r="26">
          <cell r="B26" t="str">
            <v>P/B</v>
          </cell>
          <cell r="D26" t="str">
            <v>ウ-4-2</v>
          </cell>
        </row>
        <row r="27">
          <cell r="B27" t="str">
            <v>P/L</v>
          </cell>
        </row>
        <row r="28">
          <cell r="B28" t="str">
            <v>R/-</v>
          </cell>
          <cell r="C28" t="str">
            <v>エ-4-5</v>
          </cell>
          <cell r="D28" t="str">
            <v>イ-1-1</v>
          </cell>
          <cell r="G28" t="str">
            <v>ア-1-1</v>
          </cell>
        </row>
        <row r="29">
          <cell r="B29" t="str">
            <v>R/B</v>
          </cell>
          <cell r="D29" t="str">
            <v>ウ-1-1</v>
          </cell>
          <cell r="F29" t="str">
            <v>オ-3-1</v>
          </cell>
          <cell r="G29" t="str">
            <v>ア-2-1</v>
          </cell>
        </row>
        <row r="30">
          <cell r="B30" t="str">
            <v>R/L</v>
          </cell>
          <cell r="C30" t="str">
            <v>オ-1-5</v>
          </cell>
          <cell r="D30" t="str">
            <v>ウ-2-1</v>
          </cell>
          <cell r="F30" t="str">
            <v>オ-4-1</v>
          </cell>
          <cell r="G30" t="str">
            <v>ア-3-1</v>
          </cell>
        </row>
        <row r="31">
          <cell r="B31" t="str">
            <v>R/W</v>
          </cell>
          <cell r="D31" t="str">
            <v>イ-2-1</v>
          </cell>
          <cell r="E31" t="str">
            <v>エ-4-1</v>
          </cell>
          <cell r="F31" t="str">
            <v>オ-2-1</v>
          </cell>
          <cell r="G31" t="str">
            <v>ア-3-4</v>
          </cell>
        </row>
        <row r="32">
          <cell r="B32" t="str">
            <v>R/Y</v>
          </cell>
          <cell r="F32" t="str">
            <v>オ-1-1</v>
          </cell>
          <cell r="G32" t="str">
            <v>ア-4-1</v>
          </cell>
        </row>
        <row r="33">
          <cell r="B33" t="str">
            <v>W/-</v>
          </cell>
          <cell r="D33" t="str">
            <v>イ-1-4</v>
          </cell>
          <cell r="E33" t="str">
            <v>エ-3-2</v>
          </cell>
        </row>
        <row r="34">
          <cell r="B34" t="str">
            <v>W/B</v>
          </cell>
          <cell r="C34" t="str">
            <v>ア-2-5</v>
          </cell>
          <cell r="D34" t="str">
            <v>ウ-1-4</v>
          </cell>
          <cell r="E34" t="str">
            <v>エ-2-2</v>
          </cell>
          <cell r="G34" t="str">
            <v>ア-1-3</v>
          </cell>
        </row>
        <row r="35">
          <cell r="B35" t="str">
            <v>W/G</v>
          </cell>
        </row>
        <row r="36">
          <cell r="B36" t="str">
            <v>W/L</v>
          </cell>
          <cell r="D36" t="str">
            <v>ウ-2-4</v>
          </cell>
          <cell r="E36" t="str">
            <v>エ-4-2</v>
          </cell>
        </row>
        <row r="37">
          <cell r="B37" t="str">
            <v>W/R</v>
          </cell>
          <cell r="C37" t="str">
            <v>オ-4-5</v>
          </cell>
          <cell r="D37" t="str">
            <v>イ-2-4</v>
          </cell>
          <cell r="F37" t="str">
            <v>オ-4-4</v>
          </cell>
        </row>
        <row r="38">
          <cell r="B38" t="str">
            <v>Y/-</v>
          </cell>
          <cell r="F38" t="str">
            <v>オ-2-2</v>
          </cell>
          <cell r="G38" t="str">
            <v>ア-4-4</v>
          </cell>
        </row>
        <row r="39">
          <cell r="B39" t="str">
            <v>Y/R</v>
          </cell>
          <cell r="F39" t="str">
            <v>オ-1-2</v>
          </cell>
        </row>
        <row r="40">
          <cell r="B40" t="str">
            <v>BR/-</v>
          </cell>
          <cell r="C40" t="str">
            <v>ア-1-5</v>
          </cell>
          <cell r="D40" t="str">
            <v>イ-1-5</v>
          </cell>
          <cell r="E40" t="str">
            <v>エ-1-3</v>
          </cell>
        </row>
        <row r="41">
          <cell r="B41" t="str">
            <v>BR/W</v>
          </cell>
          <cell r="D41" t="str">
            <v>イ-2-5</v>
          </cell>
        </row>
        <row r="42">
          <cell r="B42" t="str">
            <v>BR/Y</v>
          </cell>
          <cell r="C42" t="str">
            <v>ア-3-5</v>
          </cell>
          <cell r="D42" t="str">
            <v>ウ-1-5</v>
          </cell>
        </row>
        <row r="43">
          <cell r="B43" t="str">
            <v>GR/-</v>
          </cell>
          <cell r="D43" t="str">
            <v>ウ-4-1</v>
          </cell>
        </row>
        <row r="44">
          <cell r="B44" t="str">
            <v>GR/R</v>
          </cell>
          <cell r="C44" t="str">
            <v>オ-2-5</v>
          </cell>
          <cell r="D44" t="str">
            <v>ウ-3-1</v>
          </cell>
        </row>
        <row r="45">
          <cell r="B45" t="str">
            <v>LG/-</v>
          </cell>
          <cell r="D45" t="str">
            <v>ウ-2-5</v>
          </cell>
          <cell r="E45" t="str">
            <v>エ-1-2</v>
          </cell>
          <cell r="F45" t="str">
            <v>オ-2-4</v>
          </cell>
        </row>
        <row r="46">
          <cell r="B46" t="str">
            <v>LG/B</v>
          </cell>
          <cell r="D46" t="str">
            <v>ウ-3-5</v>
          </cell>
        </row>
        <row r="47">
          <cell r="B47" t="str">
            <v>LG/R</v>
          </cell>
          <cell r="C47" t="str">
            <v>エ-4-5</v>
          </cell>
          <cell r="D47" t="str">
            <v>ウ-4-5</v>
          </cell>
        </row>
        <row r="48">
          <cell r="B48" t="str">
            <v>VI/-</v>
          </cell>
          <cell r="F48" t="str">
            <v>オ-3-4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BC77"/>
  <sheetViews>
    <sheetView showGridLines="0" view="pageBreakPreview" topLeftCell="A13" zoomScale="60" zoomScaleNormal="75" workbookViewId="0">
      <selection activeCell="D26" sqref="D26"/>
    </sheetView>
  </sheetViews>
  <sheetFormatPr defaultColWidth="9.140625" defaultRowHeight="12.75"/>
  <cols>
    <col min="1" max="2" width="9.140625" style="2"/>
    <col min="3" max="3" width="27.42578125" style="2" customWidth="1"/>
    <col min="4" max="4" width="78.42578125" style="2" customWidth="1"/>
    <col min="5" max="5" width="11.28515625" style="2" customWidth="1"/>
    <col min="6" max="6" width="13" style="2" customWidth="1"/>
    <col min="7" max="7" width="10.28515625" style="55" customWidth="1"/>
    <col min="8" max="16" width="7.5703125" style="55" customWidth="1"/>
    <col min="17" max="17" width="8.42578125" style="55" customWidth="1"/>
    <col min="18" max="27" width="7.28515625" style="55" customWidth="1"/>
    <col min="28" max="28" width="9.28515625" style="55" customWidth="1"/>
    <col min="29" max="38" width="7.5703125" style="55" customWidth="1"/>
    <col min="39" max="39" width="8" style="55" customWidth="1"/>
    <col min="40" max="40" width="19.42578125" style="55" bestFit="1" customWidth="1"/>
    <col min="41" max="41" width="16.7109375" style="55" customWidth="1"/>
    <col min="42" max="52" width="10.140625" style="55" customWidth="1"/>
    <col min="53" max="53" width="23.28515625" style="55" customWidth="1"/>
    <col min="54" max="54" width="25.85546875" style="55" customWidth="1"/>
    <col min="55" max="55" width="4.5703125" style="2" customWidth="1"/>
    <col min="56" max="16384" width="9.140625" style="2"/>
  </cols>
  <sheetData>
    <row r="1" spans="2:55" ht="29.25" customHeight="1">
      <c r="B1" s="292" t="s">
        <v>2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4"/>
      <c r="BA1" s="301" t="s">
        <v>3</v>
      </c>
      <c r="BB1" s="302"/>
      <c r="BC1" s="1"/>
    </row>
    <row r="2" spans="2:55" ht="35.450000000000003" customHeight="1">
      <c r="B2" s="295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7"/>
      <c r="BA2" s="303" t="s">
        <v>4</v>
      </c>
      <c r="BB2" s="304"/>
      <c r="BC2" s="1"/>
    </row>
    <row r="3" spans="2:55" ht="36.75" customHeight="1" thickBot="1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9"/>
      <c r="AT3" s="299"/>
      <c r="AU3" s="299"/>
      <c r="AV3" s="299"/>
      <c r="AW3" s="299"/>
      <c r="AX3" s="299"/>
      <c r="AY3" s="299"/>
      <c r="AZ3" s="300"/>
      <c r="BA3" s="305" t="s">
        <v>5</v>
      </c>
      <c r="BB3" s="306"/>
      <c r="BC3" s="1"/>
    </row>
    <row r="4" spans="2:55" ht="17.45" customHeight="1">
      <c r="B4" s="3"/>
      <c r="C4" s="4"/>
      <c r="D4" s="5"/>
      <c r="E4" s="5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6"/>
      <c r="BB4" s="7"/>
      <c r="BC4" s="1"/>
    </row>
    <row r="5" spans="2:55" s="14" customFormat="1" ht="20.25">
      <c r="B5" s="8" t="s">
        <v>6</v>
      </c>
      <c r="C5" s="9"/>
      <c r="D5" s="9" t="s">
        <v>159</v>
      </c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1" t="s">
        <v>7</v>
      </c>
      <c r="AK5" s="10"/>
      <c r="AL5" s="10"/>
      <c r="AM5" s="10"/>
      <c r="AN5" s="152">
        <v>46042</v>
      </c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9"/>
      <c r="BA5" s="12"/>
      <c r="BB5" s="13"/>
      <c r="BC5" s="8"/>
    </row>
    <row r="6" spans="2:55" s="14" customFormat="1" ht="20.25">
      <c r="B6" s="8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9"/>
      <c r="BA6" s="12"/>
      <c r="BB6" s="13"/>
      <c r="BC6" s="8"/>
    </row>
    <row r="7" spans="2:55" s="14" customFormat="1" ht="20.25">
      <c r="B7" s="8" t="s">
        <v>8</v>
      </c>
      <c r="C7" s="9"/>
      <c r="D7" s="9" t="s">
        <v>160</v>
      </c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1" t="s">
        <v>9</v>
      </c>
      <c r="AK7" s="10"/>
      <c r="AL7" s="10"/>
      <c r="AM7" s="153">
        <v>0.9</v>
      </c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9"/>
      <c r="BA7" s="12"/>
      <c r="BB7" s="13"/>
      <c r="BC7" s="8"/>
    </row>
    <row r="8" spans="2:55" s="14" customFormat="1" ht="20.25">
      <c r="B8" s="8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1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9"/>
      <c r="BA8" s="12"/>
      <c r="BB8" s="13"/>
      <c r="BC8" s="8"/>
    </row>
    <row r="9" spans="2:55" s="14" customFormat="1" ht="20.25" customHeight="1">
      <c r="B9" s="8" t="s">
        <v>10</v>
      </c>
      <c r="C9" s="9"/>
      <c r="D9" s="9" t="s">
        <v>161</v>
      </c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5" t="s">
        <v>11</v>
      </c>
      <c r="AK9" s="10"/>
      <c r="AL9" s="10"/>
      <c r="AM9" s="10"/>
      <c r="AN9" s="151" t="s">
        <v>153</v>
      </c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9"/>
      <c r="BA9" s="12"/>
      <c r="BB9" s="13"/>
      <c r="BC9" s="8"/>
    </row>
    <row r="10" spans="2:55" s="14" customFormat="1" ht="20.25">
      <c r="B10" s="8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9"/>
      <c r="BA10" s="12"/>
      <c r="BB10" s="13"/>
      <c r="BC10" s="8"/>
    </row>
    <row r="11" spans="2:55" s="14" customFormat="1" ht="20.25">
      <c r="B11" s="8" t="s">
        <v>12</v>
      </c>
      <c r="C11" s="9"/>
      <c r="D11" s="307" t="s">
        <v>162</v>
      </c>
      <c r="E11" s="307"/>
      <c r="F11" s="307"/>
      <c r="G11" s="307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 t="s">
        <v>13</v>
      </c>
      <c r="AK11" s="11"/>
      <c r="AL11" s="11"/>
      <c r="AM11" s="11"/>
      <c r="AN11" s="151"/>
      <c r="AO11" s="151" t="s">
        <v>154</v>
      </c>
      <c r="AP11" s="151"/>
      <c r="AQ11" s="10"/>
      <c r="AR11" s="10"/>
      <c r="AS11" s="10"/>
      <c r="AT11" s="10"/>
      <c r="AU11" s="10"/>
      <c r="AV11" s="10"/>
      <c r="AW11" s="10"/>
      <c r="AX11" s="10"/>
      <c r="AY11" s="10"/>
      <c r="AZ11" s="9"/>
      <c r="BA11" s="12"/>
      <c r="BB11" s="13"/>
      <c r="BC11" s="8"/>
    </row>
    <row r="12" spans="2:55" s="21" customFormat="1" ht="13.7" customHeight="1" thickBot="1">
      <c r="B12" s="16"/>
      <c r="C12" s="17"/>
      <c r="D12" s="17"/>
      <c r="E12" s="17"/>
      <c r="F12" s="17"/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2"/>
      <c r="BB12" s="13"/>
      <c r="BC12" s="20"/>
    </row>
    <row r="13" spans="2:55" s="23" customFormat="1" ht="25.5" customHeight="1" thickBot="1">
      <c r="B13" s="308" t="s">
        <v>1</v>
      </c>
      <c r="C13" s="308" t="s">
        <v>14</v>
      </c>
      <c r="D13" s="311" t="s">
        <v>15</v>
      </c>
      <c r="E13" s="314" t="s">
        <v>16</v>
      </c>
      <c r="F13" s="272"/>
      <c r="G13" s="319" t="s">
        <v>17</v>
      </c>
      <c r="H13" s="320"/>
      <c r="I13" s="320"/>
      <c r="J13" s="320"/>
      <c r="K13" s="320"/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20"/>
      <c r="Z13" s="320"/>
      <c r="AA13" s="320"/>
      <c r="AB13" s="320"/>
      <c r="AC13" s="320"/>
      <c r="AD13" s="320"/>
      <c r="AE13" s="320"/>
      <c r="AF13" s="320"/>
      <c r="AG13" s="320"/>
      <c r="AH13" s="320"/>
      <c r="AI13" s="320"/>
      <c r="AJ13" s="320"/>
      <c r="AK13" s="320"/>
      <c r="AL13" s="320"/>
      <c r="AM13" s="320"/>
      <c r="AN13" s="320"/>
      <c r="AO13" s="320"/>
      <c r="AP13" s="320"/>
      <c r="AQ13" s="320"/>
      <c r="AR13" s="320"/>
      <c r="AS13" s="320"/>
      <c r="AT13" s="320"/>
      <c r="AU13" s="320"/>
      <c r="AV13" s="320"/>
      <c r="AW13" s="320"/>
      <c r="AX13" s="320"/>
      <c r="AY13" s="320"/>
      <c r="AZ13" s="320"/>
      <c r="BA13" s="320"/>
      <c r="BB13" s="321"/>
      <c r="BC13" s="22"/>
    </row>
    <row r="14" spans="2:55" s="23" customFormat="1" ht="34.5" customHeight="1" thickBot="1">
      <c r="B14" s="309"/>
      <c r="C14" s="309"/>
      <c r="D14" s="312"/>
      <c r="E14" s="315"/>
      <c r="F14" s="316"/>
      <c r="G14" s="288" t="s">
        <v>18</v>
      </c>
      <c r="H14" s="289"/>
      <c r="I14" s="289"/>
      <c r="J14" s="289"/>
      <c r="K14" s="289"/>
      <c r="L14" s="289"/>
      <c r="M14" s="289"/>
      <c r="N14" s="289"/>
      <c r="O14" s="289"/>
      <c r="P14" s="289"/>
      <c r="Q14" s="276"/>
      <c r="R14" s="288" t="s">
        <v>19</v>
      </c>
      <c r="S14" s="289"/>
      <c r="T14" s="289"/>
      <c r="U14" s="289"/>
      <c r="V14" s="289"/>
      <c r="W14" s="289"/>
      <c r="X14" s="289"/>
      <c r="Y14" s="289"/>
      <c r="Z14" s="289"/>
      <c r="AA14" s="289"/>
      <c r="AB14" s="276"/>
      <c r="AC14" s="288" t="s">
        <v>20</v>
      </c>
      <c r="AD14" s="289"/>
      <c r="AE14" s="289"/>
      <c r="AF14" s="289"/>
      <c r="AG14" s="289"/>
      <c r="AH14" s="289"/>
      <c r="AI14" s="289"/>
      <c r="AJ14" s="289"/>
      <c r="AK14" s="289"/>
      <c r="AL14" s="289"/>
      <c r="AM14" s="276"/>
      <c r="AN14" s="290" t="s">
        <v>21</v>
      </c>
      <c r="AO14" s="286" t="s">
        <v>22</v>
      </c>
      <c r="AP14" s="286" t="s">
        <v>23</v>
      </c>
      <c r="AQ14" s="286" t="s">
        <v>24</v>
      </c>
      <c r="AR14" s="286" t="s">
        <v>25</v>
      </c>
      <c r="AS14" s="286" t="s">
        <v>26</v>
      </c>
      <c r="AT14" s="286" t="s">
        <v>27</v>
      </c>
      <c r="AU14" s="286" t="s">
        <v>28</v>
      </c>
      <c r="AV14" s="286" t="s">
        <v>29</v>
      </c>
      <c r="AW14" s="286" t="s">
        <v>30</v>
      </c>
      <c r="AX14" s="286" t="s">
        <v>31</v>
      </c>
      <c r="AY14" s="286" t="s">
        <v>32</v>
      </c>
      <c r="AZ14" s="286" t="s">
        <v>33</v>
      </c>
      <c r="BA14" s="322" t="s">
        <v>34</v>
      </c>
      <c r="BB14" s="323"/>
      <c r="BC14" s="22"/>
    </row>
    <row r="15" spans="2:55" s="26" customFormat="1" ht="40.700000000000003" customHeight="1" thickBot="1">
      <c r="B15" s="310"/>
      <c r="C15" s="310"/>
      <c r="D15" s="313"/>
      <c r="E15" s="317"/>
      <c r="F15" s="318"/>
      <c r="G15" s="156">
        <v>1</v>
      </c>
      <c r="H15" s="24">
        <v>2</v>
      </c>
      <c r="I15" s="24">
        <v>3</v>
      </c>
      <c r="J15" s="24">
        <v>4</v>
      </c>
      <c r="K15" s="24">
        <v>5</v>
      </c>
      <c r="L15" s="24">
        <v>6</v>
      </c>
      <c r="M15" s="24">
        <v>7</v>
      </c>
      <c r="N15" s="24">
        <v>8</v>
      </c>
      <c r="O15" s="24">
        <v>9</v>
      </c>
      <c r="P15" s="24">
        <v>10</v>
      </c>
      <c r="Q15" s="155" t="s">
        <v>35</v>
      </c>
      <c r="R15" s="156">
        <v>1</v>
      </c>
      <c r="S15" s="24">
        <v>2</v>
      </c>
      <c r="T15" s="24">
        <v>3</v>
      </c>
      <c r="U15" s="24">
        <v>4</v>
      </c>
      <c r="V15" s="24">
        <v>5</v>
      </c>
      <c r="W15" s="24">
        <v>6</v>
      </c>
      <c r="X15" s="24">
        <v>7</v>
      </c>
      <c r="Y15" s="24">
        <v>8</v>
      </c>
      <c r="Z15" s="24">
        <v>9</v>
      </c>
      <c r="AA15" s="24">
        <v>10</v>
      </c>
      <c r="AB15" s="155" t="s">
        <v>35</v>
      </c>
      <c r="AC15" s="156">
        <v>1</v>
      </c>
      <c r="AD15" s="24">
        <v>2</v>
      </c>
      <c r="AE15" s="24">
        <v>3</v>
      </c>
      <c r="AF15" s="24">
        <v>4</v>
      </c>
      <c r="AG15" s="24">
        <v>5</v>
      </c>
      <c r="AH15" s="24">
        <v>6</v>
      </c>
      <c r="AI15" s="24">
        <v>7</v>
      </c>
      <c r="AJ15" s="24">
        <v>8</v>
      </c>
      <c r="AK15" s="24">
        <v>9</v>
      </c>
      <c r="AL15" s="24">
        <v>10</v>
      </c>
      <c r="AM15" s="155" t="s">
        <v>35</v>
      </c>
      <c r="AN15" s="291"/>
      <c r="AO15" s="287"/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287"/>
      <c r="BA15" s="324"/>
      <c r="BB15" s="325"/>
      <c r="BC15" s="25"/>
    </row>
    <row r="16" spans="2:55" s="21" customFormat="1" ht="60.75" customHeight="1" thickBot="1">
      <c r="B16" s="228">
        <v>1</v>
      </c>
      <c r="C16" s="279" t="s">
        <v>36</v>
      </c>
      <c r="D16" s="150" t="s">
        <v>37</v>
      </c>
      <c r="E16" s="271">
        <v>2</v>
      </c>
      <c r="F16" s="272"/>
      <c r="G16" s="396">
        <v>1</v>
      </c>
      <c r="H16" s="397">
        <v>1</v>
      </c>
      <c r="I16" s="397">
        <v>1</v>
      </c>
      <c r="J16" s="397">
        <v>1</v>
      </c>
      <c r="K16" s="397">
        <v>1</v>
      </c>
      <c r="L16" s="397">
        <v>1</v>
      </c>
      <c r="M16" s="397">
        <v>1</v>
      </c>
      <c r="N16" s="397">
        <v>1</v>
      </c>
      <c r="O16" s="397">
        <v>1</v>
      </c>
      <c r="P16" s="398">
        <v>1</v>
      </c>
      <c r="Q16" s="399">
        <f>AVERAGE(G16:P16)</f>
        <v>1</v>
      </c>
      <c r="R16" s="396">
        <v>1</v>
      </c>
      <c r="S16" s="397">
        <v>1</v>
      </c>
      <c r="T16" s="397">
        <v>1</v>
      </c>
      <c r="U16" s="397">
        <v>1</v>
      </c>
      <c r="V16" s="397">
        <v>1</v>
      </c>
      <c r="W16" s="397">
        <v>1</v>
      </c>
      <c r="X16" s="397">
        <v>1</v>
      </c>
      <c r="Y16" s="397">
        <v>1</v>
      </c>
      <c r="Z16" s="397">
        <v>1</v>
      </c>
      <c r="AA16" s="398">
        <v>1</v>
      </c>
      <c r="AB16" s="399">
        <f>AVERAGE(R16:AA16)</f>
        <v>1</v>
      </c>
      <c r="AC16" s="396">
        <v>2</v>
      </c>
      <c r="AD16" s="397">
        <v>2</v>
      </c>
      <c r="AE16" s="397">
        <v>2</v>
      </c>
      <c r="AF16" s="397">
        <v>2</v>
      </c>
      <c r="AG16" s="397">
        <v>2</v>
      </c>
      <c r="AH16" s="397">
        <v>2</v>
      </c>
      <c r="AI16" s="397">
        <v>2</v>
      </c>
      <c r="AJ16" s="397">
        <v>2</v>
      </c>
      <c r="AK16" s="397">
        <v>2</v>
      </c>
      <c r="AL16" s="398">
        <v>2</v>
      </c>
      <c r="AM16" s="399">
        <f>AVERAGE(AC16:AL16)</f>
        <v>2</v>
      </c>
      <c r="AN16" s="410">
        <v>2</v>
      </c>
      <c r="AO16" s="411">
        <v>2</v>
      </c>
      <c r="AP16" s="411">
        <v>2</v>
      </c>
      <c r="AQ16" s="411">
        <v>2</v>
      </c>
      <c r="AR16" s="411">
        <v>2</v>
      </c>
      <c r="AS16" s="411">
        <v>2</v>
      </c>
      <c r="AT16" s="411">
        <v>2</v>
      </c>
      <c r="AU16" s="411">
        <v>2</v>
      </c>
      <c r="AV16" s="411">
        <v>2</v>
      </c>
      <c r="AW16" s="411">
        <v>2</v>
      </c>
      <c r="AX16" s="411">
        <v>2</v>
      </c>
      <c r="AY16" s="412">
        <v>2</v>
      </c>
      <c r="AZ16" s="413">
        <v>2</v>
      </c>
      <c r="BA16" s="282"/>
      <c r="BB16" s="283"/>
      <c r="BC16" s="20"/>
    </row>
    <row r="17" spans="2:55" s="21" customFormat="1" ht="41.25" customHeight="1" thickBot="1">
      <c r="B17" s="229"/>
      <c r="C17" s="280"/>
      <c r="D17" s="190" t="s">
        <v>38</v>
      </c>
      <c r="E17" s="271" t="s">
        <v>39</v>
      </c>
      <c r="F17" s="272"/>
      <c r="G17" s="396">
        <v>110</v>
      </c>
      <c r="H17" s="396">
        <v>110</v>
      </c>
      <c r="I17" s="396">
        <v>110</v>
      </c>
      <c r="J17" s="396">
        <v>110</v>
      </c>
      <c r="K17" s="396">
        <v>110</v>
      </c>
      <c r="L17" s="396">
        <v>110</v>
      </c>
      <c r="M17" s="396">
        <v>110</v>
      </c>
      <c r="N17" s="396">
        <v>110</v>
      </c>
      <c r="O17" s="396">
        <v>110</v>
      </c>
      <c r="P17" s="396">
        <v>110</v>
      </c>
      <c r="Q17" s="408">
        <f>AVERAGE(G17:P17)</f>
        <v>110</v>
      </c>
      <c r="R17" s="400">
        <v>110</v>
      </c>
      <c r="S17" s="400">
        <v>110</v>
      </c>
      <c r="T17" s="400">
        <v>110</v>
      </c>
      <c r="U17" s="400">
        <v>110</v>
      </c>
      <c r="V17" s="400">
        <v>110</v>
      </c>
      <c r="W17" s="400">
        <v>110</v>
      </c>
      <c r="X17" s="400">
        <v>110</v>
      </c>
      <c r="Y17" s="400">
        <v>110</v>
      </c>
      <c r="Z17" s="400">
        <v>110</v>
      </c>
      <c r="AA17" s="400">
        <v>110</v>
      </c>
      <c r="AB17" s="408">
        <f>AVERAGE(R17:AA17)</f>
        <v>110</v>
      </c>
      <c r="AC17" s="400">
        <v>110</v>
      </c>
      <c r="AD17" s="400">
        <v>110</v>
      </c>
      <c r="AE17" s="400">
        <v>110</v>
      </c>
      <c r="AF17" s="400">
        <v>110</v>
      </c>
      <c r="AG17" s="400">
        <v>110</v>
      </c>
      <c r="AH17" s="400">
        <v>110</v>
      </c>
      <c r="AI17" s="400">
        <v>110</v>
      </c>
      <c r="AJ17" s="400">
        <v>110</v>
      </c>
      <c r="AK17" s="400">
        <v>110</v>
      </c>
      <c r="AL17" s="400">
        <v>110</v>
      </c>
      <c r="AM17" s="408">
        <f>AVERAGE(AC17:AL17)</f>
        <v>110</v>
      </c>
      <c r="AN17" s="400">
        <v>110</v>
      </c>
      <c r="AO17" s="400">
        <v>110</v>
      </c>
      <c r="AP17" s="400">
        <v>110</v>
      </c>
      <c r="AQ17" s="400">
        <v>110</v>
      </c>
      <c r="AR17" s="400">
        <v>110</v>
      </c>
      <c r="AS17" s="400">
        <v>110</v>
      </c>
      <c r="AT17" s="400">
        <v>110</v>
      </c>
      <c r="AU17" s="400">
        <v>110</v>
      </c>
      <c r="AV17" s="400">
        <v>110</v>
      </c>
      <c r="AW17" s="400">
        <v>110</v>
      </c>
      <c r="AX17" s="400">
        <v>110</v>
      </c>
      <c r="AY17" s="400">
        <v>110</v>
      </c>
      <c r="AZ17" s="400">
        <v>110</v>
      </c>
      <c r="BA17" s="269"/>
      <c r="BB17" s="270"/>
      <c r="BC17" s="20"/>
    </row>
    <row r="18" spans="2:55" s="21" customFormat="1" ht="31.7" customHeight="1">
      <c r="B18" s="229"/>
      <c r="C18" s="280"/>
      <c r="D18" s="284"/>
      <c r="E18" s="246" t="s">
        <v>40</v>
      </c>
      <c r="F18" s="240"/>
      <c r="G18" s="396">
        <v>190</v>
      </c>
      <c r="H18" s="396">
        <v>192</v>
      </c>
      <c r="I18" s="396">
        <v>195</v>
      </c>
      <c r="J18" s="396">
        <v>191</v>
      </c>
      <c r="K18" s="396">
        <v>180</v>
      </c>
      <c r="L18" s="396">
        <v>181</v>
      </c>
      <c r="M18" s="396">
        <v>180</v>
      </c>
      <c r="N18" s="396">
        <v>170</v>
      </c>
      <c r="O18" s="396">
        <v>171</v>
      </c>
      <c r="P18" s="396">
        <v>170</v>
      </c>
      <c r="Q18" s="408">
        <f>AVERAGE(G18:P18)</f>
        <v>182</v>
      </c>
      <c r="R18" s="401">
        <v>140</v>
      </c>
      <c r="S18" s="401">
        <v>141</v>
      </c>
      <c r="T18" s="401">
        <v>140</v>
      </c>
      <c r="U18" s="401">
        <v>130</v>
      </c>
      <c r="V18" s="401">
        <v>130</v>
      </c>
      <c r="W18" s="401">
        <v>140</v>
      </c>
      <c r="X18" s="401">
        <v>130</v>
      </c>
      <c r="Y18" s="401">
        <v>140</v>
      </c>
      <c r="Z18" s="401">
        <v>130</v>
      </c>
      <c r="AA18" s="401">
        <v>140</v>
      </c>
      <c r="AB18" s="408">
        <f>AVERAGE(R18:AA18)</f>
        <v>136.1</v>
      </c>
      <c r="AC18" s="400">
        <v>130</v>
      </c>
      <c r="AD18" s="400">
        <v>131</v>
      </c>
      <c r="AE18" s="400">
        <v>131</v>
      </c>
      <c r="AF18" s="400">
        <v>130</v>
      </c>
      <c r="AG18" s="400">
        <v>128</v>
      </c>
      <c r="AH18" s="400">
        <v>127</v>
      </c>
      <c r="AI18" s="400">
        <v>126</v>
      </c>
      <c r="AJ18" s="400">
        <v>124</v>
      </c>
      <c r="AK18" s="400">
        <v>125</v>
      </c>
      <c r="AL18" s="400">
        <v>124</v>
      </c>
      <c r="AM18" s="408">
        <f>AVERAGE(AC18:AL18)</f>
        <v>127.6</v>
      </c>
      <c r="AN18" s="400">
        <v>120</v>
      </c>
      <c r="AO18" s="400">
        <v>121</v>
      </c>
      <c r="AP18" s="400">
        <v>122</v>
      </c>
      <c r="AQ18" s="400">
        <v>120</v>
      </c>
      <c r="AR18" s="400">
        <v>123</v>
      </c>
      <c r="AS18" s="400">
        <v>122</v>
      </c>
      <c r="AT18" s="400">
        <v>120</v>
      </c>
      <c r="AU18" s="400">
        <v>119</v>
      </c>
      <c r="AV18" s="400">
        <v>118</v>
      </c>
      <c r="AW18" s="400">
        <v>117</v>
      </c>
      <c r="AX18" s="400">
        <v>119</v>
      </c>
      <c r="AY18" s="400">
        <v>120</v>
      </c>
      <c r="AZ18" s="400">
        <v>115</v>
      </c>
      <c r="BA18" s="269"/>
      <c r="BB18" s="270"/>
      <c r="BC18" s="20"/>
    </row>
    <row r="19" spans="2:55" ht="31.7" customHeight="1">
      <c r="B19" s="229"/>
      <c r="C19" s="280"/>
      <c r="D19" s="284"/>
      <c r="E19" s="250" t="s">
        <v>41</v>
      </c>
      <c r="F19" s="251"/>
      <c r="G19" s="479">
        <f>G17/G18</f>
        <v>0.57894736842105265</v>
      </c>
      <c r="H19" s="479">
        <f t="shared" ref="H19:P19" si="0">H17/H18</f>
        <v>0.57291666666666663</v>
      </c>
      <c r="I19" s="479">
        <f t="shared" si="0"/>
        <v>0.5641025641025641</v>
      </c>
      <c r="J19" s="479">
        <f t="shared" si="0"/>
        <v>0.5759162303664922</v>
      </c>
      <c r="K19" s="479">
        <f t="shared" si="0"/>
        <v>0.61111111111111116</v>
      </c>
      <c r="L19" s="479">
        <f t="shared" si="0"/>
        <v>0.60773480662983426</v>
      </c>
      <c r="M19" s="479">
        <f t="shared" si="0"/>
        <v>0.61111111111111116</v>
      </c>
      <c r="N19" s="479">
        <f t="shared" si="0"/>
        <v>0.6470588235294118</v>
      </c>
      <c r="O19" s="479">
        <f t="shared" si="0"/>
        <v>0.64327485380116955</v>
      </c>
      <c r="P19" s="479">
        <f t="shared" si="0"/>
        <v>0.6470588235294118</v>
      </c>
      <c r="Q19" s="480">
        <f>AVERAGE(G19:P19)</f>
        <v>0.60592323592688246</v>
      </c>
      <c r="R19" s="481">
        <f>R17/R18</f>
        <v>0.7857142857142857</v>
      </c>
      <c r="S19" s="481">
        <f t="shared" ref="S19:AA19" si="1">S17/S18</f>
        <v>0.78014184397163122</v>
      </c>
      <c r="T19" s="481">
        <f t="shared" si="1"/>
        <v>0.7857142857142857</v>
      </c>
      <c r="U19" s="481">
        <f t="shared" si="1"/>
        <v>0.84615384615384615</v>
      </c>
      <c r="V19" s="481">
        <f t="shared" si="1"/>
        <v>0.84615384615384615</v>
      </c>
      <c r="W19" s="481">
        <f t="shared" si="1"/>
        <v>0.7857142857142857</v>
      </c>
      <c r="X19" s="481">
        <f t="shared" si="1"/>
        <v>0.84615384615384615</v>
      </c>
      <c r="Y19" s="481">
        <f t="shared" si="1"/>
        <v>0.7857142857142857</v>
      </c>
      <c r="Z19" s="481">
        <f t="shared" si="1"/>
        <v>0.84615384615384615</v>
      </c>
      <c r="AA19" s="481">
        <f t="shared" si="1"/>
        <v>0.7857142857142857</v>
      </c>
      <c r="AB19" s="480">
        <f>AVERAGE(R19:AA19)</f>
        <v>0.80933286571584429</v>
      </c>
      <c r="AC19" s="481">
        <f t="shared" ref="AC19" si="2">AC17/AC18</f>
        <v>0.84615384615384615</v>
      </c>
      <c r="AD19" s="481">
        <f t="shared" ref="AD19" si="3">AD17/AD18</f>
        <v>0.83969465648854957</v>
      </c>
      <c r="AE19" s="481">
        <f t="shared" ref="AE19" si="4">AE17/AE18</f>
        <v>0.83969465648854957</v>
      </c>
      <c r="AF19" s="481">
        <f t="shared" ref="AF19" si="5">AF17/AF18</f>
        <v>0.84615384615384615</v>
      </c>
      <c r="AG19" s="481">
        <f t="shared" ref="AG19" si="6">AG17/AG18</f>
        <v>0.859375</v>
      </c>
      <c r="AH19" s="481">
        <f t="shared" ref="AH19" si="7">AH17/AH18</f>
        <v>0.86614173228346458</v>
      </c>
      <c r="AI19" s="481">
        <f t="shared" ref="AI19" si="8">AI17/AI18</f>
        <v>0.87301587301587302</v>
      </c>
      <c r="AJ19" s="481">
        <f t="shared" ref="AJ19" si="9">AJ17/AJ18</f>
        <v>0.88709677419354838</v>
      </c>
      <c r="AK19" s="481">
        <f t="shared" ref="AK19:AL19" si="10">AK17/AK18</f>
        <v>0.88</v>
      </c>
      <c r="AL19" s="481">
        <f t="shared" si="10"/>
        <v>0.88709677419354838</v>
      </c>
      <c r="AM19" s="480">
        <f>AVERAGE(AC19:AL19)</f>
        <v>0.86244231589712261</v>
      </c>
      <c r="AN19" s="481">
        <f>AN17/AN18</f>
        <v>0.91666666666666663</v>
      </c>
      <c r="AO19" s="481">
        <f>AO17/AO18</f>
        <v>0.90909090909090906</v>
      </c>
      <c r="AP19" s="481">
        <f t="shared" ref="AP19" si="11">AP17/AP18</f>
        <v>0.90163934426229508</v>
      </c>
      <c r="AQ19" s="481">
        <f t="shared" ref="AQ19" si="12">AQ17/AQ18</f>
        <v>0.91666666666666663</v>
      </c>
      <c r="AR19" s="481">
        <f t="shared" ref="AR19" si="13">AR17/AR18</f>
        <v>0.89430894308943087</v>
      </c>
      <c r="AS19" s="481">
        <f t="shared" ref="AS19" si="14">AS17/AS18</f>
        <v>0.90163934426229508</v>
      </c>
      <c r="AT19" s="481">
        <f t="shared" ref="AT19" si="15">AT17/AT18</f>
        <v>0.91666666666666663</v>
      </c>
      <c r="AU19" s="481">
        <f t="shared" ref="AU19" si="16">AU17/AU18</f>
        <v>0.92436974789915971</v>
      </c>
      <c r="AV19" s="481">
        <f t="shared" ref="AV19" si="17">AV17/AV18</f>
        <v>0.93220338983050843</v>
      </c>
      <c r="AW19" s="481">
        <f t="shared" ref="AW19" si="18">AW17/AW18</f>
        <v>0.94017094017094016</v>
      </c>
      <c r="AX19" s="481">
        <f t="shared" ref="AX19" si="19">AX17/AX18</f>
        <v>0.92436974789915971</v>
      </c>
      <c r="AY19" s="481">
        <f t="shared" ref="AY19" si="20">AY17/AY18</f>
        <v>0.91666666666666663</v>
      </c>
      <c r="AZ19" s="481">
        <f t="shared" ref="AZ19" si="21">AZ17/AZ18</f>
        <v>0.95652173913043481</v>
      </c>
      <c r="BA19" s="269"/>
      <c r="BB19" s="270"/>
      <c r="BC19" s="1"/>
    </row>
    <row r="20" spans="2:55" s="28" customFormat="1" ht="43.5" customHeight="1" thickBot="1">
      <c r="B20" s="229"/>
      <c r="C20" s="280"/>
      <c r="D20" s="285"/>
      <c r="E20" s="273">
        <v>2</v>
      </c>
      <c r="F20" s="274"/>
      <c r="G20" s="402">
        <v>1</v>
      </c>
      <c r="H20" s="403">
        <v>1</v>
      </c>
      <c r="I20" s="403">
        <v>1</v>
      </c>
      <c r="J20" s="403">
        <v>1</v>
      </c>
      <c r="K20" s="403">
        <v>1</v>
      </c>
      <c r="L20" s="403">
        <v>1</v>
      </c>
      <c r="M20" s="403">
        <v>1</v>
      </c>
      <c r="N20" s="403">
        <v>1</v>
      </c>
      <c r="O20" s="403">
        <v>1</v>
      </c>
      <c r="P20" s="404">
        <v>1</v>
      </c>
      <c r="Q20" s="409">
        <f>AVERAGE(G20:P20)</f>
        <v>1</v>
      </c>
      <c r="R20" s="405">
        <v>2</v>
      </c>
      <c r="S20" s="406">
        <v>2</v>
      </c>
      <c r="T20" s="406">
        <v>2</v>
      </c>
      <c r="U20" s="406">
        <v>2</v>
      </c>
      <c r="V20" s="406">
        <v>2</v>
      </c>
      <c r="W20" s="406">
        <v>2</v>
      </c>
      <c r="X20" s="406">
        <v>2</v>
      </c>
      <c r="Y20" s="406">
        <v>2</v>
      </c>
      <c r="Z20" s="406">
        <v>2</v>
      </c>
      <c r="AA20" s="407">
        <v>2</v>
      </c>
      <c r="AB20" s="409">
        <f>AVERAGE(R20:AA20)</f>
        <v>2</v>
      </c>
      <c r="AC20" s="405">
        <v>2</v>
      </c>
      <c r="AD20" s="406">
        <v>2</v>
      </c>
      <c r="AE20" s="406">
        <v>2</v>
      </c>
      <c r="AF20" s="406">
        <v>2</v>
      </c>
      <c r="AG20" s="406">
        <v>2</v>
      </c>
      <c r="AH20" s="406">
        <v>2</v>
      </c>
      <c r="AI20" s="406">
        <v>2</v>
      </c>
      <c r="AJ20" s="406">
        <v>2</v>
      </c>
      <c r="AK20" s="406">
        <v>2</v>
      </c>
      <c r="AL20" s="407">
        <v>2</v>
      </c>
      <c r="AM20" s="409">
        <f>AVERAGE(AC20:AL20)</f>
        <v>2</v>
      </c>
      <c r="AN20" s="405">
        <v>2</v>
      </c>
      <c r="AO20" s="406">
        <v>2</v>
      </c>
      <c r="AP20" s="406">
        <v>2</v>
      </c>
      <c r="AQ20" s="406">
        <v>2</v>
      </c>
      <c r="AR20" s="406">
        <v>2</v>
      </c>
      <c r="AS20" s="406">
        <v>2</v>
      </c>
      <c r="AT20" s="406">
        <v>2</v>
      </c>
      <c r="AU20" s="406">
        <v>2</v>
      </c>
      <c r="AV20" s="406">
        <v>2</v>
      </c>
      <c r="AW20" s="406">
        <v>2</v>
      </c>
      <c r="AX20" s="406">
        <v>2</v>
      </c>
      <c r="AY20" s="414">
        <v>2</v>
      </c>
      <c r="AZ20" s="407">
        <v>2</v>
      </c>
      <c r="BA20" s="269"/>
      <c r="BB20" s="270"/>
      <c r="BC20" s="27"/>
    </row>
    <row r="21" spans="2:55" ht="40.700000000000003" customHeight="1" thickBot="1">
      <c r="B21" s="229"/>
      <c r="C21" s="280"/>
      <c r="D21" s="29" t="s">
        <v>42</v>
      </c>
      <c r="E21" s="275" t="s">
        <v>43</v>
      </c>
      <c r="F21" s="276"/>
      <c r="G21" s="402">
        <v>1</v>
      </c>
      <c r="H21" s="403">
        <v>1</v>
      </c>
      <c r="I21" s="403">
        <v>1</v>
      </c>
      <c r="J21" s="403">
        <v>1</v>
      </c>
      <c r="K21" s="403">
        <v>1</v>
      </c>
      <c r="L21" s="403">
        <v>1</v>
      </c>
      <c r="M21" s="403">
        <v>1</v>
      </c>
      <c r="N21" s="403">
        <v>1</v>
      </c>
      <c r="O21" s="403">
        <v>1</v>
      </c>
      <c r="P21" s="404">
        <v>1</v>
      </c>
      <c r="Q21" s="409">
        <f>AVERAGE(G21:P21)</f>
        <v>1</v>
      </c>
      <c r="R21" s="402">
        <v>2</v>
      </c>
      <c r="S21" s="403">
        <v>2</v>
      </c>
      <c r="T21" s="403">
        <v>2</v>
      </c>
      <c r="U21" s="403">
        <v>2</v>
      </c>
      <c r="V21" s="403">
        <v>2</v>
      </c>
      <c r="W21" s="403">
        <v>2</v>
      </c>
      <c r="X21" s="403">
        <v>2</v>
      </c>
      <c r="Y21" s="403">
        <v>2</v>
      </c>
      <c r="Z21" s="403">
        <v>2</v>
      </c>
      <c r="AA21" s="404">
        <v>2</v>
      </c>
      <c r="AB21" s="409">
        <f>AVERAGE(R21:AA21)</f>
        <v>2</v>
      </c>
      <c r="AC21" s="402">
        <v>2</v>
      </c>
      <c r="AD21" s="403">
        <v>2</v>
      </c>
      <c r="AE21" s="403">
        <v>2</v>
      </c>
      <c r="AF21" s="403">
        <v>2</v>
      </c>
      <c r="AG21" s="403">
        <v>2</v>
      </c>
      <c r="AH21" s="403">
        <v>2</v>
      </c>
      <c r="AI21" s="403">
        <v>2</v>
      </c>
      <c r="AJ21" s="403">
        <v>2</v>
      </c>
      <c r="AK21" s="403">
        <v>2</v>
      </c>
      <c r="AL21" s="404">
        <v>2</v>
      </c>
      <c r="AM21" s="409">
        <f>AVERAGE(AC21:AL21)</f>
        <v>2</v>
      </c>
      <c r="AN21" s="402">
        <v>2</v>
      </c>
      <c r="AO21" s="403">
        <v>2</v>
      </c>
      <c r="AP21" s="403">
        <v>2</v>
      </c>
      <c r="AQ21" s="403">
        <v>2</v>
      </c>
      <c r="AR21" s="403">
        <v>2</v>
      </c>
      <c r="AS21" s="403">
        <v>2</v>
      </c>
      <c r="AT21" s="403">
        <v>2</v>
      </c>
      <c r="AU21" s="403">
        <v>2</v>
      </c>
      <c r="AV21" s="403">
        <v>2</v>
      </c>
      <c r="AW21" s="403">
        <v>2</v>
      </c>
      <c r="AX21" s="403">
        <v>2</v>
      </c>
      <c r="AY21" s="415">
        <v>2</v>
      </c>
      <c r="AZ21" s="404">
        <v>2</v>
      </c>
      <c r="BA21" s="269"/>
      <c r="BB21" s="270"/>
      <c r="BC21" s="1"/>
    </row>
    <row r="22" spans="2:55" s="21" customFormat="1" ht="36" customHeight="1">
      <c r="B22" s="229"/>
      <c r="C22" s="280"/>
      <c r="D22" s="30" t="s">
        <v>44</v>
      </c>
      <c r="E22" s="277">
        <v>6</v>
      </c>
      <c r="F22" s="278"/>
      <c r="G22" s="482">
        <f>SUM(Q16,Q20,Q21)</f>
        <v>3</v>
      </c>
      <c r="H22" s="483"/>
      <c r="I22" s="483"/>
      <c r="J22" s="483"/>
      <c r="K22" s="483"/>
      <c r="L22" s="483"/>
      <c r="M22" s="483"/>
      <c r="N22" s="483"/>
      <c r="O22" s="483"/>
      <c r="P22" s="483"/>
      <c r="Q22" s="484"/>
      <c r="R22" s="482">
        <f>SUM(AB16,AB20,AB21)</f>
        <v>5</v>
      </c>
      <c r="S22" s="483"/>
      <c r="T22" s="483"/>
      <c r="U22" s="483"/>
      <c r="V22" s="483"/>
      <c r="W22" s="483"/>
      <c r="X22" s="483"/>
      <c r="Y22" s="483"/>
      <c r="Z22" s="483"/>
      <c r="AA22" s="483"/>
      <c r="AB22" s="484"/>
      <c r="AC22" s="482">
        <f>SUM(AM16,AM20,AM21)</f>
        <v>6</v>
      </c>
      <c r="AD22" s="483"/>
      <c r="AE22" s="483"/>
      <c r="AF22" s="483"/>
      <c r="AG22" s="483"/>
      <c r="AH22" s="483"/>
      <c r="AI22" s="483"/>
      <c r="AJ22" s="483"/>
      <c r="AK22" s="483"/>
      <c r="AL22" s="483"/>
      <c r="AM22" s="484"/>
      <c r="AN22" s="485">
        <f>SUM(AN16,AN20,AN21)</f>
        <v>6</v>
      </c>
      <c r="AO22" s="485">
        <f t="shared" ref="AO22:AZ22" si="22">SUM(AO16,AO20,AO21)</f>
        <v>6</v>
      </c>
      <c r="AP22" s="485">
        <f t="shared" si="22"/>
        <v>6</v>
      </c>
      <c r="AQ22" s="485">
        <f t="shared" si="22"/>
        <v>6</v>
      </c>
      <c r="AR22" s="485">
        <f t="shared" si="22"/>
        <v>6</v>
      </c>
      <c r="AS22" s="485">
        <f t="shared" si="22"/>
        <v>6</v>
      </c>
      <c r="AT22" s="485">
        <f t="shared" si="22"/>
        <v>6</v>
      </c>
      <c r="AU22" s="485">
        <f t="shared" si="22"/>
        <v>6</v>
      </c>
      <c r="AV22" s="485">
        <f t="shared" si="22"/>
        <v>6</v>
      </c>
      <c r="AW22" s="485">
        <f t="shared" si="22"/>
        <v>6</v>
      </c>
      <c r="AX22" s="485">
        <f t="shared" si="22"/>
        <v>6</v>
      </c>
      <c r="AY22" s="485">
        <f t="shared" si="22"/>
        <v>6</v>
      </c>
      <c r="AZ22" s="485">
        <f t="shared" si="22"/>
        <v>6</v>
      </c>
      <c r="BA22" s="31"/>
      <c r="BB22" s="32"/>
      <c r="BC22" s="20"/>
    </row>
    <row r="23" spans="2:55" ht="30.2" customHeight="1">
      <c r="B23" s="229"/>
      <c r="C23" s="280"/>
      <c r="D23" s="33" t="s">
        <v>45</v>
      </c>
      <c r="E23" s="239">
        <v>1</v>
      </c>
      <c r="F23" s="240"/>
      <c r="G23" s="268">
        <v>1</v>
      </c>
      <c r="H23" s="266"/>
      <c r="I23" s="266"/>
      <c r="J23" s="266"/>
      <c r="K23" s="266"/>
      <c r="L23" s="266"/>
      <c r="M23" s="266"/>
      <c r="N23" s="266"/>
      <c r="O23" s="266"/>
      <c r="P23" s="266"/>
      <c r="Q23" s="267"/>
      <c r="R23" s="268">
        <v>1</v>
      </c>
      <c r="S23" s="266"/>
      <c r="T23" s="266"/>
      <c r="U23" s="266"/>
      <c r="V23" s="266"/>
      <c r="W23" s="266"/>
      <c r="X23" s="266"/>
      <c r="Y23" s="266"/>
      <c r="Z23" s="266"/>
      <c r="AA23" s="266"/>
      <c r="AB23" s="267"/>
      <c r="AC23" s="268">
        <v>1</v>
      </c>
      <c r="AD23" s="266"/>
      <c r="AE23" s="266"/>
      <c r="AF23" s="266"/>
      <c r="AG23" s="266"/>
      <c r="AH23" s="266"/>
      <c r="AI23" s="266"/>
      <c r="AJ23" s="266"/>
      <c r="AK23" s="266"/>
      <c r="AL23" s="266"/>
      <c r="AM23" s="267"/>
      <c r="AN23" s="174">
        <v>1</v>
      </c>
      <c r="AO23" s="170">
        <v>1</v>
      </c>
      <c r="AP23" s="170">
        <v>1</v>
      </c>
      <c r="AQ23" s="170">
        <v>1</v>
      </c>
      <c r="AR23" s="170">
        <v>1</v>
      </c>
      <c r="AS23" s="170">
        <v>1</v>
      </c>
      <c r="AT23" s="170">
        <v>1</v>
      </c>
      <c r="AU23" s="170">
        <v>1</v>
      </c>
      <c r="AV23" s="170">
        <v>1</v>
      </c>
      <c r="AW23" s="170">
        <v>1</v>
      </c>
      <c r="AX23" s="170">
        <v>1</v>
      </c>
      <c r="AY23" s="170">
        <v>1</v>
      </c>
      <c r="AZ23" s="171">
        <v>1</v>
      </c>
      <c r="BA23" s="34" t="s">
        <v>164</v>
      </c>
      <c r="BB23" s="395">
        <v>1</v>
      </c>
      <c r="BC23" s="1"/>
    </row>
    <row r="24" spans="2:55" ht="30.2" customHeight="1" thickBot="1">
      <c r="B24" s="230"/>
      <c r="C24" s="281"/>
      <c r="D24" s="35" t="s">
        <v>46</v>
      </c>
      <c r="E24" s="226" t="s">
        <v>47</v>
      </c>
      <c r="F24" s="227"/>
      <c r="G24" s="486">
        <f>G22/E22</f>
        <v>0.5</v>
      </c>
      <c r="H24" s="487"/>
      <c r="I24" s="487"/>
      <c r="J24" s="487"/>
      <c r="K24" s="487"/>
      <c r="L24" s="487"/>
      <c r="M24" s="487"/>
      <c r="N24" s="487"/>
      <c r="O24" s="487"/>
      <c r="P24" s="487"/>
      <c r="Q24" s="488"/>
      <c r="R24" s="486">
        <f>R22/E22</f>
        <v>0.83333333333333337</v>
      </c>
      <c r="S24" s="487"/>
      <c r="T24" s="487"/>
      <c r="U24" s="487"/>
      <c r="V24" s="487"/>
      <c r="W24" s="487"/>
      <c r="X24" s="487"/>
      <c r="Y24" s="487"/>
      <c r="Z24" s="487"/>
      <c r="AA24" s="487"/>
      <c r="AB24" s="488"/>
      <c r="AC24" s="489">
        <f>AC22/E22</f>
        <v>1</v>
      </c>
      <c r="AD24" s="490"/>
      <c r="AE24" s="490"/>
      <c r="AF24" s="490"/>
      <c r="AG24" s="490"/>
      <c r="AH24" s="490"/>
      <c r="AI24" s="490"/>
      <c r="AJ24" s="490"/>
      <c r="AK24" s="490"/>
      <c r="AL24" s="490"/>
      <c r="AM24" s="491"/>
      <c r="AN24" s="492">
        <f>AN22/E22</f>
        <v>1</v>
      </c>
      <c r="AO24" s="492">
        <f>AO22/E22</f>
        <v>1</v>
      </c>
      <c r="AP24" s="492">
        <f>AP22/E22</f>
        <v>1</v>
      </c>
      <c r="AQ24" s="492">
        <f>AQ22/E22</f>
        <v>1</v>
      </c>
      <c r="AR24" s="492">
        <f>AR22/E22</f>
        <v>1</v>
      </c>
      <c r="AS24" s="492">
        <f>AS22/E22</f>
        <v>1</v>
      </c>
      <c r="AT24" s="492">
        <f>AT22/E22</f>
        <v>1</v>
      </c>
      <c r="AU24" s="492">
        <f>AU22/E22</f>
        <v>1</v>
      </c>
      <c r="AV24" s="492">
        <f>AV22/E22</f>
        <v>1</v>
      </c>
      <c r="AW24" s="492">
        <f>AW22/E22</f>
        <v>1</v>
      </c>
      <c r="AX24" s="492">
        <f>AX22/E22</f>
        <v>1</v>
      </c>
      <c r="AY24" s="492">
        <f>AY22/E22</f>
        <v>1</v>
      </c>
      <c r="AZ24" s="492">
        <f>AZ22/E22</f>
        <v>1</v>
      </c>
      <c r="BA24" s="36" t="s">
        <v>163</v>
      </c>
      <c r="BB24" s="503">
        <f>SUM(G24:AZ24)/16</f>
        <v>0.95833333333333337</v>
      </c>
      <c r="BC24" s="1"/>
    </row>
    <row r="25" spans="2:55" s="21" customFormat="1" ht="46.5" customHeight="1">
      <c r="B25" s="228">
        <v>2</v>
      </c>
      <c r="C25" s="237" t="s">
        <v>48</v>
      </c>
      <c r="D25" s="37" t="s">
        <v>49</v>
      </c>
      <c r="E25" s="234">
        <v>2</v>
      </c>
      <c r="F25" s="235"/>
      <c r="G25" s="416">
        <v>1</v>
      </c>
      <c r="H25" s="417"/>
      <c r="I25" s="417"/>
      <c r="J25" s="417"/>
      <c r="K25" s="417"/>
      <c r="L25" s="417"/>
      <c r="M25" s="417"/>
      <c r="N25" s="417"/>
      <c r="O25" s="417"/>
      <c r="P25" s="417"/>
      <c r="Q25" s="418"/>
      <c r="R25" s="419">
        <v>2</v>
      </c>
      <c r="S25" s="420"/>
      <c r="T25" s="420"/>
      <c r="U25" s="420"/>
      <c r="V25" s="420"/>
      <c r="W25" s="420"/>
      <c r="X25" s="420"/>
      <c r="Y25" s="420"/>
      <c r="Z25" s="420"/>
      <c r="AA25" s="420"/>
      <c r="AB25" s="421"/>
      <c r="AC25" s="420">
        <v>2</v>
      </c>
      <c r="AD25" s="420"/>
      <c r="AE25" s="420"/>
      <c r="AF25" s="420"/>
      <c r="AG25" s="420"/>
      <c r="AH25" s="420"/>
      <c r="AI25" s="420"/>
      <c r="AJ25" s="420"/>
      <c r="AK25" s="420"/>
      <c r="AL25" s="420"/>
      <c r="AM25" s="421"/>
      <c r="AN25" s="422">
        <v>2</v>
      </c>
      <c r="AO25" s="423">
        <v>2</v>
      </c>
      <c r="AP25" s="423">
        <v>2</v>
      </c>
      <c r="AQ25" s="423">
        <v>2</v>
      </c>
      <c r="AR25" s="423">
        <v>2</v>
      </c>
      <c r="AS25" s="423">
        <v>2</v>
      </c>
      <c r="AT25" s="423">
        <v>2</v>
      </c>
      <c r="AU25" s="423">
        <v>2</v>
      </c>
      <c r="AV25" s="423">
        <v>2</v>
      </c>
      <c r="AW25" s="423">
        <v>2</v>
      </c>
      <c r="AX25" s="423">
        <v>2</v>
      </c>
      <c r="AY25" s="424">
        <v>2</v>
      </c>
      <c r="AZ25" s="425">
        <v>2</v>
      </c>
      <c r="BA25" s="269"/>
      <c r="BB25" s="270"/>
      <c r="BC25" s="20"/>
    </row>
    <row r="26" spans="2:55" s="21" customFormat="1" ht="49.7" customHeight="1">
      <c r="B26" s="229"/>
      <c r="C26" s="237"/>
      <c r="D26" s="38" t="s">
        <v>50</v>
      </c>
      <c r="E26" s="246">
        <v>2</v>
      </c>
      <c r="F26" s="240"/>
      <c r="G26" s="426">
        <v>1</v>
      </c>
      <c r="H26" s="427"/>
      <c r="I26" s="427"/>
      <c r="J26" s="427"/>
      <c r="K26" s="427"/>
      <c r="L26" s="427"/>
      <c r="M26" s="427"/>
      <c r="N26" s="427"/>
      <c r="O26" s="427"/>
      <c r="P26" s="427"/>
      <c r="Q26" s="428"/>
      <c r="R26" s="429">
        <v>2</v>
      </c>
      <c r="S26" s="430"/>
      <c r="T26" s="430"/>
      <c r="U26" s="430"/>
      <c r="V26" s="430"/>
      <c r="W26" s="430"/>
      <c r="X26" s="430"/>
      <c r="Y26" s="430"/>
      <c r="Z26" s="430"/>
      <c r="AA26" s="430"/>
      <c r="AB26" s="431"/>
      <c r="AC26" s="430">
        <v>2</v>
      </c>
      <c r="AD26" s="430"/>
      <c r="AE26" s="430"/>
      <c r="AF26" s="430"/>
      <c r="AG26" s="430"/>
      <c r="AH26" s="430"/>
      <c r="AI26" s="430"/>
      <c r="AJ26" s="430"/>
      <c r="AK26" s="430"/>
      <c r="AL26" s="430"/>
      <c r="AM26" s="431"/>
      <c r="AN26" s="432">
        <v>2</v>
      </c>
      <c r="AO26" s="433">
        <v>2</v>
      </c>
      <c r="AP26" s="433">
        <v>2</v>
      </c>
      <c r="AQ26" s="433">
        <v>2</v>
      </c>
      <c r="AR26" s="433">
        <v>2</v>
      </c>
      <c r="AS26" s="433">
        <v>2</v>
      </c>
      <c r="AT26" s="433">
        <v>2</v>
      </c>
      <c r="AU26" s="433">
        <v>2</v>
      </c>
      <c r="AV26" s="433">
        <v>2</v>
      </c>
      <c r="AW26" s="433">
        <v>2</v>
      </c>
      <c r="AX26" s="433">
        <v>2</v>
      </c>
      <c r="AY26" s="434">
        <v>2</v>
      </c>
      <c r="AZ26" s="435">
        <v>2</v>
      </c>
      <c r="BA26" s="269"/>
      <c r="BB26" s="270"/>
      <c r="BC26" s="20"/>
    </row>
    <row r="27" spans="2:55" s="21" customFormat="1" ht="39.200000000000003" customHeight="1">
      <c r="B27" s="229"/>
      <c r="C27" s="237"/>
      <c r="D27" s="38" t="s">
        <v>51</v>
      </c>
      <c r="E27" s="246">
        <v>2</v>
      </c>
      <c r="F27" s="240"/>
      <c r="G27" s="426">
        <v>1</v>
      </c>
      <c r="H27" s="427"/>
      <c r="I27" s="427"/>
      <c r="J27" s="427"/>
      <c r="K27" s="427"/>
      <c r="L27" s="427"/>
      <c r="M27" s="427"/>
      <c r="N27" s="427"/>
      <c r="O27" s="427"/>
      <c r="P27" s="427"/>
      <c r="Q27" s="428"/>
      <c r="R27" s="429">
        <v>2</v>
      </c>
      <c r="S27" s="430"/>
      <c r="T27" s="430"/>
      <c r="U27" s="430"/>
      <c r="V27" s="430"/>
      <c r="W27" s="430"/>
      <c r="X27" s="430"/>
      <c r="Y27" s="430"/>
      <c r="Z27" s="430"/>
      <c r="AA27" s="430"/>
      <c r="AB27" s="431"/>
      <c r="AC27" s="430">
        <v>2</v>
      </c>
      <c r="AD27" s="430"/>
      <c r="AE27" s="430"/>
      <c r="AF27" s="430"/>
      <c r="AG27" s="430"/>
      <c r="AH27" s="430"/>
      <c r="AI27" s="430"/>
      <c r="AJ27" s="430"/>
      <c r="AK27" s="430"/>
      <c r="AL27" s="430"/>
      <c r="AM27" s="431"/>
      <c r="AN27" s="432">
        <v>2</v>
      </c>
      <c r="AO27" s="433">
        <v>2</v>
      </c>
      <c r="AP27" s="433">
        <v>2</v>
      </c>
      <c r="AQ27" s="433">
        <v>2</v>
      </c>
      <c r="AR27" s="433">
        <v>2</v>
      </c>
      <c r="AS27" s="433">
        <v>2</v>
      </c>
      <c r="AT27" s="433">
        <v>2</v>
      </c>
      <c r="AU27" s="433">
        <v>2</v>
      </c>
      <c r="AV27" s="433">
        <v>2</v>
      </c>
      <c r="AW27" s="433">
        <v>2</v>
      </c>
      <c r="AX27" s="433">
        <v>2</v>
      </c>
      <c r="AY27" s="434">
        <v>2</v>
      </c>
      <c r="AZ27" s="435">
        <v>2</v>
      </c>
      <c r="BA27" s="269"/>
      <c r="BB27" s="270"/>
      <c r="BC27" s="20"/>
    </row>
    <row r="28" spans="2:55" ht="48.2" customHeight="1">
      <c r="B28" s="229"/>
      <c r="C28" s="237"/>
      <c r="D28" s="38" t="s">
        <v>52</v>
      </c>
      <c r="E28" s="246">
        <v>2</v>
      </c>
      <c r="F28" s="240"/>
      <c r="G28" s="426">
        <v>1</v>
      </c>
      <c r="H28" s="427"/>
      <c r="I28" s="427"/>
      <c r="J28" s="427"/>
      <c r="K28" s="427"/>
      <c r="L28" s="427"/>
      <c r="M28" s="427"/>
      <c r="N28" s="427"/>
      <c r="O28" s="427"/>
      <c r="P28" s="427"/>
      <c r="Q28" s="428"/>
      <c r="R28" s="429">
        <v>2</v>
      </c>
      <c r="S28" s="430"/>
      <c r="T28" s="430"/>
      <c r="U28" s="430"/>
      <c r="V28" s="430"/>
      <c r="W28" s="430"/>
      <c r="X28" s="430"/>
      <c r="Y28" s="430"/>
      <c r="Z28" s="430"/>
      <c r="AA28" s="430"/>
      <c r="AB28" s="431"/>
      <c r="AC28" s="430">
        <v>2</v>
      </c>
      <c r="AD28" s="430"/>
      <c r="AE28" s="430"/>
      <c r="AF28" s="430"/>
      <c r="AG28" s="430"/>
      <c r="AH28" s="430"/>
      <c r="AI28" s="430"/>
      <c r="AJ28" s="430"/>
      <c r="AK28" s="430"/>
      <c r="AL28" s="430"/>
      <c r="AM28" s="431"/>
      <c r="AN28" s="432">
        <v>2</v>
      </c>
      <c r="AO28" s="433">
        <v>2</v>
      </c>
      <c r="AP28" s="433">
        <v>2</v>
      </c>
      <c r="AQ28" s="433">
        <v>2</v>
      </c>
      <c r="AR28" s="433">
        <v>2</v>
      </c>
      <c r="AS28" s="433">
        <v>2</v>
      </c>
      <c r="AT28" s="433">
        <v>2</v>
      </c>
      <c r="AU28" s="433">
        <v>2</v>
      </c>
      <c r="AV28" s="433">
        <v>2</v>
      </c>
      <c r="AW28" s="433">
        <v>2</v>
      </c>
      <c r="AX28" s="433">
        <v>2</v>
      </c>
      <c r="AY28" s="434">
        <v>2</v>
      </c>
      <c r="AZ28" s="435">
        <v>2</v>
      </c>
      <c r="BA28" s="269"/>
      <c r="BB28" s="270"/>
      <c r="BC28" s="1"/>
    </row>
    <row r="29" spans="2:55" ht="48.2" customHeight="1" thickBot="1">
      <c r="B29" s="229"/>
      <c r="C29" s="237"/>
      <c r="D29" s="38" t="s">
        <v>53</v>
      </c>
      <c r="E29" s="246">
        <v>2</v>
      </c>
      <c r="F29" s="240"/>
      <c r="G29" s="436">
        <v>1</v>
      </c>
      <c r="H29" s="437"/>
      <c r="I29" s="437"/>
      <c r="J29" s="437"/>
      <c r="K29" s="437"/>
      <c r="L29" s="437"/>
      <c r="M29" s="437"/>
      <c r="N29" s="437"/>
      <c r="O29" s="437"/>
      <c r="P29" s="437"/>
      <c r="Q29" s="438"/>
      <c r="R29" s="429">
        <v>2</v>
      </c>
      <c r="S29" s="430"/>
      <c r="T29" s="430"/>
      <c r="U29" s="430"/>
      <c r="V29" s="430"/>
      <c r="W29" s="430"/>
      <c r="X29" s="430"/>
      <c r="Y29" s="430"/>
      <c r="Z29" s="430"/>
      <c r="AA29" s="430"/>
      <c r="AB29" s="431"/>
      <c r="AC29" s="429">
        <v>2</v>
      </c>
      <c r="AD29" s="430"/>
      <c r="AE29" s="430"/>
      <c r="AF29" s="430"/>
      <c r="AG29" s="430"/>
      <c r="AH29" s="430"/>
      <c r="AI29" s="430"/>
      <c r="AJ29" s="430"/>
      <c r="AK29" s="430"/>
      <c r="AL29" s="430"/>
      <c r="AM29" s="431"/>
      <c r="AN29" s="439">
        <v>2</v>
      </c>
      <c r="AO29" s="433">
        <v>2</v>
      </c>
      <c r="AP29" s="433">
        <v>2</v>
      </c>
      <c r="AQ29" s="433">
        <v>2</v>
      </c>
      <c r="AR29" s="433">
        <v>2</v>
      </c>
      <c r="AS29" s="433">
        <v>2</v>
      </c>
      <c r="AT29" s="433">
        <v>2</v>
      </c>
      <c r="AU29" s="433">
        <v>2</v>
      </c>
      <c r="AV29" s="433">
        <v>2</v>
      </c>
      <c r="AW29" s="433">
        <v>2</v>
      </c>
      <c r="AX29" s="433">
        <v>2</v>
      </c>
      <c r="AY29" s="434">
        <v>2</v>
      </c>
      <c r="AZ29" s="435">
        <v>2</v>
      </c>
      <c r="BA29" s="269"/>
      <c r="BB29" s="270"/>
      <c r="BC29" s="1"/>
    </row>
    <row r="30" spans="2:55" s="21" customFormat="1" ht="36" customHeight="1" thickBot="1">
      <c r="B30" s="229"/>
      <c r="C30" s="237"/>
      <c r="D30" s="38" t="s">
        <v>44</v>
      </c>
      <c r="E30" s="246">
        <v>10</v>
      </c>
      <c r="F30" s="240"/>
      <c r="G30" s="493">
        <f>SUM(G25:Q29)</f>
        <v>5</v>
      </c>
      <c r="H30" s="494"/>
      <c r="I30" s="494"/>
      <c r="J30" s="494"/>
      <c r="K30" s="494"/>
      <c r="L30" s="494"/>
      <c r="M30" s="494"/>
      <c r="N30" s="494"/>
      <c r="O30" s="494"/>
      <c r="P30" s="494"/>
      <c r="Q30" s="495"/>
      <c r="R30" s="496">
        <f>SUM(R25:AB29)</f>
        <v>10</v>
      </c>
      <c r="S30" s="497"/>
      <c r="T30" s="497"/>
      <c r="U30" s="497"/>
      <c r="V30" s="497"/>
      <c r="W30" s="497"/>
      <c r="X30" s="497"/>
      <c r="Y30" s="497"/>
      <c r="Z30" s="497"/>
      <c r="AA30" s="497"/>
      <c r="AB30" s="498"/>
      <c r="AC30" s="499">
        <f>SUM(AC25:AM29)</f>
        <v>10</v>
      </c>
      <c r="AD30" s="500"/>
      <c r="AE30" s="500"/>
      <c r="AF30" s="500"/>
      <c r="AG30" s="500"/>
      <c r="AH30" s="500"/>
      <c r="AI30" s="500"/>
      <c r="AJ30" s="500"/>
      <c r="AK30" s="500"/>
      <c r="AL30" s="500"/>
      <c r="AM30" s="501"/>
      <c r="AN30" s="502">
        <f>SUM(AN25:AN29)</f>
        <v>10</v>
      </c>
      <c r="AO30" s="502">
        <f t="shared" ref="AO30:AZ30" si="23">SUM(AO25:AO29)</f>
        <v>10</v>
      </c>
      <c r="AP30" s="502">
        <f t="shared" si="23"/>
        <v>10</v>
      </c>
      <c r="AQ30" s="502">
        <f t="shared" si="23"/>
        <v>10</v>
      </c>
      <c r="AR30" s="502">
        <f t="shared" si="23"/>
        <v>10</v>
      </c>
      <c r="AS30" s="502">
        <f t="shared" si="23"/>
        <v>10</v>
      </c>
      <c r="AT30" s="502">
        <f t="shared" si="23"/>
        <v>10</v>
      </c>
      <c r="AU30" s="502">
        <f t="shared" si="23"/>
        <v>10</v>
      </c>
      <c r="AV30" s="502">
        <f t="shared" si="23"/>
        <v>10</v>
      </c>
      <c r="AW30" s="502">
        <f t="shared" si="23"/>
        <v>10</v>
      </c>
      <c r="AX30" s="502">
        <f t="shared" si="23"/>
        <v>10</v>
      </c>
      <c r="AY30" s="502">
        <f t="shared" si="23"/>
        <v>10</v>
      </c>
      <c r="AZ30" s="502">
        <f t="shared" si="23"/>
        <v>10</v>
      </c>
      <c r="BA30" s="269"/>
      <c r="BB30" s="270"/>
      <c r="BC30" s="20"/>
    </row>
    <row r="31" spans="2:55" ht="30.2" customHeight="1">
      <c r="B31" s="229"/>
      <c r="C31" s="237"/>
      <c r="D31" s="38" t="s">
        <v>45</v>
      </c>
      <c r="E31" s="239">
        <v>1</v>
      </c>
      <c r="F31" s="240"/>
      <c r="G31" s="392">
        <v>1</v>
      </c>
      <c r="H31" s="393"/>
      <c r="I31" s="393"/>
      <c r="J31" s="393"/>
      <c r="K31" s="393"/>
      <c r="L31" s="393"/>
      <c r="M31" s="393"/>
      <c r="N31" s="393"/>
      <c r="O31" s="393"/>
      <c r="P31" s="393"/>
      <c r="Q31" s="394"/>
      <c r="R31" s="268">
        <v>1</v>
      </c>
      <c r="S31" s="266"/>
      <c r="T31" s="266"/>
      <c r="U31" s="266"/>
      <c r="V31" s="266"/>
      <c r="W31" s="266"/>
      <c r="X31" s="266"/>
      <c r="Y31" s="266"/>
      <c r="Z31" s="266"/>
      <c r="AA31" s="266"/>
      <c r="AB31" s="267"/>
      <c r="AC31" s="268">
        <v>1</v>
      </c>
      <c r="AD31" s="266"/>
      <c r="AE31" s="266"/>
      <c r="AF31" s="266"/>
      <c r="AG31" s="266"/>
      <c r="AH31" s="266"/>
      <c r="AI31" s="266"/>
      <c r="AJ31" s="266"/>
      <c r="AK31" s="266"/>
      <c r="AL31" s="266"/>
      <c r="AM31" s="267"/>
      <c r="AN31" s="174">
        <v>1</v>
      </c>
      <c r="AO31" s="170">
        <v>1</v>
      </c>
      <c r="AP31" s="170">
        <v>1</v>
      </c>
      <c r="AQ31" s="170">
        <v>1</v>
      </c>
      <c r="AR31" s="170">
        <v>1</v>
      </c>
      <c r="AS31" s="170">
        <v>1</v>
      </c>
      <c r="AT31" s="170">
        <v>1</v>
      </c>
      <c r="AU31" s="170">
        <v>1</v>
      </c>
      <c r="AV31" s="170">
        <v>1</v>
      </c>
      <c r="AW31" s="170">
        <v>1</v>
      </c>
      <c r="AX31" s="170">
        <v>1</v>
      </c>
      <c r="AY31" s="170">
        <v>1</v>
      </c>
      <c r="AZ31" s="171">
        <v>1</v>
      </c>
      <c r="BA31" s="39" t="s">
        <v>164</v>
      </c>
      <c r="BB31" s="395">
        <v>1</v>
      </c>
      <c r="BC31" s="1"/>
    </row>
    <row r="32" spans="2:55" ht="30.2" customHeight="1" thickBot="1">
      <c r="B32" s="230"/>
      <c r="C32" s="238"/>
      <c r="D32" s="40" t="s">
        <v>46</v>
      </c>
      <c r="E32" s="226" t="s">
        <v>47</v>
      </c>
      <c r="F32" s="227"/>
      <c r="G32" s="486">
        <f>G30/E30</f>
        <v>0.5</v>
      </c>
      <c r="H32" s="487"/>
      <c r="I32" s="487"/>
      <c r="J32" s="487"/>
      <c r="K32" s="487"/>
      <c r="L32" s="487"/>
      <c r="M32" s="487"/>
      <c r="N32" s="487"/>
      <c r="O32" s="487"/>
      <c r="P32" s="487"/>
      <c r="Q32" s="488"/>
      <c r="R32" s="486">
        <f>R30/E30</f>
        <v>1</v>
      </c>
      <c r="S32" s="487"/>
      <c r="T32" s="487"/>
      <c r="U32" s="487"/>
      <c r="V32" s="487"/>
      <c r="W32" s="487"/>
      <c r="X32" s="487"/>
      <c r="Y32" s="487"/>
      <c r="Z32" s="487"/>
      <c r="AA32" s="487"/>
      <c r="AB32" s="488"/>
      <c r="AC32" s="489">
        <f>AC30/E30</f>
        <v>1</v>
      </c>
      <c r="AD32" s="490"/>
      <c r="AE32" s="490"/>
      <c r="AF32" s="490"/>
      <c r="AG32" s="490"/>
      <c r="AH32" s="490"/>
      <c r="AI32" s="490"/>
      <c r="AJ32" s="490"/>
      <c r="AK32" s="490"/>
      <c r="AL32" s="490"/>
      <c r="AM32" s="491"/>
      <c r="AN32" s="492">
        <f>AN30/E30</f>
        <v>1</v>
      </c>
      <c r="AO32" s="492">
        <f>AO30/E30</f>
        <v>1</v>
      </c>
      <c r="AP32" s="492">
        <f>AP30/E30</f>
        <v>1</v>
      </c>
      <c r="AQ32" s="492">
        <f>AQ30/E30</f>
        <v>1</v>
      </c>
      <c r="AR32" s="492">
        <f>AR30/E30</f>
        <v>1</v>
      </c>
      <c r="AS32" s="492">
        <f>AS30/E30</f>
        <v>1</v>
      </c>
      <c r="AT32" s="492">
        <f>AT30/E30</f>
        <v>1</v>
      </c>
      <c r="AU32" s="492">
        <f>AU30/E30</f>
        <v>1</v>
      </c>
      <c r="AV32" s="492">
        <f>AV30/E30</f>
        <v>1</v>
      </c>
      <c r="AW32" s="492">
        <f>AW30/E30</f>
        <v>1</v>
      </c>
      <c r="AX32" s="492">
        <f>AX30/E30</f>
        <v>1</v>
      </c>
      <c r="AY32" s="492">
        <f>AY30/E30</f>
        <v>1</v>
      </c>
      <c r="AZ32" s="492">
        <f>AZ30/E30</f>
        <v>1</v>
      </c>
      <c r="BA32" s="34" t="s">
        <v>163</v>
      </c>
      <c r="BB32" s="503">
        <f>SUM(G32:AZ32)/16</f>
        <v>0.96875</v>
      </c>
      <c r="BC32" s="1"/>
    </row>
    <row r="33" spans="2:55" s="21" customFormat="1" ht="30.2" customHeight="1">
      <c r="B33" s="228">
        <v>3</v>
      </c>
      <c r="C33" s="258" t="s">
        <v>54</v>
      </c>
      <c r="D33" s="164" t="s">
        <v>55</v>
      </c>
      <c r="E33" s="192" t="s">
        <v>47</v>
      </c>
      <c r="F33" s="261"/>
      <c r="G33" s="440">
        <v>2</v>
      </c>
      <c r="H33" s="441"/>
      <c r="I33" s="441"/>
      <c r="J33" s="441"/>
      <c r="K33" s="441"/>
      <c r="L33" s="441"/>
      <c r="M33" s="441"/>
      <c r="N33" s="441"/>
      <c r="O33" s="441"/>
      <c r="P33" s="441"/>
      <c r="Q33" s="442"/>
      <c r="R33" s="440">
        <v>2</v>
      </c>
      <c r="S33" s="441"/>
      <c r="T33" s="441"/>
      <c r="U33" s="441"/>
      <c r="V33" s="441"/>
      <c r="W33" s="441"/>
      <c r="X33" s="441"/>
      <c r="Y33" s="441"/>
      <c r="Z33" s="441"/>
      <c r="AA33" s="441"/>
      <c r="AB33" s="442"/>
      <c r="AC33" s="440">
        <v>2</v>
      </c>
      <c r="AD33" s="441"/>
      <c r="AE33" s="441"/>
      <c r="AF33" s="441"/>
      <c r="AG33" s="441"/>
      <c r="AH33" s="441"/>
      <c r="AI33" s="441"/>
      <c r="AJ33" s="441"/>
      <c r="AK33" s="441"/>
      <c r="AL33" s="441"/>
      <c r="AM33" s="442"/>
      <c r="AN33" s="411">
        <v>2</v>
      </c>
      <c r="AO33" s="411">
        <v>2</v>
      </c>
      <c r="AP33" s="411">
        <v>2</v>
      </c>
      <c r="AQ33" s="411">
        <v>2</v>
      </c>
      <c r="AR33" s="411">
        <v>2</v>
      </c>
      <c r="AS33" s="411">
        <v>2</v>
      </c>
      <c r="AT33" s="411">
        <v>2</v>
      </c>
      <c r="AU33" s="411">
        <v>2</v>
      </c>
      <c r="AV33" s="411">
        <v>2</v>
      </c>
      <c r="AW33" s="411">
        <v>2</v>
      </c>
      <c r="AX33" s="411">
        <v>2</v>
      </c>
      <c r="AY33" s="412">
        <v>2</v>
      </c>
      <c r="AZ33" s="413">
        <v>2</v>
      </c>
      <c r="BA33" s="262"/>
      <c r="BB33" s="263"/>
      <c r="BC33" s="20"/>
    </row>
    <row r="34" spans="2:55" ht="30.2" customHeight="1">
      <c r="B34" s="229"/>
      <c r="C34" s="259"/>
      <c r="D34" s="41" t="s">
        <v>56</v>
      </c>
      <c r="E34" s="239" t="s">
        <v>47</v>
      </c>
      <c r="F34" s="240"/>
      <c r="G34" s="443">
        <v>1</v>
      </c>
      <c r="H34" s="443"/>
      <c r="I34" s="443"/>
      <c r="J34" s="443"/>
      <c r="K34" s="443"/>
      <c r="L34" s="443"/>
      <c r="M34" s="443"/>
      <c r="N34" s="443"/>
      <c r="O34" s="443"/>
      <c r="P34" s="443"/>
      <c r="Q34" s="444"/>
      <c r="R34" s="445">
        <v>2</v>
      </c>
      <c r="S34" s="443"/>
      <c r="T34" s="443"/>
      <c r="U34" s="443"/>
      <c r="V34" s="443"/>
      <c r="W34" s="443"/>
      <c r="X34" s="443"/>
      <c r="Y34" s="443"/>
      <c r="Z34" s="443"/>
      <c r="AA34" s="443"/>
      <c r="AB34" s="444"/>
      <c r="AC34" s="445">
        <v>2</v>
      </c>
      <c r="AD34" s="443"/>
      <c r="AE34" s="443"/>
      <c r="AF34" s="443"/>
      <c r="AG34" s="443"/>
      <c r="AH34" s="443"/>
      <c r="AI34" s="443"/>
      <c r="AJ34" s="443"/>
      <c r="AK34" s="443"/>
      <c r="AL34" s="443"/>
      <c r="AM34" s="444"/>
      <c r="AN34" s="433">
        <v>2</v>
      </c>
      <c r="AO34" s="433">
        <v>2</v>
      </c>
      <c r="AP34" s="433">
        <v>2</v>
      </c>
      <c r="AQ34" s="433">
        <v>2</v>
      </c>
      <c r="AR34" s="433">
        <v>2</v>
      </c>
      <c r="AS34" s="433">
        <v>2</v>
      </c>
      <c r="AT34" s="433">
        <v>2</v>
      </c>
      <c r="AU34" s="433">
        <v>2</v>
      </c>
      <c r="AV34" s="433">
        <v>2</v>
      </c>
      <c r="AW34" s="433">
        <v>2</v>
      </c>
      <c r="AX34" s="433">
        <v>2</v>
      </c>
      <c r="AY34" s="434">
        <v>2</v>
      </c>
      <c r="AZ34" s="435">
        <v>2</v>
      </c>
      <c r="BA34" s="264"/>
      <c r="BB34" s="265"/>
      <c r="BC34" s="1"/>
    </row>
    <row r="35" spans="2:55" ht="30.2" customHeight="1">
      <c r="B35" s="229"/>
      <c r="C35" s="259"/>
      <c r="D35" s="38" t="s">
        <v>45</v>
      </c>
      <c r="E35" s="239">
        <v>1</v>
      </c>
      <c r="F35" s="240"/>
      <c r="G35" s="266">
        <v>1</v>
      </c>
      <c r="H35" s="266"/>
      <c r="I35" s="266"/>
      <c r="J35" s="266"/>
      <c r="K35" s="266"/>
      <c r="L35" s="266"/>
      <c r="M35" s="266"/>
      <c r="N35" s="266"/>
      <c r="O35" s="266"/>
      <c r="P35" s="266"/>
      <c r="Q35" s="267"/>
      <c r="R35" s="268">
        <v>1</v>
      </c>
      <c r="S35" s="266"/>
      <c r="T35" s="266"/>
      <c r="U35" s="266"/>
      <c r="V35" s="266"/>
      <c r="W35" s="266"/>
      <c r="X35" s="266"/>
      <c r="Y35" s="266"/>
      <c r="Z35" s="266"/>
      <c r="AA35" s="266"/>
      <c r="AB35" s="267"/>
      <c r="AC35" s="268">
        <v>1</v>
      </c>
      <c r="AD35" s="266"/>
      <c r="AE35" s="266"/>
      <c r="AF35" s="266"/>
      <c r="AG35" s="266"/>
      <c r="AH35" s="266"/>
      <c r="AI35" s="266"/>
      <c r="AJ35" s="266"/>
      <c r="AK35" s="266"/>
      <c r="AL35" s="266"/>
      <c r="AM35" s="267"/>
      <c r="AN35" s="170">
        <v>1</v>
      </c>
      <c r="AO35" s="170">
        <v>1</v>
      </c>
      <c r="AP35" s="170">
        <v>1</v>
      </c>
      <c r="AQ35" s="170">
        <v>1</v>
      </c>
      <c r="AR35" s="170">
        <v>1</v>
      </c>
      <c r="AS35" s="170">
        <v>1</v>
      </c>
      <c r="AT35" s="170">
        <v>1</v>
      </c>
      <c r="AU35" s="170">
        <v>1</v>
      </c>
      <c r="AV35" s="170">
        <v>1</v>
      </c>
      <c r="AW35" s="170">
        <v>1</v>
      </c>
      <c r="AX35" s="170">
        <v>1</v>
      </c>
      <c r="AY35" s="170">
        <v>1</v>
      </c>
      <c r="AZ35" s="171">
        <v>1</v>
      </c>
      <c r="BA35" s="42" t="s">
        <v>164</v>
      </c>
      <c r="BB35" s="395">
        <v>1</v>
      </c>
      <c r="BC35" s="1"/>
    </row>
    <row r="36" spans="2:55" ht="30.2" customHeight="1" thickBot="1">
      <c r="B36" s="230"/>
      <c r="C36" s="260"/>
      <c r="D36" s="43" t="s">
        <v>46</v>
      </c>
      <c r="E36" s="226" t="s">
        <v>47</v>
      </c>
      <c r="F36" s="227"/>
      <c r="G36" s="489">
        <f>G34/G33</f>
        <v>0.5</v>
      </c>
      <c r="H36" s="490"/>
      <c r="I36" s="490"/>
      <c r="J36" s="490"/>
      <c r="K36" s="490"/>
      <c r="L36" s="490"/>
      <c r="M36" s="490"/>
      <c r="N36" s="490"/>
      <c r="O36" s="490"/>
      <c r="P36" s="490"/>
      <c r="Q36" s="491"/>
      <c r="R36" s="489">
        <f t="shared" ref="R36:AM36" si="24">R34/R33</f>
        <v>1</v>
      </c>
      <c r="S36" s="490"/>
      <c r="T36" s="490"/>
      <c r="U36" s="490"/>
      <c r="V36" s="490"/>
      <c r="W36" s="490"/>
      <c r="X36" s="490"/>
      <c r="Y36" s="490"/>
      <c r="Z36" s="490"/>
      <c r="AA36" s="490"/>
      <c r="AB36" s="491"/>
      <c r="AC36" s="489">
        <f t="shared" ref="AC36:AM36" si="25">AC34/AC33</f>
        <v>1</v>
      </c>
      <c r="AD36" s="490"/>
      <c r="AE36" s="490"/>
      <c r="AF36" s="490"/>
      <c r="AG36" s="490"/>
      <c r="AH36" s="490"/>
      <c r="AI36" s="490"/>
      <c r="AJ36" s="490"/>
      <c r="AK36" s="490"/>
      <c r="AL36" s="490"/>
      <c r="AM36" s="491"/>
      <c r="AN36" s="512">
        <f>AN34/AN33</f>
        <v>1</v>
      </c>
      <c r="AO36" s="512">
        <f t="shared" ref="AO36:AZ36" si="26">AO34/AO33</f>
        <v>1</v>
      </c>
      <c r="AP36" s="512">
        <f t="shared" si="26"/>
        <v>1</v>
      </c>
      <c r="AQ36" s="512">
        <f t="shared" si="26"/>
        <v>1</v>
      </c>
      <c r="AR36" s="512">
        <f t="shared" si="26"/>
        <v>1</v>
      </c>
      <c r="AS36" s="512">
        <f t="shared" si="26"/>
        <v>1</v>
      </c>
      <c r="AT36" s="512">
        <f t="shared" si="26"/>
        <v>1</v>
      </c>
      <c r="AU36" s="512">
        <f t="shared" si="26"/>
        <v>1</v>
      </c>
      <c r="AV36" s="512">
        <f t="shared" si="26"/>
        <v>1</v>
      </c>
      <c r="AW36" s="512">
        <f t="shared" si="26"/>
        <v>1</v>
      </c>
      <c r="AX36" s="512">
        <f t="shared" si="26"/>
        <v>1</v>
      </c>
      <c r="AY36" s="512">
        <f t="shared" si="26"/>
        <v>1</v>
      </c>
      <c r="AZ36" s="512">
        <f t="shared" si="26"/>
        <v>1</v>
      </c>
      <c r="BA36" s="34" t="s">
        <v>165</v>
      </c>
      <c r="BB36" s="503">
        <f>SUM(G36:AZ36)/16</f>
        <v>0.96875</v>
      </c>
      <c r="BC36" s="1"/>
    </row>
    <row r="37" spans="2:55" ht="43.5" customHeight="1">
      <c r="B37" s="228">
        <v>4</v>
      </c>
      <c r="C37" s="236" t="s">
        <v>57</v>
      </c>
      <c r="D37" s="44" t="s">
        <v>58</v>
      </c>
      <c r="E37" s="234">
        <v>2</v>
      </c>
      <c r="F37" s="235"/>
      <c r="G37" s="440">
        <v>1</v>
      </c>
      <c r="H37" s="441"/>
      <c r="I37" s="441"/>
      <c r="J37" s="441"/>
      <c r="K37" s="441"/>
      <c r="L37" s="441"/>
      <c r="M37" s="441"/>
      <c r="N37" s="441"/>
      <c r="O37" s="441"/>
      <c r="P37" s="441"/>
      <c r="Q37" s="442"/>
      <c r="R37" s="440">
        <v>2</v>
      </c>
      <c r="S37" s="441"/>
      <c r="T37" s="441"/>
      <c r="U37" s="441"/>
      <c r="V37" s="441"/>
      <c r="W37" s="441"/>
      <c r="X37" s="441"/>
      <c r="Y37" s="441"/>
      <c r="Z37" s="441"/>
      <c r="AA37" s="441"/>
      <c r="AB37" s="442"/>
      <c r="AC37" s="440">
        <v>2</v>
      </c>
      <c r="AD37" s="441"/>
      <c r="AE37" s="441"/>
      <c r="AF37" s="441"/>
      <c r="AG37" s="441"/>
      <c r="AH37" s="441"/>
      <c r="AI37" s="441"/>
      <c r="AJ37" s="441"/>
      <c r="AK37" s="441"/>
      <c r="AL37" s="441"/>
      <c r="AM37" s="442"/>
      <c r="AN37" s="411">
        <v>2</v>
      </c>
      <c r="AO37" s="411">
        <v>2</v>
      </c>
      <c r="AP37" s="411">
        <v>2</v>
      </c>
      <c r="AQ37" s="411">
        <v>2</v>
      </c>
      <c r="AR37" s="411">
        <v>2</v>
      </c>
      <c r="AS37" s="411">
        <v>2</v>
      </c>
      <c r="AT37" s="411">
        <v>2</v>
      </c>
      <c r="AU37" s="411">
        <v>2</v>
      </c>
      <c r="AV37" s="411">
        <v>2</v>
      </c>
      <c r="AW37" s="411">
        <v>2</v>
      </c>
      <c r="AX37" s="411">
        <v>2</v>
      </c>
      <c r="AY37" s="412">
        <v>2</v>
      </c>
      <c r="AZ37" s="413">
        <v>2</v>
      </c>
      <c r="BA37" s="254"/>
      <c r="BB37" s="255"/>
      <c r="BC37" s="1"/>
    </row>
    <row r="38" spans="2:55" ht="55.5" customHeight="1">
      <c r="B38" s="229"/>
      <c r="C38" s="237"/>
      <c r="D38" s="38" t="s">
        <v>59</v>
      </c>
      <c r="E38" s="246">
        <v>2</v>
      </c>
      <c r="F38" s="240"/>
      <c r="G38" s="445">
        <v>1</v>
      </c>
      <c r="H38" s="443"/>
      <c r="I38" s="443"/>
      <c r="J38" s="443"/>
      <c r="K38" s="443"/>
      <c r="L38" s="443"/>
      <c r="M38" s="443"/>
      <c r="N38" s="443"/>
      <c r="O38" s="443"/>
      <c r="P38" s="443"/>
      <c r="Q38" s="444"/>
      <c r="R38" s="445">
        <v>2</v>
      </c>
      <c r="S38" s="443"/>
      <c r="T38" s="443"/>
      <c r="U38" s="443"/>
      <c r="V38" s="443"/>
      <c r="W38" s="443"/>
      <c r="X38" s="443"/>
      <c r="Y38" s="443"/>
      <c r="Z38" s="443"/>
      <c r="AA38" s="443"/>
      <c r="AB38" s="444"/>
      <c r="AC38" s="445">
        <v>2</v>
      </c>
      <c r="AD38" s="443"/>
      <c r="AE38" s="443"/>
      <c r="AF38" s="443"/>
      <c r="AG38" s="443"/>
      <c r="AH38" s="443"/>
      <c r="AI38" s="443"/>
      <c r="AJ38" s="443"/>
      <c r="AK38" s="443"/>
      <c r="AL38" s="443"/>
      <c r="AM38" s="444"/>
      <c r="AN38" s="433">
        <v>2</v>
      </c>
      <c r="AO38" s="433">
        <v>2</v>
      </c>
      <c r="AP38" s="433">
        <v>2</v>
      </c>
      <c r="AQ38" s="433">
        <v>2</v>
      </c>
      <c r="AR38" s="433">
        <v>2</v>
      </c>
      <c r="AS38" s="433">
        <v>2</v>
      </c>
      <c r="AT38" s="433">
        <v>2</v>
      </c>
      <c r="AU38" s="433">
        <v>2</v>
      </c>
      <c r="AV38" s="433">
        <v>2</v>
      </c>
      <c r="AW38" s="433">
        <v>2</v>
      </c>
      <c r="AX38" s="433">
        <v>2</v>
      </c>
      <c r="AY38" s="434">
        <v>2</v>
      </c>
      <c r="AZ38" s="435">
        <v>2</v>
      </c>
      <c r="BA38" s="256"/>
      <c r="BB38" s="257"/>
      <c r="BC38" s="1"/>
    </row>
    <row r="39" spans="2:55" ht="57.75" customHeight="1">
      <c r="B39" s="229"/>
      <c r="C39" s="237"/>
      <c r="D39" s="38" t="s">
        <v>60</v>
      </c>
      <c r="E39" s="246">
        <v>2</v>
      </c>
      <c r="F39" s="240"/>
      <c r="G39" s="445">
        <v>1</v>
      </c>
      <c r="H39" s="443"/>
      <c r="I39" s="443"/>
      <c r="J39" s="443"/>
      <c r="K39" s="443"/>
      <c r="L39" s="443"/>
      <c r="M39" s="443"/>
      <c r="N39" s="443"/>
      <c r="O39" s="443"/>
      <c r="P39" s="443"/>
      <c r="Q39" s="444"/>
      <c r="R39" s="445">
        <v>2</v>
      </c>
      <c r="S39" s="443"/>
      <c r="T39" s="443"/>
      <c r="U39" s="443"/>
      <c r="V39" s="443"/>
      <c r="W39" s="443"/>
      <c r="X39" s="443"/>
      <c r="Y39" s="443"/>
      <c r="Z39" s="443"/>
      <c r="AA39" s="443"/>
      <c r="AB39" s="444"/>
      <c r="AC39" s="445">
        <v>2</v>
      </c>
      <c r="AD39" s="443"/>
      <c r="AE39" s="443"/>
      <c r="AF39" s="443"/>
      <c r="AG39" s="443"/>
      <c r="AH39" s="443"/>
      <c r="AI39" s="443"/>
      <c r="AJ39" s="443"/>
      <c r="AK39" s="443"/>
      <c r="AL39" s="443"/>
      <c r="AM39" s="444"/>
      <c r="AN39" s="433">
        <v>2</v>
      </c>
      <c r="AO39" s="433">
        <v>2</v>
      </c>
      <c r="AP39" s="433">
        <v>2</v>
      </c>
      <c r="AQ39" s="433">
        <v>2</v>
      </c>
      <c r="AR39" s="433">
        <v>2</v>
      </c>
      <c r="AS39" s="433">
        <v>2</v>
      </c>
      <c r="AT39" s="433">
        <v>2</v>
      </c>
      <c r="AU39" s="433">
        <v>2</v>
      </c>
      <c r="AV39" s="433">
        <v>2</v>
      </c>
      <c r="AW39" s="433">
        <v>2</v>
      </c>
      <c r="AX39" s="433">
        <v>2</v>
      </c>
      <c r="AY39" s="434">
        <v>2</v>
      </c>
      <c r="AZ39" s="435">
        <v>2</v>
      </c>
      <c r="BA39" s="256"/>
      <c r="BB39" s="257"/>
      <c r="BC39" s="1"/>
    </row>
    <row r="40" spans="2:55" ht="89.45" customHeight="1">
      <c r="B40" s="229"/>
      <c r="C40" s="237"/>
      <c r="D40" s="38" t="s">
        <v>61</v>
      </c>
      <c r="E40" s="246">
        <v>2</v>
      </c>
      <c r="F40" s="240"/>
      <c r="G40" s="445">
        <v>1</v>
      </c>
      <c r="H40" s="443"/>
      <c r="I40" s="443"/>
      <c r="J40" s="443"/>
      <c r="K40" s="443"/>
      <c r="L40" s="443"/>
      <c r="M40" s="443"/>
      <c r="N40" s="443"/>
      <c r="O40" s="443"/>
      <c r="P40" s="443"/>
      <c r="Q40" s="444"/>
      <c r="R40" s="445">
        <v>2</v>
      </c>
      <c r="S40" s="443"/>
      <c r="T40" s="443"/>
      <c r="U40" s="443"/>
      <c r="V40" s="443"/>
      <c r="W40" s="443"/>
      <c r="X40" s="443"/>
      <c r="Y40" s="443"/>
      <c r="Z40" s="443"/>
      <c r="AA40" s="443"/>
      <c r="AB40" s="444"/>
      <c r="AC40" s="445">
        <v>2</v>
      </c>
      <c r="AD40" s="443"/>
      <c r="AE40" s="443"/>
      <c r="AF40" s="443"/>
      <c r="AG40" s="443"/>
      <c r="AH40" s="443"/>
      <c r="AI40" s="443"/>
      <c r="AJ40" s="443"/>
      <c r="AK40" s="443"/>
      <c r="AL40" s="443"/>
      <c r="AM40" s="444"/>
      <c r="AN40" s="433">
        <v>2</v>
      </c>
      <c r="AO40" s="433">
        <v>2</v>
      </c>
      <c r="AP40" s="433">
        <v>2</v>
      </c>
      <c r="AQ40" s="433">
        <v>2</v>
      </c>
      <c r="AR40" s="433">
        <v>2</v>
      </c>
      <c r="AS40" s="433">
        <v>2</v>
      </c>
      <c r="AT40" s="433">
        <v>2</v>
      </c>
      <c r="AU40" s="433">
        <v>2</v>
      </c>
      <c r="AV40" s="433">
        <v>2</v>
      </c>
      <c r="AW40" s="433">
        <v>2</v>
      </c>
      <c r="AX40" s="433">
        <v>2</v>
      </c>
      <c r="AY40" s="434">
        <v>2</v>
      </c>
      <c r="AZ40" s="435">
        <v>2</v>
      </c>
      <c r="BA40" s="256"/>
      <c r="BB40" s="257"/>
      <c r="BC40" s="1"/>
    </row>
    <row r="41" spans="2:55" ht="36.75" customHeight="1">
      <c r="B41" s="229"/>
      <c r="C41" s="237"/>
      <c r="D41" s="38" t="s">
        <v>44</v>
      </c>
      <c r="E41" s="246">
        <v>8</v>
      </c>
      <c r="F41" s="240"/>
      <c r="G41" s="508">
        <f>SUM(G37:Q40)</f>
        <v>4</v>
      </c>
      <c r="H41" s="509"/>
      <c r="I41" s="509"/>
      <c r="J41" s="509"/>
      <c r="K41" s="509"/>
      <c r="L41" s="509"/>
      <c r="M41" s="509"/>
      <c r="N41" s="509"/>
      <c r="O41" s="509"/>
      <c r="P41" s="509"/>
      <c r="Q41" s="510"/>
      <c r="R41" s="508">
        <f>SUM(R37:AB40)</f>
        <v>8</v>
      </c>
      <c r="S41" s="509"/>
      <c r="T41" s="509"/>
      <c r="U41" s="509"/>
      <c r="V41" s="509"/>
      <c r="W41" s="509"/>
      <c r="X41" s="509"/>
      <c r="Y41" s="509"/>
      <c r="Z41" s="509"/>
      <c r="AA41" s="509"/>
      <c r="AB41" s="510"/>
      <c r="AC41" s="508">
        <f>SUM(AC37:AM40)</f>
        <v>8</v>
      </c>
      <c r="AD41" s="509"/>
      <c r="AE41" s="509"/>
      <c r="AF41" s="509"/>
      <c r="AG41" s="509"/>
      <c r="AH41" s="509"/>
      <c r="AI41" s="509"/>
      <c r="AJ41" s="509"/>
      <c r="AK41" s="509"/>
      <c r="AL41" s="509"/>
      <c r="AM41" s="510"/>
      <c r="AN41" s="511">
        <f>SUM(AN37:AN40)</f>
        <v>8</v>
      </c>
      <c r="AO41" s="511">
        <f>SUM(AO37:AO40)</f>
        <v>8</v>
      </c>
      <c r="AP41" s="511">
        <f t="shared" ref="AO41:AZ41" si="27">SUM(AP37:AP40)</f>
        <v>8</v>
      </c>
      <c r="AQ41" s="511">
        <f t="shared" si="27"/>
        <v>8</v>
      </c>
      <c r="AR41" s="511">
        <f t="shared" si="27"/>
        <v>8</v>
      </c>
      <c r="AS41" s="511">
        <f t="shared" si="27"/>
        <v>8</v>
      </c>
      <c r="AT41" s="511">
        <f t="shared" si="27"/>
        <v>8</v>
      </c>
      <c r="AU41" s="511">
        <f t="shared" si="27"/>
        <v>8</v>
      </c>
      <c r="AV41" s="511">
        <f>SUM(AV37:AV40)</f>
        <v>8</v>
      </c>
      <c r="AW41" s="511">
        <f t="shared" si="27"/>
        <v>8</v>
      </c>
      <c r="AX41" s="511">
        <f t="shared" si="27"/>
        <v>8</v>
      </c>
      <c r="AY41" s="511">
        <f t="shared" si="27"/>
        <v>8</v>
      </c>
      <c r="AZ41" s="511">
        <f t="shared" si="27"/>
        <v>8</v>
      </c>
      <c r="BA41" s="256"/>
      <c r="BB41" s="257"/>
      <c r="BC41" s="1"/>
    </row>
    <row r="42" spans="2:55" ht="30.2" customHeight="1">
      <c r="B42" s="229"/>
      <c r="C42" s="237"/>
      <c r="D42" s="38" t="s">
        <v>62</v>
      </c>
      <c r="E42" s="239">
        <v>1</v>
      </c>
      <c r="F42" s="240"/>
      <c r="G42" s="241">
        <v>1</v>
      </c>
      <c r="H42" s="242"/>
      <c r="I42" s="242"/>
      <c r="J42" s="242"/>
      <c r="K42" s="242"/>
      <c r="L42" s="242"/>
      <c r="M42" s="242"/>
      <c r="N42" s="242"/>
      <c r="O42" s="242"/>
      <c r="P42" s="242"/>
      <c r="Q42" s="243"/>
      <c r="R42" s="241">
        <v>1</v>
      </c>
      <c r="S42" s="242"/>
      <c r="T42" s="242"/>
      <c r="U42" s="242"/>
      <c r="V42" s="242"/>
      <c r="W42" s="242"/>
      <c r="X42" s="242"/>
      <c r="Y42" s="242"/>
      <c r="Z42" s="242"/>
      <c r="AA42" s="242"/>
      <c r="AB42" s="243"/>
      <c r="AC42" s="241">
        <v>1</v>
      </c>
      <c r="AD42" s="242"/>
      <c r="AE42" s="242"/>
      <c r="AF42" s="242"/>
      <c r="AG42" s="242"/>
      <c r="AH42" s="242"/>
      <c r="AI42" s="242"/>
      <c r="AJ42" s="242"/>
      <c r="AK42" s="242"/>
      <c r="AL42" s="242"/>
      <c r="AM42" s="243"/>
      <c r="AN42" s="167">
        <v>1</v>
      </c>
      <c r="AO42" s="167">
        <v>1</v>
      </c>
      <c r="AP42" s="167">
        <v>1</v>
      </c>
      <c r="AQ42" s="167">
        <v>1</v>
      </c>
      <c r="AR42" s="167">
        <v>1</v>
      </c>
      <c r="AS42" s="167">
        <v>1</v>
      </c>
      <c r="AT42" s="167">
        <v>1</v>
      </c>
      <c r="AU42" s="167">
        <v>1</v>
      </c>
      <c r="AV42" s="167">
        <v>1</v>
      </c>
      <c r="AW42" s="167">
        <v>1</v>
      </c>
      <c r="AX42" s="167">
        <v>1</v>
      </c>
      <c r="AY42" s="167">
        <v>1</v>
      </c>
      <c r="AZ42" s="168">
        <v>1</v>
      </c>
      <c r="BA42" s="34" t="s">
        <v>164</v>
      </c>
      <c r="BB42" s="395">
        <v>1</v>
      </c>
      <c r="BC42" s="1"/>
    </row>
    <row r="43" spans="2:55" ht="30.2" customHeight="1" thickBot="1">
      <c r="B43" s="230"/>
      <c r="C43" s="238"/>
      <c r="D43" s="45" t="s">
        <v>46</v>
      </c>
      <c r="E43" s="226" t="s">
        <v>47</v>
      </c>
      <c r="F43" s="227"/>
      <c r="G43" s="486">
        <f>G41/E41</f>
        <v>0.5</v>
      </c>
      <c r="H43" s="487"/>
      <c r="I43" s="487"/>
      <c r="J43" s="487"/>
      <c r="K43" s="487"/>
      <c r="L43" s="487"/>
      <c r="M43" s="487"/>
      <c r="N43" s="487"/>
      <c r="O43" s="487"/>
      <c r="P43" s="487"/>
      <c r="Q43" s="488"/>
      <c r="R43" s="486">
        <f>R41/E41</f>
        <v>1</v>
      </c>
      <c r="S43" s="487"/>
      <c r="T43" s="487"/>
      <c r="U43" s="487"/>
      <c r="V43" s="487"/>
      <c r="W43" s="487"/>
      <c r="X43" s="487"/>
      <c r="Y43" s="487"/>
      <c r="Z43" s="487"/>
      <c r="AA43" s="487"/>
      <c r="AB43" s="488"/>
      <c r="AC43" s="489">
        <f>AC41/E41</f>
        <v>1</v>
      </c>
      <c r="AD43" s="490"/>
      <c r="AE43" s="490"/>
      <c r="AF43" s="490"/>
      <c r="AG43" s="490"/>
      <c r="AH43" s="490"/>
      <c r="AI43" s="490"/>
      <c r="AJ43" s="490"/>
      <c r="AK43" s="490"/>
      <c r="AL43" s="490"/>
      <c r="AM43" s="491"/>
      <c r="AN43" s="492">
        <f>AN41/E41</f>
        <v>1</v>
      </c>
      <c r="AO43" s="492">
        <f>AO41/E41</f>
        <v>1</v>
      </c>
      <c r="AP43" s="492">
        <f>AP41/E41</f>
        <v>1</v>
      </c>
      <c r="AQ43" s="492">
        <f>AQ41/E41</f>
        <v>1</v>
      </c>
      <c r="AR43" s="492">
        <f>AR41/E41</f>
        <v>1</v>
      </c>
      <c r="AS43" s="492">
        <f>AS41/E41</f>
        <v>1</v>
      </c>
      <c r="AT43" s="492">
        <f>AT41/E41</f>
        <v>1</v>
      </c>
      <c r="AU43" s="492">
        <f>AU41/E41</f>
        <v>1</v>
      </c>
      <c r="AV43" s="492">
        <f>AV41/E41</f>
        <v>1</v>
      </c>
      <c r="AW43" s="492">
        <f>AW41/E41</f>
        <v>1</v>
      </c>
      <c r="AX43" s="492">
        <f>AX41/E41</f>
        <v>1</v>
      </c>
      <c r="AY43" s="492">
        <f>AY41/E41</f>
        <v>1</v>
      </c>
      <c r="AZ43" s="492">
        <f>AZ41/E41</f>
        <v>1</v>
      </c>
      <c r="BA43" s="34" t="s">
        <v>165</v>
      </c>
      <c r="BB43" s="503">
        <f>SUM(G43:AZ43)/16</f>
        <v>0.96875</v>
      </c>
      <c r="BC43" s="1"/>
    </row>
    <row r="44" spans="2:55" ht="34.5" customHeight="1">
      <c r="B44" s="228">
        <v>5</v>
      </c>
      <c r="C44" s="236" t="s">
        <v>63</v>
      </c>
      <c r="D44" s="38" t="s">
        <v>64</v>
      </c>
      <c r="E44" s="252">
        <v>2</v>
      </c>
      <c r="F44" s="253"/>
      <c r="G44" s="446">
        <v>1</v>
      </c>
      <c r="H44" s="447"/>
      <c r="I44" s="447"/>
      <c r="J44" s="447"/>
      <c r="K44" s="447"/>
      <c r="L44" s="447"/>
      <c r="M44" s="447"/>
      <c r="N44" s="447"/>
      <c r="O44" s="447"/>
      <c r="P44" s="447"/>
      <c r="Q44" s="448"/>
      <c r="R44" s="446">
        <v>2</v>
      </c>
      <c r="S44" s="447"/>
      <c r="T44" s="447"/>
      <c r="U44" s="447"/>
      <c r="V44" s="447"/>
      <c r="W44" s="447"/>
      <c r="X44" s="447"/>
      <c r="Y44" s="447"/>
      <c r="Z44" s="447"/>
      <c r="AA44" s="447"/>
      <c r="AB44" s="448"/>
      <c r="AC44" s="446">
        <v>2</v>
      </c>
      <c r="AD44" s="447"/>
      <c r="AE44" s="447"/>
      <c r="AF44" s="447"/>
      <c r="AG44" s="447"/>
      <c r="AH44" s="447"/>
      <c r="AI44" s="447"/>
      <c r="AJ44" s="447"/>
      <c r="AK44" s="447"/>
      <c r="AL44" s="447"/>
      <c r="AM44" s="448"/>
      <c r="AN44" s="449">
        <v>2</v>
      </c>
      <c r="AO44" s="449">
        <v>2</v>
      </c>
      <c r="AP44" s="449">
        <v>2</v>
      </c>
      <c r="AQ44" s="449">
        <v>2</v>
      </c>
      <c r="AR44" s="449">
        <v>2</v>
      </c>
      <c r="AS44" s="449">
        <v>2</v>
      </c>
      <c r="AT44" s="449">
        <v>2</v>
      </c>
      <c r="AU44" s="449">
        <v>2</v>
      </c>
      <c r="AV44" s="449">
        <v>2</v>
      </c>
      <c r="AW44" s="449">
        <v>2</v>
      </c>
      <c r="AX44" s="449">
        <v>2</v>
      </c>
      <c r="AY44" s="450">
        <v>2</v>
      </c>
      <c r="AZ44" s="451">
        <v>2</v>
      </c>
      <c r="BA44" s="247"/>
      <c r="BB44" s="248"/>
      <c r="BC44" s="1"/>
    </row>
    <row r="45" spans="2:55" ht="34.5" customHeight="1">
      <c r="B45" s="229"/>
      <c r="C45" s="237"/>
      <c r="D45" s="41" t="s">
        <v>65</v>
      </c>
      <c r="E45" s="250">
        <v>2</v>
      </c>
      <c r="F45" s="251"/>
      <c r="G45" s="452">
        <v>1</v>
      </c>
      <c r="H45" s="453"/>
      <c r="I45" s="453"/>
      <c r="J45" s="453"/>
      <c r="K45" s="453"/>
      <c r="L45" s="453"/>
      <c r="M45" s="453"/>
      <c r="N45" s="453"/>
      <c r="O45" s="453"/>
      <c r="P45" s="453"/>
      <c r="Q45" s="454"/>
      <c r="R45" s="452">
        <v>2</v>
      </c>
      <c r="S45" s="453"/>
      <c r="T45" s="453"/>
      <c r="U45" s="453"/>
      <c r="V45" s="453"/>
      <c r="W45" s="453"/>
      <c r="X45" s="453"/>
      <c r="Y45" s="453"/>
      <c r="Z45" s="453"/>
      <c r="AA45" s="453"/>
      <c r="AB45" s="454"/>
      <c r="AC45" s="452">
        <v>2</v>
      </c>
      <c r="AD45" s="453"/>
      <c r="AE45" s="453"/>
      <c r="AF45" s="453"/>
      <c r="AG45" s="453"/>
      <c r="AH45" s="453"/>
      <c r="AI45" s="453"/>
      <c r="AJ45" s="453"/>
      <c r="AK45" s="453"/>
      <c r="AL45" s="453"/>
      <c r="AM45" s="454"/>
      <c r="AN45" s="449">
        <v>2</v>
      </c>
      <c r="AO45" s="449">
        <v>2</v>
      </c>
      <c r="AP45" s="449">
        <v>2</v>
      </c>
      <c r="AQ45" s="449">
        <v>2</v>
      </c>
      <c r="AR45" s="449">
        <v>2</v>
      </c>
      <c r="AS45" s="449">
        <v>2</v>
      </c>
      <c r="AT45" s="449">
        <v>2</v>
      </c>
      <c r="AU45" s="449">
        <v>2</v>
      </c>
      <c r="AV45" s="449">
        <v>2</v>
      </c>
      <c r="AW45" s="449">
        <v>2</v>
      </c>
      <c r="AX45" s="449">
        <v>2</v>
      </c>
      <c r="AY45" s="450">
        <v>2</v>
      </c>
      <c r="AZ45" s="451">
        <v>2</v>
      </c>
      <c r="BA45" s="249"/>
      <c r="BB45" s="225"/>
      <c r="BC45" s="1"/>
    </row>
    <row r="46" spans="2:55" ht="30.2" customHeight="1">
      <c r="B46" s="229"/>
      <c r="C46" s="237"/>
      <c r="D46" s="38" t="s">
        <v>44</v>
      </c>
      <c r="E46" s="250">
        <v>4</v>
      </c>
      <c r="F46" s="251"/>
      <c r="G46" s="504">
        <v>2</v>
      </c>
      <c r="H46" s="505"/>
      <c r="I46" s="505"/>
      <c r="J46" s="505"/>
      <c r="K46" s="505"/>
      <c r="L46" s="505"/>
      <c r="M46" s="505"/>
      <c r="N46" s="505"/>
      <c r="O46" s="505"/>
      <c r="P46" s="505"/>
      <c r="Q46" s="506"/>
      <c r="R46" s="504">
        <v>4</v>
      </c>
      <c r="S46" s="505"/>
      <c r="T46" s="505"/>
      <c r="U46" s="505"/>
      <c r="V46" s="505"/>
      <c r="W46" s="505"/>
      <c r="X46" s="505"/>
      <c r="Y46" s="505"/>
      <c r="Z46" s="505"/>
      <c r="AA46" s="505"/>
      <c r="AB46" s="506"/>
      <c r="AC46" s="504">
        <v>4</v>
      </c>
      <c r="AD46" s="505"/>
      <c r="AE46" s="505"/>
      <c r="AF46" s="505"/>
      <c r="AG46" s="505"/>
      <c r="AH46" s="505"/>
      <c r="AI46" s="505"/>
      <c r="AJ46" s="505"/>
      <c r="AK46" s="505"/>
      <c r="AL46" s="505"/>
      <c r="AM46" s="506"/>
      <c r="AN46" s="507">
        <v>4</v>
      </c>
      <c r="AO46" s="507">
        <v>4</v>
      </c>
      <c r="AP46" s="507">
        <v>4</v>
      </c>
      <c r="AQ46" s="507">
        <v>4</v>
      </c>
      <c r="AR46" s="507">
        <v>4</v>
      </c>
      <c r="AS46" s="507">
        <v>4</v>
      </c>
      <c r="AT46" s="507">
        <v>4</v>
      </c>
      <c r="AU46" s="507">
        <v>4</v>
      </c>
      <c r="AV46" s="507">
        <v>4</v>
      </c>
      <c r="AW46" s="507">
        <v>4</v>
      </c>
      <c r="AX46" s="507">
        <v>4</v>
      </c>
      <c r="AY46" s="507">
        <v>4</v>
      </c>
      <c r="AZ46" s="507">
        <v>4</v>
      </c>
      <c r="BA46" s="249"/>
      <c r="BB46" s="225"/>
      <c r="BC46" s="1"/>
    </row>
    <row r="47" spans="2:55" ht="33" customHeight="1">
      <c r="B47" s="229"/>
      <c r="C47" s="237"/>
      <c r="D47" s="41" t="s">
        <v>45</v>
      </c>
      <c r="E47" s="239">
        <v>1</v>
      </c>
      <c r="F47" s="240"/>
      <c r="G47" s="241">
        <v>1</v>
      </c>
      <c r="H47" s="242"/>
      <c r="I47" s="242"/>
      <c r="J47" s="242"/>
      <c r="K47" s="242"/>
      <c r="L47" s="242"/>
      <c r="M47" s="242"/>
      <c r="N47" s="242"/>
      <c r="O47" s="242"/>
      <c r="P47" s="242"/>
      <c r="Q47" s="243"/>
      <c r="R47" s="241">
        <v>1</v>
      </c>
      <c r="S47" s="242"/>
      <c r="T47" s="242"/>
      <c r="U47" s="242"/>
      <c r="V47" s="242"/>
      <c r="W47" s="242"/>
      <c r="X47" s="242"/>
      <c r="Y47" s="242"/>
      <c r="Z47" s="242"/>
      <c r="AA47" s="242"/>
      <c r="AB47" s="243"/>
      <c r="AC47" s="241">
        <v>1</v>
      </c>
      <c r="AD47" s="242"/>
      <c r="AE47" s="242"/>
      <c r="AF47" s="242"/>
      <c r="AG47" s="242"/>
      <c r="AH47" s="242"/>
      <c r="AI47" s="242"/>
      <c r="AJ47" s="242"/>
      <c r="AK47" s="242"/>
      <c r="AL47" s="242"/>
      <c r="AM47" s="243"/>
      <c r="AN47" s="167">
        <v>1</v>
      </c>
      <c r="AO47" s="167">
        <v>1</v>
      </c>
      <c r="AP47" s="167">
        <v>1</v>
      </c>
      <c r="AQ47" s="167">
        <v>1</v>
      </c>
      <c r="AR47" s="167">
        <v>1</v>
      </c>
      <c r="AS47" s="167">
        <v>1</v>
      </c>
      <c r="AT47" s="167">
        <v>1</v>
      </c>
      <c r="AU47" s="167">
        <v>1</v>
      </c>
      <c r="AV47" s="167">
        <v>1</v>
      </c>
      <c r="AW47" s="167">
        <v>1</v>
      </c>
      <c r="AX47" s="167">
        <v>1</v>
      </c>
      <c r="AY47" s="167">
        <v>1</v>
      </c>
      <c r="AZ47" s="168">
        <v>1</v>
      </c>
      <c r="BA47" s="42" t="s">
        <v>164</v>
      </c>
      <c r="BB47" s="395">
        <v>1</v>
      </c>
      <c r="BC47" s="1"/>
    </row>
    <row r="48" spans="2:55" ht="30.2" customHeight="1" thickBot="1">
      <c r="B48" s="230"/>
      <c r="C48" s="238"/>
      <c r="D48" s="46" t="s">
        <v>66</v>
      </c>
      <c r="E48" s="226" t="s">
        <v>47</v>
      </c>
      <c r="F48" s="227"/>
      <c r="G48" s="486">
        <f>G46/E46</f>
        <v>0.5</v>
      </c>
      <c r="H48" s="487"/>
      <c r="I48" s="487"/>
      <c r="J48" s="487"/>
      <c r="K48" s="487"/>
      <c r="L48" s="487"/>
      <c r="M48" s="487"/>
      <c r="N48" s="487"/>
      <c r="O48" s="487"/>
      <c r="P48" s="487"/>
      <c r="Q48" s="488"/>
      <c r="R48" s="486">
        <f>R46/E46</f>
        <v>1</v>
      </c>
      <c r="S48" s="487"/>
      <c r="T48" s="487"/>
      <c r="U48" s="487"/>
      <c r="V48" s="487"/>
      <c r="W48" s="487"/>
      <c r="X48" s="487"/>
      <c r="Y48" s="487"/>
      <c r="Z48" s="487"/>
      <c r="AA48" s="487"/>
      <c r="AB48" s="488"/>
      <c r="AC48" s="489">
        <f>AC46/E46</f>
        <v>1</v>
      </c>
      <c r="AD48" s="490"/>
      <c r="AE48" s="490"/>
      <c r="AF48" s="490"/>
      <c r="AG48" s="490"/>
      <c r="AH48" s="490"/>
      <c r="AI48" s="490"/>
      <c r="AJ48" s="490"/>
      <c r="AK48" s="490"/>
      <c r="AL48" s="490"/>
      <c r="AM48" s="491"/>
      <c r="AN48" s="492">
        <f>AN46/E46</f>
        <v>1</v>
      </c>
      <c r="AO48" s="492">
        <f>AO46/E46</f>
        <v>1</v>
      </c>
      <c r="AP48" s="492">
        <f>AP46/E46</f>
        <v>1</v>
      </c>
      <c r="AQ48" s="492">
        <f>AQ46/E46</f>
        <v>1</v>
      </c>
      <c r="AR48" s="492">
        <f>AR46/E46</f>
        <v>1</v>
      </c>
      <c r="AS48" s="492">
        <f>AS46/E46</f>
        <v>1</v>
      </c>
      <c r="AT48" s="492">
        <f>AT46/E46</f>
        <v>1</v>
      </c>
      <c r="AU48" s="492">
        <f>AU46/E46</f>
        <v>1</v>
      </c>
      <c r="AV48" s="492">
        <f>AV46/E46</f>
        <v>1</v>
      </c>
      <c r="AW48" s="492">
        <f>AW46/E46</f>
        <v>1</v>
      </c>
      <c r="AX48" s="492">
        <f>AX46/E46</f>
        <v>1</v>
      </c>
      <c r="AY48" s="492">
        <f>AY46/E46</f>
        <v>1</v>
      </c>
      <c r="AZ48" s="492">
        <f>AZ46/E46</f>
        <v>1</v>
      </c>
      <c r="BA48" s="36" t="s">
        <v>163</v>
      </c>
      <c r="BB48" s="503">
        <f>SUM(G48:AZ48)/16</f>
        <v>0.96875</v>
      </c>
      <c r="BC48" s="1"/>
    </row>
    <row r="49" spans="2:55" ht="30.2" customHeight="1">
      <c r="B49" s="47"/>
      <c r="C49" s="48"/>
      <c r="D49" s="49" t="s">
        <v>67</v>
      </c>
      <c r="E49" s="49"/>
      <c r="F49" s="50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2"/>
      <c r="BC49" s="1"/>
    </row>
    <row r="50" spans="2:55" ht="30.2" customHeight="1" thickBot="1">
      <c r="B50" s="47"/>
      <c r="C50" s="48"/>
      <c r="D50" s="53"/>
      <c r="E50" s="49"/>
      <c r="F50" s="50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2"/>
      <c r="BC50" s="1"/>
    </row>
    <row r="51" spans="2:55" ht="30.2" customHeight="1">
      <c r="B51" s="228">
        <v>6</v>
      </c>
      <c r="C51" s="231" t="s">
        <v>68</v>
      </c>
      <c r="D51" s="54" t="s">
        <v>69</v>
      </c>
      <c r="E51" s="234" t="s">
        <v>0</v>
      </c>
      <c r="F51" s="235"/>
      <c r="G51" s="477">
        <v>46023</v>
      </c>
      <c r="H51" s="478"/>
      <c r="I51" s="477">
        <v>46024</v>
      </c>
      <c r="J51" s="478"/>
      <c r="K51" s="477">
        <v>46025</v>
      </c>
      <c r="L51" s="478"/>
      <c r="M51" s="477">
        <v>46026</v>
      </c>
      <c r="N51" s="478"/>
      <c r="O51" s="477">
        <v>46027</v>
      </c>
      <c r="P51" s="478"/>
      <c r="Q51" s="477">
        <v>46028</v>
      </c>
      <c r="R51" s="478"/>
      <c r="S51" s="477">
        <v>46029</v>
      </c>
      <c r="T51" s="478"/>
      <c r="U51" s="477">
        <v>46030</v>
      </c>
      <c r="V51" s="478"/>
      <c r="W51" s="477">
        <v>46031</v>
      </c>
      <c r="X51" s="478"/>
      <c r="Y51" s="477">
        <v>46032</v>
      </c>
      <c r="Z51" s="478"/>
      <c r="AA51" s="477">
        <v>46033</v>
      </c>
      <c r="AB51" s="478"/>
      <c r="AC51" s="477">
        <v>46034</v>
      </c>
      <c r="AD51" s="478"/>
      <c r="AE51" s="477">
        <v>46035</v>
      </c>
      <c r="AF51" s="478"/>
      <c r="AG51" s="477">
        <v>46036</v>
      </c>
      <c r="AH51" s="478"/>
      <c r="AI51" s="477">
        <v>46037</v>
      </c>
      <c r="AJ51" s="478"/>
      <c r="AK51" s="477">
        <v>46038</v>
      </c>
      <c r="AL51" s="478"/>
      <c r="AM51" s="244" t="s">
        <v>70</v>
      </c>
      <c r="AN51" s="245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2"/>
      <c r="BC51" s="1"/>
    </row>
    <row r="52" spans="2:55" ht="34.5" customHeight="1">
      <c r="B52" s="229"/>
      <c r="C52" s="232"/>
      <c r="D52" s="38" t="s">
        <v>45</v>
      </c>
      <c r="E52" s="239">
        <v>1</v>
      </c>
      <c r="F52" s="240"/>
      <c r="G52" s="455">
        <v>1</v>
      </c>
      <c r="H52" s="456"/>
      <c r="I52" s="455">
        <v>1</v>
      </c>
      <c r="J52" s="456"/>
      <c r="K52" s="455">
        <v>1</v>
      </c>
      <c r="L52" s="456"/>
      <c r="M52" s="455">
        <v>1</v>
      </c>
      <c r="N52" s="456"/>
      <c r="O52" s="455">
        <v>1</v>
      </c>
      <c r="P52" s="456"/>
      <c r="Q52" s="455">
        <v>1</v>
      </c>
      <c r="R52" s="456"/>
      <c r="S52" s="455">
        <v>1</v>
      </c>
      <c r="T52" s="456"/>
      <c r="U52" s="455">
        <v>1</v>
      </c>
      <c r="V52" s="456"/>
      <c r="W52" s="455">
        <v>1</v>
      </c>
      <c r="X52" s="456"/>
      <c r="Y52" s="455">
        <v>1</v>
      </c>
      <c r="Z52" s="456"/>
      <c r="AA52" s="455">
        <v>1</v>
      </c>
      <c r="AB52" s="456"/>
      <c r="AC52" s="455">
        <v>1</v>
      </c>
      <c r="AD52" s="456"/>
      <c r="AE52" s="455">
        <v>1</v>
      </c>
      <c r="AF52" s="456"/>
      <c r="AG52" s="455">
        <v>1</v>
      </c>
      <c r="AH52" s="456"/>
      <c r="AI52" s="455">
        <v>1</v>
      </c>
      <c r="AJ52" s="456"/>
      <c r="AK52" s="455">
        <v>1</v>
      </c>
      <c r="AL52" s="456"/>
      <c r="AM52" s="239">
        <f>AVERAGE(G52:AL52)</f>
        <v>1</v>
      </c>
      <c r="AN52" s="240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224"/>
      <c r="BB52" s="225"/>
      <c r="BC52" s="1"/>
    </row>
    <row r="53" spans="2:55" ht="30.2" customHeight="1" thickBot="1">
      <c r="B53" s="230"/>
      <c r="C53" s="233"/>
      <c r="D53" s="46" t="s">
        <v>66</v>
      </c>
      <c r="E53" s="226" t="s">
        <v>47</v>
      </c>
      <c r="F53" s="227"/>
      <c r="G53" s="457">
        <v>1</v>
      </c>
      <c r="H53" s="458"/>
      <c r="I53" s="457">
        <v>1</v>
      </c>
      <c r="J53" s="458"/>
      <c r="K53" s="457">
        <v>1</v>
      </c>
      <c r="L53" s="458"/>
      <c r="M53" s="457">
        <v>1</v>
      </c>
      <c r="N53" s="458"/>
      <c r="O53" s="457">
        <v>1</v>
      </c>
      <c r="P53" s="458"/>
      <c r="Q53" s="457">
        <v>1</v>
      </c>
      <c r="R53" s="458"/>
      <c r="S53" s="457">
        <v>1</v>
      </c>
      <c r="T53" s="458"/>
      <c r="U53" s="457">
        <v>1</v>
      </c>
      <c r="V53" s="458"/>
      <c r="W53" s="457">
        <v>1</v>
      </c>
      <c r="X53" s="458"/>
      <c r="Y53" s="457">
        <v>1</v>
      </c>
      <c r="Z53" s="458"/>
      <c r="AA53" s="457">
        <v>1</v>
      </c>
      <c r="AB53" s="458"/>
      <c r="AC53" s="457">
        <v>1</v>
      </c>
      <c r="AD53" s="458"/>
      <c r="AE53" s="457">
        <v>1</v>
      </c>
      <c r="AF53" s="458"/>
      <c r="AG53" s="457">
        <v>1</v>
      </c>
      <c r="AH53" s="458"/>
      <c r="AI53" s="457">
        <v>1</v>
      </c>
      <c r="AJ53" s="458"/>
      <c r="AK53" s="457">
        <v>1</v>
      </c>
      <c r="AL53" s="458"/>
      <c r="AM53" s="239">
        <f>AVERAGE(G53:AL53)</f>
        <v>1</v>
      </c>
      <c r="AN53" s="240"/>
      <c r="AQ53" s="57"/>
      <c r="AR53" s="58"/>
      <c r="AS53" s="58"/>
      <c r="AT53" s="58"/>
      <c r="AU53" s="58"/>
      <c r="AV53" s="58"/>
      <c r="AW53" s="58"/>
      <c r="AX53" s="58"/>
      <c r="AY53" s="58"/>
      <c r="AZ53" s="58"/>
      <c r="BA53" s="59"/>
      <c r="BB53" s="60"/>
      <c r="BC53" s="1"/>
    </row>
    <row r="54" spans="2:55" ht="30.2" customHeight="1" thickBot="1">
      <c r="B54" s="47"/>
      <c r="C54" s="61"/>
      <c r="D54" s="62"/>
      <c r="E54" s="63"/>
      <c r="F54" s="63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5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9"/>
      <c r="BB54" s="60"/>
      <c r="BC54" s="1"/>
    </row>
    <row r="55" spans="2:55" ht="27" customHeight="1">
      <c r="B55" s="197"/>
      <c r="C55" s="66"/>
      <c r="D55" s="49" t="s">
        <v>71</v>
      </c>
      <c r="E55" s="66"/>
      <c r="F55" s="67"/>
      <c r="G55" s="66"/>
      <c r="H55" s="66"/>
      <c r="I55" s="66"/>
      <c r="J55" s="66"/>
      <c r="K55" s="66"/>
      <c r="X55" s="198" t="s">
        <v>72</v>
      </c>
      <c r="Y55" s="199"/>
      <c r="Z55" s="199"/>
      <c r="AA55" s="199"/>
      <c r="AB55" s="199"/>
      <c r="AC55" s="199"/>
      <c r="AD55" s="199"/>
      <c r="AE55" s="199"/>
      <c r="AF55" s="199"/>
      <c r="AG55" s="200"/>
      <c r="AH55" s="66"/>
      <c r="AI55" s="66"/>
      <c r="AJ55" s="66"/>
      <c r="AK55" s="68" t="s">
        <v>73</v>
      </c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70"/>
      <c r="BA55" s="66"/>
      <c r="BB55" s="71"/>
      <c r="BC55" s="1"/>
    </row>
    <row r="56" spans="2:55" ht="27" customHeight="1">
      <c r="B56" s="197"/>
      <c r="C56" s="66"/>
      <c r="D56" s="66"/>
      <c r="E56" s="66"/>
      <c r="F56" s="67"/>
      <c r="G56" s="66"/>
      <c r="H56" s="66"/>
      <c r="I56" s="66"/>
      <c r="J56" s="66"/>
      <c r="K56" s="66"/>
      <c r="X56" s="72">
        <v>0</v>
      </c>
      <c r="Y56" s="201" t="s">
        <v>74</v>
      </c>
      <c r="Z56" s="202"/>
      <c r="AA56" s="202"/>
      <c r="AB56" s="202"/>
      <c r="AC56" s="202"/>
      <c r="AD56" s="202"/>
      <c r="AE56" s="202"/>
      <c r="AF56" s="202"/>
      <c r="AG56" s="203"/>
      <c r="AH56" s="66"/>
      <c r="AI56" s="66"/>
      <c r="AJ56" s="66"/>
      <c r="AK56" s="73">
        <v>0</v>
      </c>
      <c r="AL56" s="74" t="s">
        <v>75</v>
      </c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6"/>
      <c r="BA56" s="66"/>
      <c r="BB56" s="71"/>
      <c r="BC56" s="1"/>
    </row>
    <row r="57" spans="2:55" ht="27" customHeight="1">
      <c r="B57" s="197"/>
      <c r="C57" s="66"/>
      <c r="D57" s="66"/>
      <c r="E57" s="66"/>
      <c r="F57" s="67"/>
      <c r="G57" s="66"/>
      <c r="H57" s="66"/>
      <c r="I57" s="66"/>
      <c r="J57" s="66"/>
      <c r="K57" s="66"/>
      <c r="X57" s="72">
        <v>1</v>
      </c>
      <c r="Y57" s="201" t="s">
        <v>76</v>
      </c>
      <c r="Z57" s="202"/>
      <c r="AA57" s="202"/>
      <c r="AB57" s="202"/>
      <c r="AC57" s="202"/>
      <c r="AD57" s="202"/>
      <c r="AE57" s="202"/>
      <c r="AF57" s="202"/>
      <c r="AG57" s="203"/>
      <c r="AH57" s="66"/>
      <c r="AI57" s="66"/>
      <c r="AJ57" s="66"/>
      <c r="AK57" s="73">
        <v>1</v>
      </c>
      <c r="AL57" s="74" t="s">
        <v>77</v>
      </c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6"/>
      <c r="BA57" s="66"/>
      <c r="BB57" s="71"/>
      <c r="BC57" s="1"/>
    </row>
    <row r="58" spans="2:55" ht="27" customHeight="1" thickBot="1">
      <c r="B58" s="197"/>
      <c r="C58" s="66"/>
      <c r="D58" s="66"/>
      <c r="E58" s="66"/>
      <c r="F58" s="67"/>
      <c r="G58" s="66"/>
      <c r="H58" s="66"/>
      <c r="I58" s="66"/>
      <c r="J58" s="66"/>
      <c r="K58" s="66"/>
      <c r="X58" s="77">
        <v>2</v>
      </c>
      <c r="Y58" s="201" t="s">
        <v>78</v>
      </c>
      <c r="Z58" s="202"/>
      <c r="AA58" s="202"/>
      <c r="AB58" s="202"/>
      <c r="AC58" s="202"/>
      <c r="AD58" s="202"/>
      <c r="AE58" s="202"/>
      <c r="AF58" s="202"/>
      <c r="AG58" s="203"/>
      <c r="AH58" s="66"/>
      <c r="AI58" s="66"/>
      <c r="AJ58" s="66"/>
      <c r="AK58" s="78">
        <v>2</v>
      </c>
      <c r="AL58" s="79" t="s">
        <v>79</v>
      </c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1"/>
      <c r="BA58" s="66"/>
      <c r="BB58" s="71"/>
      <c r="BC58" s="1"/>
    </row>
    <row r="59" spans="2:55" ht="9" customHeight="1">
      <c r="B59" s="197"/>
      <c r="C59" s="66"/>
      <c r="D59" s="66"/>
      <c r="E59" s="66"/>
      <c r="F59" s="67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3"/>
      <c r="BC59" s="1"/>
    </row>
    <row r="60" spans="2:55" s="67" customFormat="1" ht="18">
      <c r="B60" s="20"/>
      <c r="C60" s="19"/>
      <c r="D60" s="84"/>
      <c r="E60" s="84"/>
      <c r="F60" s="85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87"/>
      <c r="BC60" s="1"/>
    </row>
    <row r="61" spans="2:55" s="67" customFormat="1" ht="18.75" thickBot="1">
      <c r="B61" s="20"/>
      <c r="C61" s="19"/>
      <c r="D61" s="49"/>
      <c r="E61" s="49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19"/>
      <c r="BA61" s="222"/>
      <c r="BB61" s="223"/>
      <c r="BC61" s="1"/>
    </row>
    <row r="62" spans="2:55" s="94" customFormat="1" ht="63.75" customHeight="1">
      <c r="B62" s="88"/>
      <c r="C62" s="190" t="s">
        <v>14</v>
      </c>
      <c r="D62" s="192" t="s">
        <v>80</v>
      </c>
      <c r="E62" s="89"/>
      <c r="F62" s="194" t="s">
        <v>81</v>
      </c>
      <c r="G62" s="195"/>
      <c r="H62" s="194" t="s">
        <v>82</v>
      </c>
      <c r="I62" s="196"/>
      <c r="J62" s="195"/>
      <c r="K62" s="194" t="s">
        <v>83</v>
      </c>
      <c r="L62" s="196"/>
      <c r="M62" s="195"/>
      <c r="N62" s="194" t="s">
        <v>84</v>
      </c>
      <c r="O62" s="196"/>
      <c r="P62" s="195"/>
      <c r="Q62" s="204" t="s">
        <v>85</v>
      </c>
      <c r="R62" s="205"/>
      <c r="S62" s="206"/>
      <c r="T62" s="207" t="s">
        <v>86</v>
      </c>
      <c r="U62" s="208"/>
      <c r="V62" s="209"/>
      <c r="W62" s="90"/>
      <c r="X62" s="90"/>
      <c r="Y62" s="90"/>
      <c r="Z62" s="90"/>
      <c r="AA62" s="90"/>
      <c r="AB62" s="90"/>
      <c r="AC62" s="90"/>
      <c r="AD62" s="90"/>
      <c r="AE62" s="90"/>
      <c r="AF62" s="210" t="s">
        <v>87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2"/>
      <c r="BA62" s="91"/>
      <c r="BB62" s="92"/>
      <c r="BC62" s="93"/>
    </row>
    <row r="63" spans="2:55" s="94" customFormat="1" ht="18" customHeight="1">
      <c r="B63" s="88"/>
      <c r="C63" s="191"/>
      <c r="D63" s="193"/>
      <c r="E63" s="95"/>
      <c r="F63" s="219" t="s">
        <v>88</v>
      </c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1"/>
      <c r="W63" s="91"/>
      <c r="X63" s="91"/>
      <c r="Y63" s="91"/>
      <c r="Z63" s="91"/>
      <c r="AA63" s="91"/>
      <c r="AB63" s="91"/>
      <c r="AC63" s="91"/>
      <c r="AD63" s="91"/>
      <c r="AE63" s="91"/>
      <c r="AF63" s="213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  <c r="AX63" s="214"/>
      <c r="AY63" s="214"/>
      <c r="AZ63" s="215"/>
      <c r="BA63" s="91"/>
      <c r="BB63" s="92"/>
      <c r="BC63" s="93"/>
    </row>
    <row r="64" spans="2:55" s="94" customFormat="1" ht="35.450000000000003" customHeight="1">
      <c r="B64" s="88"/>
      <c r="C64" s="33" t="s">
        <v>89</v>
      </c>
      <c r="D64" s="96">
        <v>0.4</v>
      </c>
      <c r="E64" s="97"/>
      <c r="F64" s="184" t="s">
        <v>90</v>
      </c>
      <c r="G64" s="185"/>
      <c r="H64" s="184" t="s">
        <v>91</v>
      </c>
      <c r="I64" s="186"/>
      <c r="J64" s="185"/>
      <c r="K64" s="184" t="s">
        <v>92</v>
      </c>
      <c r="L64" s="186"/>
      <c r="M64" s="185"/>
      <c r="N64" s="184" t="s">
        <v>93</v>
      </c>
      <c r="O64" s="186"/>
      <c r="P64" s="185"/>
      <c r="Q64" s="459">
        <f>BB24</f>
        <v>0.95833333333333337</v>
      </c>
      <c r="R64" s="460"/>
      <c r="S64" s="461"/>
      <c r="T64" s="462">
        <f>Q64*0.4</f>
        <v>0.38333333333333336</v>
      </c>
      <c r="U64" s="463"/>
      <c r="V64" s="464"/>
      <c r="W64" s="90"/>
      <c r="X64" s="90"/>
      <c r="Y64" s="90"/>
      <c r="Z64" s="90"/>
      <c r="AA64" s="90"/>
      <c r="AB64" s="90"/>
      <c r="AC64" s="90"/>
      <c r="AD64" s="90"/>
      <c r="AE64" s="90"/>
      <c r="AF64" s="213"/>
      <c r="AG64" s="214"/>
      <c r="AH64" s="214"/>
      <c r="AI64" s="214"/>
      <c r="AJ64" s="214"/>
      <c r="AK64" s="214"/>
      <c r="AL64" s="214"/>
      <c r="AM64" s="214"/>
      <c r="AN64" s="214"/>
      <c r="AO64" s="214"/>
      <c r="AP64" s="214"/>
      <c r="AQ64" s="214"/>
      <c r="AR64" s="214"/>
      <c r="AS64" s="214"/>
      <c r="AT64" s="214"/>
      <c r="AU64" s="214"/>
      <c r="AV64" s="214"/>
      <c r="AW64" s="214"/>
      <c r="AX64" s="214"/>
      <c r="AY64" s="214"/>
      <c r="AZ64" s="215"/>
      <c r="BA64" s="91"/>
      <c r="BB64" s="92"/>
      <c r="BC64" s="93"/>
    </row>
    <row r="65" spans="2:55" s="94" customFormat="1" ht="35.450000000000003" customHeight="1" thickBot="1">
      <c r="B65" s="88"/>
      <c r="C65" s="33" t="s">
        <v>94</v>
      </c>
      <c r="D65" s="96">
        <v>0.2</v>
      </c>
      <c r="E65" s="97"/>
      <c r="F65" s="184" t="s">
        <v>90</v>
      </c>
      <c r="G65" s="185"/>
      <c r="H65" s="184" t="s">
        <v>91</v>
      </c>
      <c r="I65" s="186"/>
      <c r="J65" s="185"/>
      <c r="K65" s="184" t="s">
        <v>92</v>
      </c>
      <c r="L65" s="186"/>
      <c r="M65" s="185"/>
      <c r="N65" s="184" t="s">
        <v>93</v>
      </c>
      <c r="O65" s="186"/>
      <c r="P65" s="185"/>
      <c r="Q65" s="459">
        <f>BB32</f>
        <v>0.96875</v>
      </c>
      <c r="R65" s="460"/>
      <c r="S65" s="461"/>
      <c r="T65" s="462">
        <f>Q65*0.2</f>
        <v>0.19375000000000001</v>
      </c>
      <c r="U65" s="463"/>
      <c r="V65" s="464"/>
      <c r="W65" s="90"/>
      <c r="X65" s="90"/>
      <c r="Y65" s="90"/>
      <c r="Z65" s="90"/>
      <c r="AA65" s="90"/>
      <c r="AB65" s="90"/>
      <c r="AC65" s="90"/>
      <c r="AD65" s="90"/>
      <c r="AE65" s="90"/>
      <c r="AF65" s="216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8"/>
      <c r="BA65" s="91"/>
      <c r="BB65" s="92"/>
      <c r="BC65" s="93"/>
    </row>
    <row r="66" spans="2:55" s="94" customFormat="1" ht="35.450000000000003" customHeight="1" thickBot="1">
      <c r="B66" s="88"/>
      <c r="C66" s="33" t="s">
        <v>95</v>
      </c>
      <c r="D66" s="96">
        <v>0.1</v>
      </c>
      <c r="E66" s="97"/>
      <c r="F66" s="184" t="s">
        <v>96</v>
      </c>
      <c r="G66" s="185"/>
      <c r="H66" s="184" t="s">
        <v>92</v>
      </c>
      <c r="I66" s="186"/>
      <c r="J66" s="185"/>
      <c r="K66" s="184" t="s">
        <v>97</v>
      </c>
      <c r="L66" s="186"/>
      <c r="M66" s="185"/>
      <c r="N66" s="184">
        <v>100</v>
      </c>
      <c r="O66" s="186"/>
      <c r="P66" s="185"/>
      <c r="Q66" s="459">
        <f>BB36</f>
        <v>0.96875</v>
      </c>
      <c r="R66" s="460"/>
      <c r="S66" s="461"/>
      <c r="T66" s="462">
        <f>Q66*0.1</f>
        <v>9.6875000000000003E-2</v>
      </c>
      <c r="U66" s="463"/>
      <c r="V66" s="464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1"/>
      <c r="BA66" s="91"/>
      <c r="BB66" s="92"/>
      <c r="BC66" s="93"/>
    </row>
    <row r="67" spans="2:55" s="94" customFormat="1" ht="35.450000000000003" customHeight="1">
      <c r="B67" s="88"/>
      <c r="C67" s="98" t="s">
        <v>57</v>
      </c>
      <c r="D67" s="96">
        <v>0.1</v>
      </c>
      <c r="E67" s="97"/>
      <c r="F67" s="184" t="s">
        <v>98</v>
      </c>
      <c r="G67" s="185"/>
      <c r="H67" s="184" t="s">
        <v>99</v>
      </c>
      <c r="I67" s="186"/>
      <c r="J67" s="185"/>
      <c r="K67" s="184" t="s">
        <v>91</v>
      </c>
      <c r="L67" s="186"/>
      <c r="M67" s="185"/>
      <c r="N67" s="184" t="s">
        <v>100</v>
      </c>
      <c r="O67" s="186"/>
      <c r="P67" s="185"/>
      <c r="Q67" s="459">
        <f>BB43</f>
        <v>0.96875</v>
      </c>
      <c r="R67" s="460"/>
      <c r="S67" s="461"/>
      <c r="T67" s="462">
        <f>Q67*0.1</f>
        <v>9.6875000000000003E-2</v>
      </c>
      <c r="U67" s="463"/>
      <c r="V67" s="464"/>
      <c r="W67" s="90"/>
      <c r="X67" s="90"/>
      <c r="Y67" s="90"/>
      <c r="Z67" s="90"/>
      <c r="AA67" s="90"/>
      <c r="AB67" s="90"/>
      <c r="AC67" s="90"/>
      <c r="AD67" s="90"/>
      <c r="AE67" s="90"/>
      <c r="AF67" s="175" t="s">
        <v>101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6"/>
      <c r="AS67" s="176"/>
      <c r="AT67" s="176"/>
      <c r="AU67" s="176"/>
      <c r="AV67" s="176"/>
      <c r="AW67" s="176"/>
      <c r="AX67" s="176"/>
      <c r="AY67" s="176"/>
      <c r="AZ67" s="177"/>
      <c r="BA67" s="99"/>
      <c r="BB67" s="92"/>
      <c r="BC67" s="93"/>
    </row>
    <row r="68" spans="2:55" s="94" customFormat="1" ht="35.450000000000003" customHeight="1">
      <c r="B68" s="88"/>
      <c r="C68" s="98" t="s">
        <v>102</v>
      </c>
      <c r="D68" s="100">
        <v>0.1</v>
      </c>
      <c r="E68" s="101"/>
      <c r="F68" s="184" t="s">
        <v>103</v>
      </c>
      <c r="G68" s="185"/>
      <c r="H68" s="184" t="s">
        <v>104</v>
      </c>
      <c r="I68" s="186"/>
      <c r="J68" s="185"/>
      <c r="K68" s="184" t="s">
        <v>105</v>
      </c>
      <c r="L68" s="186"/>
      <c r="M68" s="185"/>
      <c r="N68" s="184">
        <v>100</v>
      </c>
      <c r="O68" s="186"/>
      <c r="P68" s="185"/>
      <c r="Q68" s="459">
        <f>BB48</f>
        <v>0.96875</v>
      </c>
      <c r="R68" s="460"/>
      <c r="S68" s="461"/>
      <c r="T68" s="462">
        <f>Q68*0.1</f>
        <v>9.6875000000000003E-2</v>
      </c>
      <c r="U68" s="463"/>
      <c r="V68" s="464"/>
      <c r="W68" s="90"/>
      <c r="X68" s="90"/>
      <c r="Y68" s="90"/>
      <c r="Z68" s="90"/>
      <c r="AA68" s="90"/>
      <c r="AB68" s="90"/>
      <c r="AC68" s="90"/>
      <c r="AD68" s="90"/>
      <c r="AE68" s="90"/>
      <c r="AF68" s="178"/>
      <c r="AG68" s="179"/>
      <c r="AH68" s="179"/>
      <c r="AI68" s="179"/>
      <c r="AJ68" s="179"/>
      <c r="AK68" s="179"/>
      <c r="AL68" s="179"/>
      <c r="AM68" s="179"/>
      <c r="AN68" s="179"/>
      <c r="AO68" s="179"/>
      <c r="AP68" s="179"/>
      <c r="AQ68" s="179"/>
      <c r="AR68" s="179"/>
      <c r="AS68" s="179"/>
      <c r="AT68" s="179"/>
      <c r="AU68" s="179"/>
      <c r="AV68" s="179"/>
      <c r="AW68" s="179"/>
      <c r="AX68" s="179"/>
      <c r="AY68" s="179"/>
      <c r="AZ68" s="180"/>
      <c r="BA68" s="99"/>
      <c r="BB68" s="92"/>
      <c r="BC68" s="93"/>
    </row>
    <row r="69" spans="2:55" s="94" customFormat="1" ht="35.450000000000003" customHeight="1">
      <c r="B69" s="88"/>
      <c r="C69" s="98" t="s">
        <v>68</v>
      </c>
      <c r="D69" s="100">
        <v>0.1</v>
      </c>
      <c r="E69" s="101"/>
      <c r="F69" s="184" t="s">
        <v>106</v>
      </c>
      <c r="G69" s="185"/>
      <c r="H69" s="184" t="s">
        <v>107</v>
      </c>
      <c r="I69" s="186"/>
      <c r="J69" s="185"/>
      <c r="K69" s="184" t="s">
        <v>108</v>
      </c>
      <c r="L69" s="186"/>
      <c r="M69" s="185"/>
      <c r="N69" s="184" t="s">
        <v>100</v>
      </c>
      <c r="O69" s="186"/>
      <c r="P69" s="185"/>
      <c r="Q69" s="465">
        <f>AM53</f>
        <v>1</v>
      </c>
      <c r="R69" s="466"/>
      <c r="S69" s="467"/>
      <c r="T69" s="468">
        <f>Q69*0.1</f>
        <v>0.1</v>
      </c>
      <c r="U69" s="469"/>
      <c r="V69" s="470"/>
      <c r="W69" s="90"/>
      <c r="X69" s="90"/>
      <c r="Y69" s="90"/>
      <c r="Z69" s="90"/>
      <c r="AA69" s="90"/>
      <c r="AB69" s="90"/>
      <c r="AC69" s="90"/>
      <c r="AD69" s="90"/>
      <c r="AE69" s="90"/>
      <c r="AF69" s="178"/>
      <c r="AG69" s="179"/>
      <c r="AH69" s="179"/>
      <c r="AI69" s="179"/>
      <c r="AJ69" s="179"/>
      <c r="AK69" s="179"/>
      <c r="AL69" s="179"/>
      <c r="AM69" s="179"/>
      <c r="AN69" s="179"/>
      <c r="AO69" s="179"/>
      <c r="AP69" s="179"/>
      <c r="AQ69" s="179"/>
      <c r="AR69" s="179"/>
      <c r="AS69" s="179"/>
      <c r="AT69" s="179"/>
      <c r="AU69" s="179"/>
      <c r="AV69" s="179"/>
      <c r="AW69" s="179"/>
      <c r="AX69" s="179"/>
      <c r="AY69" s="179"/>
      <c r="AZ69" s="180"/>
      <c r="BA69" s="99"/>
      <c r="BB69" s="92"/>
      <c r="BC69" s="93"/>
    </row>
    <row r="70" spans="2:55" s="94" customFormat="1" ht="35.450000000000003" customHeight="1" thickBot="1">
      <c r="B70" s="88"/>
      <c r="C70" s="102" t="s">
        <v>109</v>
      </c>
      <c r="D70" s="103">
        <v>1</v>
      </c>
      <c r="E70" s="104"/>
      <c r="F70" s="187"/>
      <c r="G70" s="188"/>
      <c r="H70" s="187"/>
      <c r="I70" s="189"/>
      <c r="J70" s="188"/>
      <c r="K70" s="187"/>
      <c r="L70" s="189"/>
      <c r="M70" s="188"/>
      <c r="N70" s="187"/>
      <c r="O70" s="189"/>
      <c r="P70" s="188"/>
      <c r="Q70" s="471"/>
      <c r="R70" s="472"/>
      <c r="S70" s="473"/>
      <c r="T70" s="474">
        <f>SUM(T64:V69)</f>
        <v>0.9677083333333335</v>
      </c>
      <c r="U70" s="475"/>
      <c r="V70" s="476"/>
      <c r="W70" s="90"/>
      <c r="X70" s="90"/>
      <c r="Y70" s="90"/>
      <c r="Z70" s="90"/>
      <c r="AA70" s="90"/>
      <c r="AB70" s="90"/>
      <c r="AC70" s="90"/>
      <c r="AD70" s="90"/>
      <c r="AE70" s="90"/>
      <c r="AF70" s="178"/>
      <c r="AG70" s="179"/>
      <c r="AH70" s="179"/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  <c r="AW70" s="179"/>
      <c r="AX70" s="179"/>
      <c r="AY70" s="179"/>
      <c r="AZ70" s="180"/>
      <c r="BA70" s="99"/>
      <c r="BB70" s="92"/>
      <c r="BC70" s="93"/>
    </row>
    <row r="71" spans="2:55" ht="5.25" customHeight="1" thickBot="1">
      <c r="B71" s="20"/>
      <c r="C71" s="66"/>
      <c r="D71" s="66"/>
      <c r="E71" s="66"/>
      <c r="F71" s="66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81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3"/>
      <c r="BA71" s="66"/>
      <c r="BB71" s="71"/>
      <c r="BC71" s="1"/>
    </row>
    <row r="72" spans="2:55" ht="19.5" customHeight="1">
      <c r="B72" s="20"/>
      <c r="C72" s="105" t="s">
        <v>110</v>
      </c>
      <c r="D72" s="49" t="s">
        <v>111</v>
      </c>
      <c r="E72" s="49"/>
      <c r="F72" s="4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87"/>
      <c r="BC72" s="1"/>
    </row>
    <row r="73" spans="2:55">
      <c r="B73" s="20"/>
      <c r="C73" s="66"/>
      <c r="D73" s="66"/>
      <c r="E73" s="66"/>
      <c r="F73" s="66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87"/>
      <c r="BC73" s="1"/>
    </row>
    <row r="74" spans="2:55" ht="30">
      <c r="B74" s="20"/>
      <c r="C74" s="105" t="s">
        <v>112</v>
      </c>
      <c r="D74" s="49" t="s">
        <v>113</v>
      </c>
      <c r="E74" s="49"/>
      <c r="F74" s="4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87"/>
      <c r="BC74" s="1"/>
    </row>
    <row r="75" spans="2:55" ht="9.75" customHeight="1">
      <c r="B75" s="20"/>
      <c r="C75" s="66"/>
      <c r="D75" s="66"/>
      <c r="E75" s="66"/>
      <c r="F75" s="66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87"/>
      <c r="BC75" s="1"/>
    </row>
    <row r="76" spans="2:55" ht="24.75" customHeight="1" thickBot="1">
      <c r="B76" s="16"/>
      <c r="C76" s="106"/>
      <c r="D76" s="107"/>
      <c r="E76" s="107"/>
      <c r="F76" s="10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08"/>
      <c r="BC76" s="1"/>
    </row>
    <row r="77" spans="2:55">
      <c r="B77" s="21"/>
      <c r="C77" s="21"/>
      <c r="D77" s="21"/>
      <c r="E77" s="21"/>
      <c r="F77" s="21"/>
    </row>
  </sheetData>
  <mergeCells count="273">
    <mergeCell ref="B1:AZ3"/>
    <mergeCell ref="BA1:BB1"/>
    <mergeCell ref="BA2:BB2"/>
    <mergeCell ref="BA3:BB3"/>
    <mergeCell ref="D11:G11"/>
    <mergeCell ref="B13:B15"/>
    <mergeCell ref="C13:C15"/>
    <mergeCell ref="D13:D15"/>
    <mergeCell ref="E13:F15"/>
    <mergeCell ref="G13:BB13"/>
    <mergeCell ref="AW14:AW15"/>
    <mergeCell ref="AX14:AX15"/>
    <mergeCell ref="AY14:AY15"/>
    <mergeCell ref="AZ14:AZ15"/>
    <mergeCell ref="BA14:BB15"/>
    <mergeCell ref="B16:B24"/>
    <mergeCell ref="C16:C24"/>
    <mergeCell ref="E16:F16"/>
    <mergeCell ref="BA16:BB21"/>
    <mergeCell ref="D17:D20"/>
    <mergeCell ref="AQ14:AQ15"/>
    <mergeCell ref="AR14:AR15"/>
    <mergeCell ref="AS14:AS15"/>
    <mergeCell ref="AT14:AT15"/>
    <mergeCell ref="AU14:AU15"/>
    <mergeCell ref="AV14:AV15"/>
    <mergeCell ref="G14:Q14"/>
    <mergeCell ref="R14:AB14"/>
    <mergeCell ref="AC14:AM14"/>
    <mergeCell ref="AN14:AN15"/>
    <mergeCell ref="AO14:AO15"/>
    <mergeCell ref="AP14:AP15"/>
    <mergeCell ref="G22:Q22"/>
    <mergeCell ref="R22:AB22"/>
    <mergeCell ref="AC22:AM22"/>
    <mergeCell ref="E23:F23"/>
    <mergeCell ref="G23:Q23"/>
    <mergeCell ref="R23:AB23"/>
    <mergeCell ref="AC23:AM23"/>
    <mergeCell ref="E17:F17"/>
    <mergeCell ref="E18:F18"/>
    <mergeCell ref="E19:F19"/>
    <mergeCell ref="E20:F20"/>
    <mergeCell ref="E21:F21"/>
    <mergeCell ref="E22:F22"/>
    <mergeCell ref="E24:F24"/>
    <mergeCell ref="G24:Q24"/>
    <mergeCell ref="R24:AB24"/>
    <mergeCell ref="AC24:AM24"/>
    <mergeCell ref="B25:B32"/>
    <mergeCell ref="C25:C32"/>
    <mergeCell ref="E25:F25"/>
    <mergeCell ref="G25:Q25"/>
    <mergeCell ref="R25:AB25"/>
    <mergeCell ref="AC25:AM25"/>
    <mergeCell ref="BA25:BB30"/>
    <mergeCell ref="E26:F26"/>
    <mergeCell ref="G26:Q26"/>
    <mergeCell ref="R26:AB26"/>
    <mergeCell ref="AC26:AM26"/>
    <mergeCell ref="E27:F27"/>
    <mergeCell ref="G27:Q27"/>
    <mergeCell ref="R27:AB27"/>
    <mergeCell ref="AC27:AM27"/>
    <mergeCell ref="E28:F28"/>
    <mergeCell ref="E30:F30"/>
    <mergeCell ref="G30:Q30"/>
    <mergeCell ref="R30:AB30"/>
    <mergeCell ref="AC30:AM30"/>
    <mergeCell ref="E31:F31"/>
    <mergeCell ref="G31:Q31"/>
    <mergeCell ref="R31:AB31"/>
    <mergeCell ref="AC31:AM31"/>
    <mergeCell ref="G28:Q28"/>
    <mergeCell ref="R28:AB28"/>
    <mergeCell ref="AC28:AM28"/>
    <mergeCell ref="E29:F29"/>
    <mergeCell ref="G29:Q29"/>
    <mergeCell ref="R29:AB29"/>
    <mergeCell ref="AC29:AM29"/>
    <mergeCell ref="E32:F32"/>
    <mergeCell ref="G32:Q32"/>
    <mergeCell ref="R32:AB32"/>
    <mergeCell ref="AC32:AM32"/>
    <mergeCell ref="B33:B36"/>
    <mergeCell ref="C33:C36"/>
    <mergeCell ref="E33:F33"/>
    <mergeCell ref="G33:Q33"/>
    <mergeCell ref="R33:AB33"/>
    <mergeCell ref="AC33:AM33"/>
    <mergeCell ref="BA33:BB34"/>
    <mergeCell ref="E34:F34"/>
    <mergeCell ref="G34:Q34"/>
    <mergeCell ref="R34:AB34"/>
    <mergeCell ref="AC34:AM34"/>
    <mergeCell ref="E35:F35"/>
    <mergeCell ref="G35:Q35"/>
    <mergeCell ref="R35:AB35"/>
    <mergeCell ref="AC35:AM35"/>
    <mergeCell ref="E36:F36"/>
    <mergeCell ref="G36:Q36"/>
    <mergeCell ref="R36:AB36"/>
    <mergeCell ref="AC36:AM36"/>
    <mergeCell ref="B37:B43"/>
    <mergeCell ref="C37:C43"/>
    <mergeCell ref="E37:F37"/>
    <mergeCell ref="G37:Q37"/>
    <mergeCell ref="R37:AB37"/>
    <mergeCell ref="AC37:AM37"/>
    <mergeCell ref="BA37:BB41"/>
    <mergeCell ref="E38:F38"/>
    <mergeCell ref="G38:Q38"/>
    <mergeCell ref="R38:AB38"/>
    <mergeCell ref="AC38:AM38"/>
    <mergeCell ref="E39:F39"/>
    <mergeCell ref="G39:Q39"/>
    <mergeCell ref="R39:AB39"/>
    <mergeCell ref="AC39:AM39"/>
    <mergeCell ref="E40:F40"/>
    <mergeCell ref="E42:F42"/>
    <mergeCell ref="G42:Q42"/>
    <mergeCell ref="R42:AB42"/>
    <mergeCell ref="AC42:AM42"/>
    <mergeCell ref="E43:F43"/>
    <mergeCell ref="G43:Q43"/>
    <mergeCell ref="R43:AB43"/>
    <mergeCell ref="AC43:AM43"/>
    <mergeCell ref="G40:Q40"/>
    <mergeCell ref="R40:AB40"/>
    <mergeCell ref="AC40:AM40"/>
    <mergeCell ref="E41:F41"/>
    <mergeCell ref="G41:Q41"/>
    <mergeCell ref="R41:AB41"/>
    <mergeCell ref="AC41:AM41"/>
    <mergeCell ref="BA44:BB46"/>
    <mergeCell ref="E45:F45"/>
    <mergeCell ref="G45:Q45"/>
    <mergeCell ref="R45:AB45"/>
    <mergeCell ref="AC45:AM45"/>
    <mergeCell ref="E46:F46"/>
    <mergeCell ref="G46:Q46"/>
    <mergeCell ref="R46:AB46"/>
    <mergeCell ref="AC46:AM46"/>
    <mergeCell ref="E44:F44"/>
    <mergeCell ref="G44:Q44"/>
    <mergeCell ref="R44:AB44"/>
    <mergeCell ref="AC44:AM44"/>
    <mergeCell ref="E48:F48"/>
    <mergeCell ref="G48:Q48"/>
    <mergeCell ref="R48:AB48"/>
    <mergeCell ref="AC48:AM48"/>
    <mergeCell ref="B51:B53"/>
    <mergeCell ref="C51:C53"/>
    <mergeCell ref="E51:F51"/>
    <mergeCell ref="G51:H51"/>
    <mergeCell ref="I51:J51"/>
    <mergeCell ref="K51:L51"/>
    <mergeCell ref="B44:B48"/>
    <mergeCell ref="C44:C48"/>
    <mergeCell ref="E47:F47"/>
    <mergeCell ref="G47:Q47"/>
    <mergeCell ref="R47:AB47"/>
    <mergeCell ref="AC47:AM47"/>
    <mergeCell ref="AK51:AL51"/>
    <mergeCell ref="AM51:AN51"/>
    <mergeCell ref="E52:F52"/>
    <mergeCell ref="G52:H52"/>
    <mergeCell ref="I52:J52"/>
    <mergeCell ref="K52:L52"/>
    <mergeCell ref="M52:N52"/>
    <mergeCell ref="O52:P52"/>
    <mergeCell ref="Y51:Z51"/>
    <mergeCell ref="AA51:AB51"/>
    <mergeCell ref="AC51:AD51"/>
    <mergeCell ref="AE51:AF51"/>
    <mergeCell ref="AG51:AH51"/>
    <mergeCell ref="AI51:AJ51"/>
    <mergeCell ref="M51:N51"/>
    <mergeCell ref="O51:P51"/>
    <mergeCell ref="Q51:R51"/>
    <mergeCell ref="S51:T51"/>
    <mergeCell ref="U51:V51"/>
    <mergeCell ref="W51:X51"/>
    <mergeCell ref="AK52:AL52"/>
    <mergeCell ref="AM52:AN52"/>
    <mergeCell ref="BA52:BB52"/>
    <mergeCell ref="E53:F53"/>
    <mergeCell ref="G53:H53"/>
    <mergeCell ref="I53:J53"/>
    <mergeCell ref="K53:L53"/>
    <mergeCell ref="M53:N53"/>
    <mergeCell ref="U52:V52"/>
    <mergeCell ref="W52:X52"/>
    <mergeCell ref="Y52:Z52"/>
    <mergeCell ref="AA52:AB52"/>
    <mergeCell ref="AC52:AD52"/>
    <mergeCell ref="AE52:AF52"/>
    <mergeCell ref="Q52:R52"/>
    <mergeCell ref="S52:T52"/>
    <mergeCell ref="AG52:AH52"/>
    <mergeCell ref="AI52:AJ52"/>
    <mergeCell ref="BA61:BB61"/>
    <mergeCell ref="AA53:AB53"/>
    <mergeCell ref="AC53:AD53"/>
    <mergeCell ref="AE53:AF53"/>
    <mergeCell ref="AG53:AH53"/>
    <mergeCell ref="AI53:AJ53"/>
    <mergeCell ref="AK53:AL53"/>
    <mergeCell ref="O53:P53"/>
    <mergeCell ref="Q53:R53"/>
    <mergeCell ref="S53:T53"/>
    <mergeCell ref="U53:V53"/>
    <mergeCell ref="W53:X53"/>
    <mergeCell ref="Y53:Z53"/>
    <mergeCell ref="AM53:AN53"/>
    <mergeCell ref="B55:B59"/>
    <mergeCell ref="X55:AG55"/>
    <mergeCell ref="Y56:AG56"/>
    <mergeCell ref="Y57:AG57"/>
    <mergeCell ref="Y58:AG58"/>
    <mergeCell ref="Q62:S62"/>
    <mergeCell ref="T62:V62"/>
    <mergeCell ref="AF62:AZ65"/>
    <mergeCell ref="F63:V63"/>
    <mergeCell ref="F64:G64"/>
    <mergeCell ref="H64:J64"/>
    <mergeCell ref="K64:M64"/>
    <mergeCell ref="N64:P64"/>
    <mergeCell ref="Q64:S64"/>
    <mergeCell ref="T64:V64"/>
    <mergeCell ref="T70:V70"/>
    <mergeCell ref="F66:G66"/>
    <mergeCell ref="H66:J66"/>
    <mergeCell ref="C62:C63"/>
    <mergeCell ref="D62:D63"/>
    <mergeCell ref="F62:G62"/>
    <mergeCell ref="H62:J62"/>
    <mergeCell ref="K62:M62"/>
    <mergeCell ref="N62:P62"/>
    <mergeCell ref="K66:M66"/>
    <mergeCell ref="N66:P66"/>
    <mergeCell ref="Q66:S66"/>
    <mergeCell ref="T66:V66"/>
    <mergeCell ref="F65:G65"/>
    <mergeCell ref="H65:J65"/>
    <mergeCell ref="K65:M65"/>
    <mergeCell ref="N65:P65"/>
    <mergeCell ref="Q65:S65"/>
    <mergeCell ref="T65:V65"/>
    <mergeCell ref="AF67:AZ71"/>
    <mergeCell ref="F68:G68"/>
    <mergeCell ref="H68:J68"/>
    <mergeCell ref="K68:M68"/>
    <mergeCell ref="N68:P68"/>
    <mergeCell ref="Q68:S68"/>
    <mergeCell ref="T68:V68"/>
    <mergeCell ref="F69:G69"/>
    <mergeCell ref="H69:J69"/>
    <mergeCell ref="K69:M69"/>
    <mergeCell ref="F67:G67"/>
    <mergeCell ref="H67:J67"/>
    <mergeCell ref="K67:M67"/>
    <mergeCell ref="N67:P67"/>
    <mergeCell ref="Q67:S67"/>
    <mergeCell ref="T67:V67"/>
    <mergeCell ref="N69:P69"/>
    <mergeCell ref="Q69:S69"/>
    <mergeCell ref="T69:V69"/>
    <mergeCell ref="F70:G70"/>
    <mergeCell ref="H70:J70"/>
    <mergeCell ref="K70:M70"/>
    <mergeCell ref="N70:P70"/>
    <mergeCell ref="Q70:S70"/>
  </mergeCells>
  <printOptions horizontalCentered="1" verticalCentered="1"/>
  <pageMargins left="0" right="0" top="0" bottom="0" header="0" footer="0"/>
  <pageSetup paperSize="8" scale="34" fitToWidth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69"/>
  <sheetViews>
    <sheetView showGridLines="0" tabSelected="1" view="pageBreakPreview" zoomScale="60" zoomScaleNormal="75" workbookViewId="0">
      <selection activeCell="E19" sqref="E19:O19"/>
    </sheetView>
  </sheetViews>
  <sheetFormatPr defaultColWidth="9.140625" defaultRowHeight="12.75"/>
  <cols>
    <col min="1" max="1" width="9.140625" style="519"/>
    <col min="2" max="2" width="36.7109375" style="519" customWidth="1"/>
    <col min="3" max="3" width="77.5703125" style="519" customWidth="1"/>
    <col min="4" max="4" width="15" style="519" customWidth="1"/>
    <col min="5" max="14" width="6.7109375" style="55" customWidth="1"/>
    <col min="15" max="15" width="16.5703125" style="55" customWidth="1"/>
    <col min="16" max="25" width="6.7109375" style="55" customWidth="1"/>
    <col min="26" max="26" width="10.85546875" style="55" bestFit="1" customWidth="1"/>
    <col min="27" max="37" width="6.7109375" style="55" customWidth="1"/>
    <col min="38" max="38" width="23.28515625" style="55" customWidth="1"/>
    <col min="39" max="39" width="24.85546875" style="55" customWidth="1"/>
    <col min="40" max="40" width="7.28515625" style="519" hidden="1" customWidth="1"/>
    <col min="41" max="41" width="12.7109375" style="519" hidden="1" customWidth="1"/>
    <col min="42" max="16384" width="9.140625" style="519"/>
  </cols>
  <sheetData>
    <row r="1" spans="1:41" ht="21.75" customHeight="1">
      <c r="A1" s="292" t="s">
        <v>148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4"/>
    </row>
    <row r="2" spans="1:41" ht="21.75" customHeight="1">
      <c r="A2" s="295"/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7"/>
    </row>
    <row r="3" spans="1:41" ht="29.25" customHeight="1" thickBot="1">
      <c r="A3" s="298"/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300"/>
    </row>
    <row r="4" spans="1:41" s="14" customFormat="1" ht="20.25">
      <c r="A4" s="8" t="s">
        <v>6</v>
      </c>
      <c r="B4" s="9"/>
      <c r="C4" s="109" t="s">
        <v>155</v>
      </c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54"/>
      <c r="AI4" s="10"/>
      <c r="AJ4" s="10"/>
      <c r="AK4" s="10"/>
      <c r="AL4" s="12"/>
      <c r="AM4" s="12"/>
      <c r="AN4" s="12"/>
      <c r="AO4" s="13"/>
    </row>
    <row r="5" spans="1:41" s="14" customFormat="1" ht="20.25">
      <c r="A5" s="8"/>
      <c r="B5" s="9"/>
      <c r="C5" s="109"/>
      <c r="D5" s="9"/>
      <c r="E5" s="568"/>
      <c r="F5" s="568"/>
      <c r="G5" s="568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K5" s="154"/>
      <c r="AL5" s="10"/>
      <c r="AM5" s="10"/>
      <c r="AN5" s="10"/>
      <c r="AO5" s="12"/>
    </row>
    <row r="6" spans="1:41" s="14" customFormat="1" ht="20.25">
      <c r="A6" s="8" t="s">
        <v>8</v>
      </c>
      <c r="B6" s="9"/>
      <c r="C6" s="109" t="s">
        <v>156</v>
      </c>
      <c r="D6" s="9"/>
      <c r="E6" s="567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K6" s="154"/>
      <c r="AL6" s="10"/>
      <c r="AM6" s="10"/>
      <c r="AN6" s="10"/>
      <c r="AO6" s="12"/>
    </row>
    <row r="7" spans="1:41" s="14" customFormat="1" ht="20.25">
      <c r="A7" s="8"/>
      <c r="B7" s="9"/>
      <c r="C7" s="10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K7" s="154"/>
      <c r="AL7" s="10"/>
      <c r="AM7" s="10"/>
      <c r="AN7" s="10"/>
      <c r="AO7" s="12"/>
    </row>
    <row r="8" spans="1:41" s="14" customFormat="1" ht="20.25" customHeight="1">
      <c r="A8" s="8" t="s">
        <v>10</v>
      </c>
      <c r="B8" s="9"/>
      <c r="C8" s="109" t="s">
        <v>157</v>
      </c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K8" s="15"/>
      <c r="AL8" s="10"/>
      <c r="AM8" s="10"/>
      <c r="AN8" s="10"/>
      <c r="AO8" s="12"/>
    </row>
    <row r="9" spans="1:41" s="14" customFormat="1" ht="20.25">
      <c r="A9" s="8"/>
      <c r="B9" s="9"/>
      <c r="C9" s="10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K9" s="10"/>
      <c r="AL9" s="10"/>
      <c r="AM9" s="10"/>
      <c r="AN9" s="10"/>
      <c r="AO9" s="12"/>
    </row>
    <row r="10" spans="1:41" s="14" customFormat="1" ht="20.25">
      <c r="A10" s="8" t="s">
        <v>149</v>
      </c>
      <c r="B10" s="9"/>
      <c r="C10" s="520" t="s">
        <v>158</v>
      </c>
      <c r="D10" s="307"/>
      <c r="E10" s="307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2"/>
      <c r="AM10" s="12"/>
      <c r="AN10" s="12"/>
      <c r="AO10" s="13"/>
    </row>
    <row r="11" spans="1:41" s="21" customFormat="1" ht="13.5" customHeight="1" thickBot="1">
      <c r="A11" s="16"/>
      <c r="B11" s="17"/>
      <c r="C11" s="110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2"/>
      <c r="AM11" s="12"/>
      <c r="AN11" s="12"/>
      <c r="AO11" s="13"/>
    </row>
    <row r="12" spans="1:41" s="21" customFormat="1" ht="25.5" customHeight="1" thickBot="1">
      <c r="A12" s="326" t="s">
        <v>1</v>
      </c>
      <c r="B12" s="328" t="s">
        <v>14</v>
      </c>
      <c r="C12" s="330" t="s">
        <v>15</v>
      </c>
      <c r="D12" s="282" t="s">
        <v>16</v>
      </c>
      <c r="E12" s="332" t="s">
        <v>17</v>
      </c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3"/>
      <c r="AE12" s="333"/>
      <c r="AF12" s="333"/>
      <c r="AG12" s="333"/>
      <c r="AH12" s="333"/>
      <c r="AI12" s="333"/>
      <c r="AJ12" s="333"/>
      <c r="AK12" s="333"/>
      <c r="AL12" s="333"/>
      <c r="AM12" s="333"/>
      <c r="AN12" s="333"/>
      <c r="AO12" s="334"/>
    </row>
    <row r="13" spans="1:41" s="21" customFormat="1" ht="25.5" customHeight="1" thickBot="1">
      <c r="A13" s="327"/>
      <c r="B13" s="329"/>
      <c r="C13" s="331"/>
      <c r="D13" s="329"/>
      <c r="E13" s="335" t="s">
        <v>18</v>
      </c>
      <c r="F13" s="336"/>
      <c r="G13" s="336"/>
      <c r="H13" s="336"/>
      <c r="I13" s="336"/>
      <c r="J13" s="336"/>
      <c r="K13" s="336"/>
      <c r="L13" s="336"/>
      <c r="M13" s="336"/>
      <c r="N13" s="336"/>
      <c r="O13" s="337"/>
      <c r="P13" s="335" t="s">
        <v>19</v>
      </c>
      <c r="Q13" s="336"/>
      <c r="R13" s="336"/>
      <c r="S13" s="336"/>
      <c r="T13" s="336"/>
      <c r="U13" s="336"/>
      <c r="V13" s="336"/>
      <c r="W13" s="336"/>
      <c r="X13" s="336"/>
      <c r="Y13" s="336"/>
      <c r="Z13" s="337"/>
      <c r="AA13" s="335" t="s">
        <v>20</v>
      </c>
      <c r="AB13" s="336"/>
      <c r="AC13" s="336"/>
      <c r="AD13" s="336"/>
      <c r="AE13" s="336"/>
      <c r="AF13" s="336"/>
      <c r="AG13" s="336"/>
      <c r="AH13" s="336"/>
      <c r="AI13" s="336"/>
      <c r="AJ13" s="336"/>
      <c r="AK13" s="337"/>
      <c r="AL13" s="279" t="s">
        <v>114</v>
      </c>
      <c r="AM13" s="236"/>
      <c r="AN13" s="236"/>
      <c r="AO13" s="338"/>
    </row>
    <row r="14" spans="1:41" s="21" customFormat="1" ht="25.5" customHeight="1" thickBot="1">
      <c r="A14" s="327"/>
      <c r="B14" s="329"/>
      <c r="C14" s="331"/>
      <c r="D14" s="329"/>
      <c r="E14" s="111">
        <v>1</v>
      </c>
      <c r="F14" s="112">
        <v>2</v>
      </c>
      <c r="G14" s="112">
        <v>3</v>
      </c>
      <c r="H14" s="112">
        <v>4</v>
      </c>
      <c r="I14" s="112">
        <v>5</v>
      </c>
      <c r="J14" s="112">
        <v>6</v>
      </c>
      <c r="K14" s="112">
        <v>7</v>
      </c>
      <c r="L14" s="112">
        <v>8</v>
      </c>
      <c r="M14" s="112">
        <v>9</v>
      </c>
      <c r="N14" s="112">
        <v>10</v>
      </c>
      <c r="O14" s="113" t="s">
        <v>109</v>
      </c>
      <c r="P14" s="111">
        <v>1</v>
      </c>
      <c r="Q14" s="112">
        <v>2</v>
      </c>
      <c r="R14" s="112">
        <v>3</v>
      </c>
      <c r="S14" s="112">
        <v>4</v>
      </c>
      <c r="T14" s="112">
        <v>5</v>
      </c>
      <c r="U14" s="112">
        <v>6</v>
      </c>
      <c r="V14" s="112">
        <v>7</v>
      </c>
      <c r="W14" s="112">
        <v>8</v>
      </c>
      <c r="X14" s="112">
        <v>9</v>
      </c>
      <c r="Y14" s="112">
        <v>10</v>
      </c>
      <c r="Z14" s="113" t="s">
        <v>109</v>
      </c>
      <c r="AA14" s="111">
        <v>1</v>
      </c>
      <c r="AB14" s="112">
        <v>2</v>
      </c>
      <c r="AC14" s="112">
        <v>3</v>
      </c>
      <c r="AD14" s="112">
        <v>4</v>
      </c>
      <c r="AE14" s="112">
        <v>5</v>
      </c>
      <c r="AF14" s="112">
        <v>6</v>
      </c>
      <c r="AG14" s="112">
        <v>7</v>
      </c>
      <c r="AH14" s="112">
        <v>8</v>
      </c>
      <c r="AI14" s="112">
        <v>9</v>
      </c>
      <c r="AJ14" s="112">
        <v>10</v>
      </c>
      <c r="AK14" s="113" t="s">
        <v>109</v>
      </c>
      <c r="AL14" s="280"/>
      <c r="AM14" s="237"/>
      <c r="AN14" s="238"/>
      <c r="AO14" s="339"/>
    </row>
    <row r="15" spans="1:41" s="21" customFormat="1" ht="47.25" customHeight="1" thickBot="1">
      <c r="A15" s="340">
        <v>1</v>
      </c>
      <c r="B15" s="279" t="s">
        <v>36</v>
      </c>
      <c r="C15" s="114" t="s">
        <v>115</v>
      </c>
      <c r="D15" s="115">
        <v>2</v>
      </c>
      <c r="E15" s="521">
        <v>2</v>
      </c>
      <c r="F15" s="522">
        <v>2</v>
      </c>
      <c r="G15" s="522">
        <v>2</v>
      </c>
      <c r="H15" s="522">
        <v>2</v>
      </c>
      <c r="I15" s="522">
        <v>2</v>
      </c>
      <c r="J15" s="522">
        <v>2</v>
      </c>
      <c r="K15" s="522">
        <v>2</v>
      </c>
      <c r="L15" s="522">
        <v>2</v>
      </c>
      <c r="M15" s="522">
        <v>2</v>
      </c>
      <c r="N15" s="522">
        <v>2</v>
      </c>
      <c r="O15" s="399">
        <f>AVERAGE(E15:N15)</f>
        <v>2</v>
      </c>
      <c r="P15" s="522">
        <v>2</v>
      </c>
      <c r="Q15" s="522">
        <v>2</v>
      </c>
      <c r="R15" s="522">
        <v>2</v>
      </c>
      <c r="S15" s="522">
        <v>2</v>
      </c>
      <c r="T15" s="522">
        <v>2</v>
      </c>
      <c r="U15" s="522">
        <v>2</v>
      </c>
      <c r="V15" s="522">
        <v>2</v>
      </c>
      <c r="W15" s="522">
        <v>2</v>
      </c>
      <c r="X15" s="522">
        <v>2</v>
      </c>
      <c r="Y15" s="522">
        <v>2</v>
      </c>
      <c r="Z15" s="399">
        <f>AVERAGE(P15:Y15)</f>
        <v>2</v>
      </c>
      <c r="AA15" s="522">
        <v>2</v>
      </c>
      <c r="AB15" s="522">
        <v>2</v>
      </c>
      <c r="AC15" s="522">
        <v>2</v>
      </c>
      <c r="AD15" s="522">
        <v>2</v>
      </c>
      <c r="AE15" s="522">
        <v>2</v>
      </c>
      <c r="AF15" s="522">
        <v>2</v>
      </c>
      <c r="AG15" s="522">
        <v>2</v>
      </c>
      <c r="AH15" s="522">
        <v>2</v>
      </c>
      <c r="AI15" s="522">
        <v>2</v>
      </c>
      <c r="AJ15" s="522">
        <v>2</v>
      </c>
      <c r="AK15" s="539">
        <f>AVERAGE(AA15:AJ15)</f>
        <v>2</v>
      </c>
      <c r="AL15" s="541"/>
      <c r="AM15" s="541"/>
      <c r="AN15" s="61"/>
      <c r="AO15" s="514"/>
    </row>
    <row r="16" spans="1:41" ht="30" customHeight="1" thickBot="1">
      <c r="A16" s="341"/>
      <c r="B16" s="280"/>
      <c r="C16" s="343" t="s">
        <v>116</v>
      </c>
      <c r="D16" s="116" t="s">
        <v>117</v>
      </c>
      <c r="E16" s="521">
        <v>110</v>
      </c>
      <c r="F16" s="521">
        <v>110</v>
      </c>
      <c r="G16" s="521">
        <v>110</v>
      </c>
      <c r="H16" s="521">
        <v>110</v>
      </c>
      <c r="I16" s="521">
        <v>110</v>
      </c>
      <c r="J16" s="521">
        <v>110</v>
      </c>
      <c r="K16" s="521">
        <v>110</v>
      </c>
      <c r="L16" s="521">
        <v>110</v>
      </c>
      <c r="M16" s="521">
        <v>110</v>
      </c>
      <c r="N16" s="523">
        <v>110</v>
      </c>
      <c r="O16" s="399">
        <f t="shared" ref="O16:O18" si="0">AVERAGE(E16:N16)</f>
        <v>110</v>
      </c>
      <c r="P16" s="524">
        <v>110</v>
      </c>
      <c r="Q16" s="521">
        <v>110</v>
      </c>
      <c r="R16" s="521">
        <v>110</v>
      </c>
      <c r="S16" s="521">
        <v>110</v>
      </c>
      <c r="T16" s="521">
        <v>110</v>
      </c>
      <c r="U16" s="521">
        <v>110</v>
      </c>
      <c r="V16" s="521">
        <v>110</v>
      </c>
      <c r="W16" s="521">
        <v>110</v>
      </c>
      <c r="X16" s="521">
        <v>110</v>
      </c>
      <c r="Y16" s="523">
        <v>110</v>
      </c>
      <c r="Z16" s="399">
        <f t="shared" ref="Z16:Z18" si="1">AVERAGE(P16:Y16)</f>
        <v>110</v>
      </c>
      <c r="AA16" s="524">
        <v>110</v>
      </c>
      <c r="AB16" s="521">
        <v>110</v>
      </c>
      <c r="AC16" s="521">
        <v>110</v>
      </c>
      <c r="AD16" s="521">
        <v>110</v>
      </c>
      <c r="AE16" s="521">
        <v>110</v>
      </c>
      <c r="AF16" s="521">
        <v>110</v>
      </c>
      <c r="AG16" s="521">
        <v>110</v>
      </c>
      <c r="AH16" s="521">
        <v>110</v>
      </c>
      <c r="AI16" s="521">
        <v>110</v>
      </c>
      <c r="AJ16" s="523">
        <v>110</v>
      </c>
      <c r="AK16" s="539">
        <f t="shared" ref="AK16:AK18" si="2">AVERAGE(AA16:AJ16)</f>
        <v>110</v>
      </c>
      <c r="AL16" s="541" t="s">
        <v>167</v>
      </c>
      <c r="AM16" s="542">
        <f>D19*3</f>
        <v>18</v>
      </c>
      <c r="AN16" s="515"/>
      <c r="AO16" s="516"/>
    </row>
    <row r="17" spans="1:47" ht="30" customHeight="1" thickBot="1">
      <c r="A17" s="341"/>
      <c r="B17" s="280"/>
      <c r="C17" s="344"/>
      <c r="D17" s="117">
        <v>2</v>
      </c>
      <c r="E17" s="525">
        <v>2</v>
      </c>
      <c r="F17" s="525">
        <v>2</v>
      </c>
      <c r="G17" s="525">
        <v>2</v>
      </c>
      <c r="H17" s="525">
        <v>2</v>
      </c>
      <c r="I17" s="525">
        <v>2</v>
      </c>
      <c r="J17" s="525">
        <v>2</v>
      </c>
      <c r="K17" s="525">
        <v>2</v>
      </c>
      <c r="L17" s="525">
        <v>2</v>
      </c>
      <c r="M17" s="525">
        <v>2</v>
      </c>
      <c r="N17" s="526">
        <v>2</v>
      </c>
      <c r="O17" s="399">
        <f t="shared" si="0"/>
        <v>2</v>
      </c>
      <c r="P17" s="527">
        <v>2</v>
      </c>
      <c r="Q17" s="525">
        <v>2</v>
      </c>
      <c r="R17" s="525">
        <v>2</v>
      </c>
      <c r="S17" s="525">
        <v>2</v>
      </c>
      <c r="T17" s="525">
        <v>2</v>
      </c>
      <c r="U17" s="525">
        <v>2</v>
      </c>
      <c r="V17" s="525">
        <v>2</v>
      </c>
      <c r="W17" s="525">
        <v>2</v>
      </c>
      <c r="X17" s="525">
        <v>2</v>
      </c>
      <c r="Y17" s="526">
        <v>2</v>
      </c>
      <c r="Z17" s="399">
        <f t="shared" si="1"/>
        <v>2</v>
      </c>
      <c r="AA17" s="527">
        <v>2</v>
      </c>
      <c r="AB17" s="525">
        <v>2</v>
      </c>
      <c r="AC17" s="525">
        <v>2</v>
      </c>
      <c r="AD17" s="525">
        <v>2</v>
      </c>
      <c r="AE17" s="525">
        <v>2</v>
      </c>
      <c r="AF17" s="525">
        <v>2</v>
      </c>
      <c r="AG17" s="525">
        <v>2</v>
      </c>
      <c r="AH17" s="525">
        <v>2</v>
      </c>
      <c r="AI17" s="525">
        <v>2</v>
      </c>
      <c r="AJ17" s="526">
        <v>2</v>
      </c>
      <c r="AK17" s="539">
        <f t="shared" si="2"/>
        <v>2</v>
      </c>
      <c r="AL17" s="541" t="s">
        <v>168</v>
      </c>
      <c r="AM17" s="542">
        <f>SUM(E19,P19,AA19)</f>
        <v>18</v>
      </c>
      <c r="AN17" s="515"/>
      <c r="AO17" s="516"/>
    </row>
    <row r="18" spans="1:47" s="529" customFormat="1" ht="33" customHeight="1">
      <c r="A18" s="341"/>
      <c r="B18" s="280"/>
      <c r="C18" s="513" t="s">
        <v>42</v>
      </c>
      <c r="D18" s="119" t="s">
        <v>43</v>
      </c>
      <c r="E18" s="528">
        <v>2</v>
      </c>
      <c r="F18" s="528">
        <v>2</v>
      </c>
      <c r="G18" s="528">
        <v>2</v>
      </c>
      <c r="H18" s="528">
        <v>2</v>
      </c>
      <c r="I18" s="528">
        <v>2</v>
      </c>
      <c r="J18" s="528">
        <v>2</v>
      </c>
      <c r="K18" s="528">
        <v>2</v>
      </c>
      <c r="L18" s="528">
        <v>2</v>
      </c>
      <c r="M18" s="528">
        <v>2</v>
      </c>
      <c r="N18" s="528">
        <v>2</v>
      </c>
      <c r="O18" s="399">
        <f>AVERAGE(E18:N18)</f>
        <v>2</v>
      </c>
      <c r="P18" s="528">
        <v>2</v>
      </c>
      <c r="Q18" s="528">
        <v>2</v>
      </c>
      <c r="R18" s="528">
        <v>2</v>
      </c>
      <c r="S18" s="528">
        <v>2</v>
      </c>
      <c r="T18" s="528">
        <v>2</v>
      </c>
      <c r="U18" s="528">
        <v>2</v>
      </c>
      <c r="V18" s="528">
        <v>2</v>
      </c>
      <c r="W18" s="528">
        <v>2</v>
      </c>
      <c r="X18" s="528">
        <v>2</v>
      </c>
      <c r="Y18" s="528">
        <v>2</v>
      </c>
      <c r="Z18" s="399">
        <f t="shared" si="1"/>
        <v>2</v>
      </c>
      <c r="AA18" s="528">
        <v>2</v>
      </c>
      <c r="AB18" s="528" t="s">
        <v>43</v>
      </c>
      <c r="AC18" s="528" t="s">
        <v>43</v>
      </c>
      <c r="AD18" s="528" t="s">
        <v>43</v>
      </c>
      <c r="AE18" s="528" t="s">
        <v>43</v>
      </c>
      <c r="AF18" s="528" t="s">
        <v>43</v>
      </c>
      <c r="AG18" s="528" t="s">
        <v>43</v>
      </c>
      <c r="AH18" s="528" t="s">
        <v>43</v>
      </c>
      <c r="AI18" s="528" t="s">
        <v>43</v>
      </c>
      <c r="AJ18" s="528" t="s">
        <v>43</v>
      </c>
      <c r="AK18" s="539">
        <f t="shared" si="2"/>
        <v>2</v>
      </c>
      <c r="AL18" s="541" t="s">
        <v>45</v>
      </c>
      <c r="AM18" s="549">
        <f>AVERAGE(E20:AK20)</f>
        <v>1</v>
      </c>
      <c r="AN18" s="515"/>
      <c r="AO18" s="516"/>
    </row>
    <row r="19" spans="1:47" s="21" customFormat="1" ht="36" customHeight="1">
      <c r="A19" s="341"/>
      <c r="B19" s="280"/>
      <c r="C19" s="118" t="s">
        <v>44</v>
      </c>
      <c r="D19" s="157">
        <v>6</v>
      </c>
      <c r="E19" s="536">
        <f>SUM(O15,O17,O18)</f>
        <v>6</v>
      </c>
      <c r="F19" s="537"/>
      <c r="G19" s="537"/>
      <c r="H19" s="537"/>
      <c r="I19" s="537"/>
      <c r="J19" s="537"/>
      <c r="K19" s="537"/>
      <c r="L19" s="537"/>
      <c r="M19" s="537"/>
      <c r="N19" s="537"/>
      <c r="O19" s="538"/>
      <c r="P19" s="536">
        <f t="shared" ref="P19" si="3">SUM(Z15,Z17,Z18)</f>
        <v>6</v>
      </c>
      <c r="Q19" s="537"/>
      <c r="R19" s="537"/>
      <c r="S19" s="537"/>
      <c r="T19" s="537"/>
      <c r="U19" s="537"/>
      <c r="V19" s="537"/>
      <c r="W19" s="537"/>
      <c r="X19" s="537"/>
      <c r="Y19" s="537"/>
      <c r="Z19" s="538"/>
      <c r="AA19" s="536">
        <f t="shared" ref="AA19" si="4">SUM(AK15,AK17,AK18)</f>
        <v>6</v>
      </c>
      <c r="AB19" s="537"/>
      <c r="AC19" s="537"/>
      <c r="AD19" s="537"/>
      <c r="AE19" s="537"/>
      <c r="AF19" s="537"/>
      <c r="AG19" s="537"/>
      <c r="AH19" s="537"/>
      <c r="AI19" s="537"/>
      <c r="AJ19" s="537"/>
      <c r="AK19" s="537"/>
      <c r="AL19" s="541" t="s">
        <v>46</v>
      </c>
      <c r="AM19" s="549">
        <f>AVERAGE(E21:AK21)</f>
        <v>1</v>
      </c>
      <c r="AN19" s="515"/>
      <c r="AO19" s="516"/>
    </row>
    <row r="20" spans="1:47" ht="30.2" customHeight="1">
      <c r="A20" s="341"/>
      <c r="B20" s="280"/>
      <c r="C20" s="118" t="s">
        <v>45</v>
      </c>
      <c r="D20" s="250" t="s">
        <v>47</v>
      </c>
      <c r="E20" s="346">
        <v>1</v>
      </c>
      <c r="F20" s="347"/>
      <c r="G20" s="347"/>
      <c r="H20" s="347"/>
      <c r="I20" s="347"/>
      <c r="J20" s="347"/>
      <c r="K20" s="347"/>
      <c r="L20" s="347"/>
      <c r="M20" s="347"/>
      <c r="N20" s="347"/>
      <c r="O20" s="348"/>
      <c r="P20" s="346">
        <v>1</v>
      </c>
      <c r="Q20" s="347"/>
      <c r="R20" s="347"/>
      <c r="S20" s="347"/>
      <c r="T20" s="347"/>
      <c r="U20" s="347"/>
      <c r="V20" s="347"/>
      <c r="W20" s="347"/>
      <c r="X20" s="347"/>
      <c r="Y20" s="347"/>
      <c r="Z20" s="348"/>
      <c r="AA20" s="346">
        <v>1</v>
      </c>
      <c r="AB20" s="347"/>
      <c r="AC20" s="347"/>
      <c r="AD20" s="347"/>
      <c r="AE20" s="347"/>
      <c r="AF20" s="347"/>
      <c r="AG20" s="347"/>
      <c r="AH20" s="347"/>
      <c r="AI20" s="347"/>
      <c r="AJ20" s="347"/>
      <c r="AK20" s="540"/>
      <c r="AL20" s="541"/>
      <c r="AM20" s="541"/>
      <c r="AN20" s="515"/>
      <c r="AO20" s="516"/>
    </row>
    <row r="21" spans="1:47" ht="30.2" customHeight="1" thickBot="1">
      <c r="A21" s="342"/>
      <c r="B21" s="281"/>
      <c r="C21" s="120" t="s">
        <v>46</v>
      </c>
      <c r="D21" s="345"/>
      <c r="E21" s="486">
        <f>E19/D19</f>
        <v>1</v>
      </c>
      <c r="F21" s="487"/>
      <c r="G21" s="487"/>
      <c r="H21" s="487"/>
      <c r="I21" s="487"/>
      <c r="J21" s="487"/>
      <c r="K21" s="487"/>
      <c r="L21" s="487"/>
      <c r="M21" s="487"/>
      <c r="N21" s="487"/>
      <c r="O21" s="488"/>
      <c r="P21" s="486">
        <f>P19/D19</f>
        <v>1</v>
      </c>
      <c r="Q21" s="487"/>
      <c r="R21" s="487"/>
      <c r="S21" s="487"/>
      <c r="T21" s="487"/>
      <c r="U21" s="487"/>
      <c r="V21" s="487"/>
      <c r="W21" s="487"/>
      <c r="X21" s="487"/>
      <c r="Y21" s="487"/>
      <c r="Z21" s="488"/>
      <c r="AA21" s="486">
        <f>AA19/D19</f>
        <v>1</v>
      </c>
      <c r="AB21" s="487"/>
      <c r="AC21" s="487"/>
      <c r="AD21" s="487"/>
      <c r="AE21" s="487"/>
      <c r="AF21" s="487"/>
      <c r="AG21" s="487"/>
      <c r="AH21" s="487"/>
      <c r="AI21" s="487"/>
      <c r="AJ21" s="487"/>
      <c r="AK21" s="487"/>
      <c r="AL21" s="541"/>
      <c r="AM21" s="541"/>
      <c r="AN21" s="517"/>
      <c r="AO21" s="518"/>
    </row>
    <row r="22" spans="1:47" s="21" customFormat="1" ht="46.5" customHeight="1">
      <c r="A22" s="349">
        <v>2</v>
      </c>
      <c r="B22" s="351" t="s">
        <v>48</v>
      </c>
      <c r="C22" s="121" t="s">
        <v>118</v>
      </c>
      <c r="D22" s="159">
        <v>2</v>
      </c>
      <c r="E22" s="534">
        <v>2</v>
      </c>
      <c r="F22" s="535"/>
      <c r="G22" s="535"/>
      <c r="H22" s="535"/>
      <c r="I22" s="535"/>
      <c r="J22" s="535"/>
      <c r="K22" s="535"/>
      <c r="L22" s="535"/>
      <c r="M22" s="535"/>
      <c r="N22" s="535"/>
      <c r="O22" s="456"/>
      <c r="P22" s="534">
        <v>2</v>
      </c>
      <c r="Q22" s="535"/>
      <c r="R22" s="535"/>
      <c r="S22" s="535"/>
      <c r="T22" s="535"/>
      <c r="U22" s="535"/>
      <c r="V22" s="535"/>
      <c r="W22" s="535"/>
      <c r="X22" s="535"/>
      <c r="Y22" s="535"/>
      <c r="Z22" s="456"/>
      <c r="AA22" s="534">
        <v>2</v>
      </c>
      <c r="AB22" s="535"/>
      <c r="AC22" s="535"/>
      <c r="AD22" s="535"/>
      <c r="AE22" s="535"/>
      <c r="AF22" s="535"/>
      <c r="AG22" s="535"/>
      <c r="AH22" s="535"/>
      <c r="AI22" s="535"/>
      <c r="AJ22" s="535"/>
      <c r="AK22" s="456"/>
      <c r="AL22" s="541" t="s">
        <v>167</v>
      </c>
      <c r="AM22" s="541">
        <f>D26*3</f>
        <v>24</v>
      </c>
      <c r="AN22" s="541"/>
      <c r="AO22" s="541"/>
    </row>
    <row r="23" spans="1:47" s="21" customFormat="1" ht="49.5" customHeight="1">
      <c r="A23" s="349"/>
      <c r="B23" s="351"/>
      <c r="C23" s="122" t="s">
        <v>119</v>
      </c>
      <c r="D23" s="157">
        <v>2</v>
      </c>
      <c r="E23" s="534">
        <v>2</v>
      </c>
      <c r="F23" s="535"/>
      <c r="G23" s="535"/>
      <c r="H23" s="535"/>
      <c r="I23" s="535"/>
      <c r="J23" s="535"/>
      <c r="K23" s="535"/>
      <c r="L23" s="535"/>
      <c r="M23" s="535"/>
      <c r="N23" s="535"/>
      <c r="O23" s="456"/>
      <c r="P23" s="534">
        <v>2</v>
      </c>
      <c r="Q23" s="535"/>
      <c r="R23" s="535"/>
      <c r="S23" s="535"/>
      <c r="T23" s="535"/>
      <c r="U23" s="535"/>
      <c r="V23" s="535"/>
      <c r="W23" s="535"/>
      <c r="X23" s="535"/>
      <c r="Y23" s="535"/>
      <c r="Z23" s="456"/>
      <c r="AA23" s="534">
        <v>2</v>
      </c>
      <c r="AB23" s="535"/>
      <c r="AC23" s="535"/>
      <c r="AD23" s="535"/>
      <c r="AE23" s="535"/>
      <c r="AF23" s="535"/>
      <c r="AG23" s="535"/>
      <c r="AH23" s="535"/>
      <c r="AI23" s="535"/>
      <c r="AJ23" s="535"/>
      <c r="AK23" s="456"/>
      <c r="AL23" s="541" t="s">
        <v>168</v>
      </c>
      <c r="AM23" s="542">
        <f>SUM(E26:AK26)</f>
        <v>24</v>
      </c>
      <c r="AN23" s="541"/>
      <c r="AO23" s="542"/>
      <c r="AR23" s="543" t="s">
        <v>166</v>
      </c>
      <c r="AS23" s="544"/>
      <c r="AT23" s="544"/>
      <c r="AU23" s="545"/>
    </row>
    <row r="24" spans="1:47" s="21" customFormat="1" ht="39" customHeight="1">
      <c r="A24" s="349"/>
      <c r="B24" s="351"/>
      <c r="C24" s="122" t="s">
        <v>120</v>
      </c>
      <c r="D24" s="157">
        <v>2</v>
      </c>
      <c r="E24" s="534">
        <v>2</v>
      </c>
      <c r="F24" s="535"/>
      <c r="G24" s="535"/>
      <c r="H24" s="535"/>
      <c r="I24" s="535"/>
      <c r="J24" s="535"/>
      <c r="K24" s="535"/>
      <c r="L24" s="535"/>
      <c r="M24" s="535"/>
      <c r="N24" s="535"/>
      <c r="O24" s="456"/>
      <c r="P24" s="534">
        <v>2</v>
      </c>
      <c r="Q24" s="535"/>
      <c r="R24" s="535"/>
      <c r="S24" s="535"/>
      <c r="T24" s="535"/>
      <c r="U24" s="535"/>
      <c r="V24" s="535"/>
      <c r="W24" s="535"/>
      <c r="X24" s="535"/>
      <c r="Y24" s="535"/>
      <c r="Z24" s="456"/>
      <c r="AA24" s="534">
        <v>2</v>
      </c>
      <c r="AB24" s="535"/>
      <c r="AC24" s="535"/>
      <c r="AD24" s="535"/>
      <c r="AE24" s="535"/>
      <c r="AF24" s="535"/>
      <c r="AG24" s="535"/>
      <c r="AH24" s="535"/>
      <c r="AI24" s="535"/>
      <c r="AJ24" s="535"/>
      <c r="AK24" s="456"/>
      <c r="AL24" s="541" t="s">
        <v>45</v>
      </c>
      <c r="AM24" s="549">
        <f>AVERAGE(E27:AK27)</f>
        <v>1</v>
      </c>
      <c r="AN24" s="541"/>
      <c r="AO24" s="541"/>
      <c r="AR24" s="364"/>
      <c r="AS24" s="357"/>
      <c r="AT24" s="357"/>
      <c r="AU24" s="358"/>
    </row>
    <row r="25" spans="1:47" ht="48" customHeight="1">
      <c r="A25" s="349"/>
      <c r="B25" s="351"/>
      <c r="C25" s="122" t="s">
        <v>121</v>
      </c>
      <c r="D25" s="157">
        <v>2</v>
      </c>
      <c r="E25" s="534">
        <v>2</v>
      </c>
      <c r="F25" s="535"/>
      <c r="G25" s="535"/>
      <c r="H25" s="535"/>
      <c r="I25" s="535"/>
      <c r="J25" s="535"/>
      <c r="K25" s="535"/>
      <c r="L25" s="535"/>
      <c r="M25" s="535"/>
      <c r="N25" s="535"/>
      <c r="O25" s="456"/>
      <c r="P25" s="534">
        <v>2</v>
      </c>
      <c r="Q25" s="535"/>
      <c r="R25" s="535"/>
      <c r="S25" s="535"/>
      <c r="T25" s="535"/>
      <c r="U25" s="535"/>
      <c r="V25" s="535"/>
      <c r="W25" s="535"/>
      <c r="X25" s="535"/>
      <c r="Y25" s="535"/>
      <c r="Z25" s="456"/>
      <c r="AA25" s="534">
        <v>2</v>
      </c>
      <c r="AB25" s="535"/>
      <c r="AC25" s="535"/>
      <c r="AD25" s="535"/>
      <c r="AE25" s="535"/>
      <c r="AF25" s="535"/>
      <c r="AG25" s="535"/>
      <c r="AH25" s="535"/>
      <c r="AI25" s="535"/>
      <c r="AJ25" s="535"/>
      <c r="AK25" s="456"/>
      <c r="AL25" s="541" t="s">
        <v>46</v>
      </c>
      <c r="AM25" s="549">
        <f>AVERAGE(E28:AK28)</f>
        <v>1</v>
      </c>
      <c r="AN25" s="541"/>
      <c r="AO25" s="541"/>
      <c r="AR25" s="364"/>
      <c r="AS25" s="357"/>
      <c r="AT25" s="357"/>
      <c r="AU25" s="358"/>
    </row>
    <row r="26" spans="1:47" s="21" customFormat="1" ht="36" customHeight="1" thickBot="1">
      <c r="A26" s="349"/>
      <c r="B26" s="351"/>
      <c r="C26" s="122" t="s">
        <v>44</v>
      </c>
      <c r="D26" s="169">
        <v>8</v>
      </c>
      <c r="E26" s="550">
        <f>SUM(E22:O25)</f>
        <v>8</v>
      </c>
      <c r="F26" s="537"/>
      <c r="G26" s="537"/>
      <c r="H26" s="537"/>
      <c r="I26" s="537"/>
      <c r="J26" s="537"/>
      <c r="K26" s="537"/>
      <c r="L26" s="537"/>
      <c r="M26" s="537"/>
      <c r="N26" s="537"/>
      <c r="O26" s="538"/>
      <c r="P26" s="550">
        <f t="shared" ref="P26" si="5">SUM(P22:Z25)</f>
        <v>8</v>
      </c>
      <c r="Q26" s="537"/>
      <c r="R26" s="537"/>
      <c r="S26" s="537"/>
      <c r="T26" s="537"/>
      <c r="U26" s="537"/>
      <c r="V26" s="537"/>
      <c r="W26" s="537"/>
      <c r="X26" s="537"/>
      <c r="Y26" s="537"/>
      <c r="Z26" s="538"/>
      <c r="AA26" s="550">
        <f t="shared" ref="AA26" si="6">SUM(AA22:AK25)</f>
        <v>8</v>
      </c>
      <c r="AB26" s="537"/>
      <c r="AC26" s="537"/>
      <c r="AD26" s="537"/>
      <c r="AE26" s="537"/>
      <c r="AF26" s="537"/>
      <c r="AG26" s="537"/>
      <c r="AH26" s="537"/>
      <c r="AI26" s="537"/>
      <c r="AJ26" s="537"/>
      <c r="AK26" s="538"/>
      <c r="AL26" s="541"/>
      <c r="AM26" s="541"/>
      <c r="AN26" s="541"/>
      <c r="AO26" s="541"/>
      <c r="AR26" s="546"/>
      <c r="AS26" s="547"/>
      <c r="AT26" s="547"/>
      <c r="AU26" s="548"/>
    </row>
    <row r="27" spans="1:47" ht="30.2" customHeight="1">
      <c r="A27" s="349"/>
      <c r="B27" s="351"/>
      <c r="C27" s="122" t="s">
        <v>45</v>
      </c>
      <c r="D27" s="356" t="s">
        <v>47</v>
      </c>
      <c r="E27" s="346">
        <v>1</v>
      </c>
      <c r="F27" s="347"/>
      <c r="G27" s="347"/>
      <c r="H27" s="347"/>
      <c r="I27" s="347"/>
      <c r="J27" s="347"/>
      <c r="K27" s="347"/>
      <c r="L27" s="347"/>
      <c r="M27" s="347"/>
      <c r="N27" s="347"/>
      <c r="O27" s="348"/>
      <c r="P27" s="346">
        <v>1</v>
      </c>
      <c r="Q27" s="347"/>
      <c r="R27" s="347"/>
      <c r="S27" s="347"/>
      <c r="T27" s="347"/>
      <c r="U27" s="347"/>
      <c r="V27" s="347"/>
      <c r="W27" s="347"/>
      <c r="X27" s="347"/>
      <c r="Y27" s="347"/>
      <c r="Z27" s="348"/>
      <c r="AA27" s="346">
        <v>1</v>
      </c>
      <c r="AB27" s="347"/>
      <c r="AC27" s="347"/>
      <c r="AD27" s="347"/>
      <c r="AE27" s="347"/>
      <c r="AF27" s="347"/>
      <c r="AG27" s="347"/>
      <c r="AH27" s="347"/>
      <c r="AI27" s="347"/>
      <c r="AJ27" s="347"/>
      <c r="AK27" s="348"/>
      <c r="AL27" s="541"/>
      <c r="AM27" s="541"/>
      <c r="AN27" s="541"/>
      <c r="AO27" s="541"/>
    </row>
    <row r="28" spans="1:47" ht="30.2" customHeight="1" thickBot="1">
      <c r="A28" s="350"/>
      <c r="B28" s="352"/>
      <c r="C28" s="123" t="s">
        <v>46</v>
      </c>
      <c r="D28" s="273"/>
      <c r="E28" s="486">
        <f>E26/D26</f>
        <v>1</v>
      </c>
      <c r="F28" s="487"/>
      <c r="G28" s="487"/>
      <c r="H28" s="487"/>
      <c r="I28" s="487"/>
      <c r="J28" s="487"/>
      <c r="K28" s="487"/>
      <c r="L28" s="487"/>
      <c r="M28" s="487"/>
      <c r="N28" s="487"/>
      <c r="O28" s="488"/>
      <c r="P28" s="486">
        <f>P26/D26</f>
        <v>1</v>
      </c>
      <c r="Q28" s="487"/>
      <c r="R28" s="487"/>
      <c r="S28" s="487"/>
      <c r="T28" s="487"/>
      <c r="U28" s="487"/>
      <c r="V28" s="487"/>
      <c r="W28" s="487"/>
      <c r="X28" s="487"/>
      <c r="Y28" s="487"/>
      <c r="Z28" s="488"/>
      <c r="AA28" s="486">
        <f>AA26/D26</f>
        <v>1</v>
      </c>
      <c r="AB28" s="487"/>
      <c r="AC28" s="487"/>
      <c r="AD28" s="487"/>
      <c r="AE28" s="487"/>
      <c r="AF28" s="487"/>
      <c r="AG28" s="487"/>
      <c r="AH28" s="487"/>
      <c r="AI28" s="487"/>
      <c r="AJ28" s="487"/>
      <c r="AK28" s="488"/>
      <c r="AL28" s="541"/>
      <c r="AM28" s="541"/>
      <c r="AN28" s="541"/>
      <c r="AO28" s="541"/>
    </row>
    <row r="29" spans="1:47" s="21" customFormat="1" ht="43.5" customHeight="1">
      <c r="A29" s="353">
        <v>3</v>
      </c>
      <c r="B29" s="258" t="s">
        <v>122</v>
      </c>
      <c r="C29" s="124" t="s">
        <v>123</v>
      </c>
      <c r="D29" s="354" t="s">
        <v>47</v>
      </c>
      <c r="E29" s="534">
        <v>100</v>
      </c>
      <c r="F29" s="535"/>
      <c r="G29" s="535"/>
      <c r="H29" s="535"/>
      <c r="I29" s="535"/>
      <c r="J29" s="535"/>
      <c r="K29" s="535"/>
      <c r="L29" s="535"/>
      <c r="M29" s="535"/>
      <c r="N29" s="535"/>
      <c r="O29" s="456"/>
      <c r="P29" s="534">
        <v>100</v>
      </c>
      <c r="Q29" s="535"/>
      <c r="R29" s="535"/>
      <c r="S29" s="535"/>
      <c r="T29" s="535"/>
      <c r="U29" s="535"/>
      <c r="V29" s="535"/>
      <c r="W29" s="535"/>
      <c r="X29" s="535"/>
      <c r="Y29" s="535"/>
      <c r="Z29" s="456"/>
      <c r="AA29" s="534">
        <v>100</v>
      </c>
      <c r="AB29" s="535"/>
      <c r="AC29" s="535"/>
      <c r="AD29" s="535"/>
      <c r="AE29" s="535"/>
      <c r="AF29" s="535"/>
      <c r="AG29" s="535"/>
      <c r="AH29" s="535"/>
      <c r="AI29" s="535"/>
      <c r="AJ29" s="535"/>
      <c r="AK29" s="456"/>
      <c r="AL29" s="541" t="s">
        <v>123</v>
      </c>
      <c r="AM29" s="541">
        <f>SUM(E29:AK29)</f>
        <v>300</v>
      </c>
      <c r="AN29" s="541"/>
      <c r="AO29" s="541"/>
    </row>
    <row r="30" spans="1:47" ht="57.75" customHeight="1">
      <c r="A30" s="349"/>
      <c r="B30" s="259"/>
      <c r="C30" s="125" t="s">
        <v>124</v>
      </c>
      <c r="D30" s="355"/>
      <c r="E30" s="534">
        <v>100</v>
      </c>
      <c r="F30" s="535"/>
      <c r="G30" s="535"/>
      <c r="H30" s="535"/>
      <c r="I30" s="535"/>
      <c r="J30" s="535"/>
      <c r="K30" s="535"/>
      <c r="L30" s="535"/>
      <c r="M30" s="535"/>
      <c r="N30" s="535"/>
      <c r="O30" s="456"/>
      <c r="P30" s="534">
        <v>100</v>
      </c>
      <c r="Q30" s="535"/>
      <c r="R30" s="535"/>
      <c r="S30" s="535"/>
      <c r="T30" s="535"/>
      <c r="U30" s="535"/>
      <c r="V30" s="535"/>
      <c r="W30" s="535"/>
      <c r="X30" s="535"/>
      <c r="Y30" s="535"/>
      <c r="Z30" s="456"/>
      <c r="AA30" s="534">
        <v>100</v>
      </c>
      <c r="AB30" s="535"/>
      <c r="AC30" s="535"/>
      <c r="AD30" s="535"/>
      <c r="AE30" s="535"/>
      <c r="AF30" s="535"/>
      <c r="AG30" s="535"/>
      <c r="AH30" s="535"/>
      <c r="AI30" s="535"/>
      <c r="AJ30" s="535"/>
      <c r="AK30" s="456"/>
      <c r="AL30" s="541" t="s">
        <v>169</v>
      </c>
      <c r="AM30" s="542">
        <f>SUM(E30:AK30)</f>
        <v>300</v>
      </c>
      <c r="AN30" s="541"/>
      <c r="AO30" s="542"/>
    </row>
    <row r="31" spans="1:47" ht="30.2" customHeight="1">
      <c r="A31" s="349"/>
      <c r="B31" s="259"/>
      <c r="C31" s="122" t="s">
        <v>45</v>
      </c>
      <c r="D31" s="355"/>
      <c r="E31" s="268">
        <v>1</v>
      </c>
      <c r="F31" s="266"/>
      <c r="G31" s="266"/>
      <c r="H31" s="266"/>
      <c r="I31" s="266"/>
      <c r="J31" s="266"/>
      <c r="K31" s="266"/>
      <c r="L31" s="266"/>
      <c r="M31" s="266"/>
      <c r="N31" s="266"/>
      <c r="O31" s="267"/>
      <c r="P31" s="268">
        <v>1</v>
      </c>
      <c r="Q31" s="266"/>
      <c r="R31" s="266"/>
      <c r="S31" s="266"/>
      <c r="T31" s="266"/>
      <c r="U31" s="266"/>
      <c r="V31" s="266"/>
      <c r="W31" s="266"/>
      <c r="X31" s="266"/>
      <c r="Y31" s="266"/>
      <c r="Z31" s="267"/>
      <c r="AA31" s="268">
        <v>1</v>
      </c>
      <c r="AB31" s="266"/>
      <c r="AC31" s="266"/>
      <c r="AD31" s="266"/>
      <c r="AE31" s="266"/>
      <c r="AF31" s="266"/>
      <c r="AG31" s="266"/>
      <c r="AH31" s="266"/>
      <c r="AI31" s="266"/>
      <c r="AJ31" s="266"/>
      <c r="AK31" s="267"/>
      <c r="AL31" s="541" t="s">
        <v>45</v>
      </c>
      <c r="AM31" s="549">
        <f>AVERAGE(E31:AK31)</f>
        <v>1</v>
      </c>
      <c r="AN31" s="541"/>
      <c r="AO31" s="541"/>
    </row>
    <row r="32" spans="1:47" ht="87" customHeight="1" thickBot="1">
      <c r="A32" s="349"/>
      <c r="B32" s="259"/>
      <c r="C32" s="126" t="s">
        <v>46</v>
      </c>
      <c r="D32" s="355"/>
      <c r="E32" s="486">
        <f>E30/E29</f>
        <v>1</v>
      </c>
      <c r="F32" s="487"/>
      <c r="G32" s="487"/>
      <c r="H32" s="487"/>
      <c r="I32" s="487"/>
      <c r="J32" s="487"/>
      <c r="K32" s="487"/>
      <c r="L32" s="487"/>
      <c r="M32" s="487"/>
      <c r="N32" s="487"/>
      <c r="O32" s="488"/>
      <c r="P32" s="486">
        <f t="shared" ref="P32:AK32" si="7">P30/P29</f>
        <v>1</v>
      </c>
      <c r="Q32" s="487"/>
      <c r="R32" s="487"/>
      <c r="S32" s="487"/>
      <c r="T32" s="487"/>
      <c r="U32" s="487"/>
      <c r="V32" s="487"/>
      <c r="W32" s="487"/>
      <c r="X32" s="487"/>
      <c r="Y32" s="487"/>
      <c r="Z32" s="488"/>
      <c r="AA32" s="486">
        <f t="shared" ref="AA32:AK32" si="8">AA30/AA29</f>
        <v>1</v>
      </c>
      <c r="AB32" s="487"/>
      <c r="AC32" s="487"/>
      <c r="AD32" s="487"/>
      <c r="AE32" s="487"/>
      <c r="AF32" s="487"/>
      <c r="AG32" s="487"/>
      <c r="AH32" s="487"/>
      <c r="AI32" s="487"/>
      <c r="AJ32" s="487"/>
      <c r="AK32" s="488"/>
      <c r="AL32" s="541" t="s">
        <v>170</v>
      </c>
      <c r="AM32" s="549">
        <f>AVERAGE(E32:AK32)</f>
        <v>1</v>
      </c>
      <c r="AN32" s="541"/>
      <c r="AO32" s="541"/>
    </row>
    <row r="33" spans="1:41" ht="34.5" customHeight="1">
      <c r="A33" s="353">
        <v>4</v>
      </c>
      <c r="B33" s="258" t="s">
        <v>57</v>
      </c>
      <c r="C33" s="127" t="s">
        <v>58</v>
      </c>
      <c r="D33" s="160">
        <v>2</v>
      </c>
      <c r="E33" s="534">
        <v>2</v>
      </c>
      <c r="F33" s="535"/>
      <c r="G33" s="535"/>
      <c r="H33" s="535"/>
      <c r="I33" s="535"/>
      <c r="J33" s="535"/>
      <c r="K33" s="535"/>
      <c r="L33" s="535"/>
      <c r="M33" s="535"/>
      <c r="N33" s="535"/>
      <c r="O33" s="456"/>
      <c r="P33" s="534">
        <v>2</v>
      </c>
      <c r="Q33" s="535"/>
      <c r="R33" s="535"/>
      <c r="S33" s="535"/>
      <c r="T33" s="535"/>
      <c r="U33" s="535"/>
      <c r="V33" s="535"/>
      <c r="W33" s="535"/>
      <c r="X33" s="535"/>
      <c r="Y33" s="535"/>
      <c r="Z33" s="456"/>
      <c r="AA33" s="534">
        <v>2</v>
      </c>
      <c r="AB33" s="535"/>
      <c r="AC33" s="535"/>
      <c r="AD33" s="535"/>
      <c r="AE33" s="535"/>
      <c r="AF33" s="535"/>
      <c r="AG33" s="535"/>
      <c r="AH33" s="535"/>
      <c r="AI33" s="535"/>
      <c r="AJ33" s="535"/>
      <c r="AK33" s="456"/>
      <c r="AL33" s="541" t="s">
        <v>167</v>
      </c>
      <c r="AM33" s="541">
        <f>D37*3</f>
        <v>24</v>
      </c>
      <c r="AN33" s="541"/>
      <c r="AO33" s="541"/>
    </row>
    <row r="34" spans="1:41" ht="55.5" customHeight="1">
      <c r="A34" s="349"/>
      <c r="B34" s="259"/>
      <c r="C34" s="122" t="s">
        <v>125</v>
      </c>
      <c r="D34" s="157">
        <v>2</v>
      </c>
      <c r="E34" s="534">
        <v>2</v>
      </c>
      <c r="F34" s="535"/>
      <c r="G34" s="535"/>
      <c r="H34" s="535"/>
      <c r="I34" s="535"/>
      <c r="J34" s="535"/>
      <c r="K34" s="535"/>
      <c r="L34" s="535"/>
      <c r="M34" s="535"/>
      <c r="N34" s="535"/>
      <c r="O34" s="456"/>
      <c r="P34" s="534">
        <v>2</v>
      </c>
      <c r="Q34" s="535"/>
      <c r="R34" s="535"/>
      <c r="S34" s="535"/>
      <c r="T34" s="535"/>
      <c r="U34" s="535"/>
      <c r="V34" s="535"/>
      <c r="W34" s="535"/>
      <c r="X34" s="535"/>
      <c r="Y34" s="535"/>
      <c r="Z34" s="456"/>
      <c r="AA34" s="534">
        <v>2</v>
      </c>
      <c r="AB34" s="535"/>
      <c r="AC34" s="535"/>
      <c r="AD34" s="535"/>
      <c r="AE34" s="535"/>
      <c r="AF34" s="535"/>
      <c r="AG34" s="535"/>
      <c r="AH34" s="535"/>
      <c r="AI34" s="535"/>
      <c r="AJ34" s="535"/>
      <c r="AK34" s="456"/>
      <c r="AL34" s="541" t="s">
        <v>168</v>
      </c>
      <c r="AM34" s="542">
        <f>SUM(E37:AK37)</f>
        <v>24</v>
      </c>
      <c r="AN34" s="541"/>
      <c r="AO34" s="542"/>
    </row>
    <row r="35" spans="1:41" ht="57.75" customHeight="1">
      <c r="A35" s="349"/>
      <c r="B35" s="259"/>
      <c r="C35" s="122" t="s">
        <v>60</v>
      </c>
      <c r="D35" s="157">
        <v>2</v>
      </c>
      <c r="E35" s="534">
        <v>2</v>
      </c>
      <c r="F35" s="535"/>
      <c r="G35" s="535"/>
      <c r="H35" s="535"/>
      <c r="I35" s="535"/>
      <c r="J35" s="535"/>
      <c r="K35" s="535"/>
      <c r="L35" s="535"/>
      <c r="M35" s="535"/>
      <c r="N35" s="535"/>
      <c r="O35" s="456"/>
      <c r="P35" s="534">
        <v>2</v>
      </c>
      <c r="Q35" s="535"/>
      <c r="R35" s="535"/>
      <c r="S35" s="535"/>
      <c r="T35" s="535"/>
      <c r="U35" s="535"/>
      <c r="V35" s="535"/>
      <c r="W35" s="535"/>
      <c r="X35" s="535"/>
      <c r="Y35" s="535"/>
      <c r="Z35" s="456"/>
      <c r="AA35" s="534">
        <v>2</v>
      </c>
      <c r="AB35" s="535"/>
      <c r="AC35" s="535"/>
      <c r="AD35" s="535"/>
      <c r="AE35" s="535"/>
      <c r="AF35" s="535"/>
      <c r="AG35" s="535"/>
      <c r="AH35" s="535"/>
      <c r="AI35" s="535"/>
      <c r="AJ35" s="535"/>
      <c r="AK35" s="456"/>
      <c r="AL35" s="541" t="s">
        <v>45</v>
      </c>
      <c r="AM35" s="549">
        <f>AVERAGE(E38:AK38)</f>
        <v>1</v>
      </c>
      <c r="AN35" s="541"/>
      <c r="AO35" s="541"/>
    </row>
    <row r="36" spans="1:41" ht="63.75" customHeight="1">
      <c r="A36" s="349"/>
      <c r="B36" s="259"/>
      <c r="C36" s="122" t="s">
        <v>126</v>
      </c>
      <c r="D36" s="157">
        <v>2</v>
      </c>
      <c r="E36" s="534">
        <v>2</v>
      </c>
      <c r="F36" s="535"/>
      <c r="G36" s="535"/>
      <c r="H36" s="535"/>
      <c r="I36" s="535"/>
      <c r="J36" s="535"/>
      <c r="K36" s="535"/>
      <c r="L36" s="535"/>
      <c r="M36" s="535"/>
      <c r="N36" s="535"/>
      <c r="O36" s="456"/>
      <c r="P36" s="534">
        <v>2</v>
      </c>
      <c r="Q36" s="535"/>
      <c r="R36" s="535"/>
      <c r="S36" s="535"/>
      <c r="T36" s="535"/>
      <c r="U36" s="535"/>
      <c r="V36" s="535"/>
      <c r="W36" s="535"/>
      <c r="X36" s="535"/>
      <c r="Y36" s="535"/>
      <c r="Z36" s="456"/>
      <c r="AA36" s="534">
        <v>2</v>
      </c>
      <c r="AB36" s="535"/>
      <c r="AC36" s="535"/>
      <c r="AD36" s="535"/>
      <c r="AE36" s="535"/>
      <c r="AF36" s="535"/>
      <c r="AG36" s="535"/>
      <c r="AH36" s="535"/>
      <c r="AI36" s="535"/>
      <c r="AJ36" s="535"/>
      <c r="AK36" s="456"/>
      <c r="AL36" s="541" t="s">
        <v>46</v>
      </c>
      <c r="AM36" s="549">
        <f>AVERAGE(E39:AK39)</f>
        <v>1</v>
      </c>
      <c r="AN36" s="541"/>
      <c r="AO36" s="541"/>
    </row>
    <row r="37" spans="1:41" ht="36.75" customHeight="1">
      <c r="A37" s="349"/>
      <c r="B37" s="259"/>
      <c r="C37" s="122" t="s">
        <v>44</v>
      </c>
      <c r="D37" s="169">
        <v>8</v>
      </c>
      <c r="E37" s="550">
        <f>SUM(E33:O36)</f>
        <v>8</v>
      </c>
      <c r="F37" s="537"/>
      <c r="G37" s="537"/>
      <c r="H37" s="537"/>
      <c r="I37" s="537"/>
      <c r="J37" s="537"/>
      <c r="K37" s="537"/>
      <c r="L37" s="537"/>
      <c r="M37" s="537"/>
      <c r="N37" s="537"/>
      <c r="O37" s="538"/>
      <c r="P37" s="550">
        <f t="shared" ref="P37" si="9">SUM(P33:Z36)</f>
        <v>8</v>
      </c>
      <c r="Q37" s="537"/>
      <c r="R37" s="537"/>
      <c r="S37" s="537"/>
      <c r="T37" s="537"/>
      <c r="U37" s="537"/>
      <c r="V37" s="537"/>
      <c r="W37" s="537"/>
      <c r="X37" s="537"/>
      <c r="Y37" s="537"/>
      <c r="Z37" s="538"/>
      <c r="AA37" s="550">
        <f t="shared" ref="AA37" si="10">SUM(AA33:AK36)</f>
        <v>8</v>
      </c>
      <c r="AB37" s="537"/>
      <c r="AC37" s="537"/>
      <c r="AD37" s="537"/>
      <c r="AE37" s="537"/>
      <c r="AF37" s="537"/>
      <c r="AG37" s="537"/>
      <c r="AH37" s="537"/>
      <c r="AI37" s="537"/>
      <c r="AJ37" s="537"/>
      <c r="AK37" s="538"/>
      <c r="AL37" s="541"/>
      <c r="AM37" s="541"/>
      <c r="AN37" s="541"/>
      <c r="AO37" s="541"/>
    </row>
    <row r="38" spans="1:41" ht="30.2" customHeight="1">
      <c r="A38" s="349"/>
      <c r="B38" s="259"/>
      <c r="C38" s="122" t="s">
        <v>127</v>
      </c>
      <c r="D38" s="359" t="s">
        <v>47</v>
      </c>
      <c r="E38" s="361">
        <v>1</v>
      </c>
      <c r="F38" s="362"/>
      <c r="G38" s="362"/>
      <c r="H38" s="362"/>
      <c r="I38" s="362"/>
      <c r="J38" s="362"/>
      <c r="K38" s="362"/>
      <c r="L38" s="362"/>
      <c r="M38" s="362"/>
      <c r="N38" s="362"/>
      <c r="O38" s="363"/>
      <c r="P38" s="361">
        <v>1</v>
      </c>
      <c r="Q38" s="362"/>
      <c r="R38" s="362"/>
      <c r="S38" s="362"/>
      <c r="T38" s="362"/>
      <c r="U38" s="362"/>
      <c r="V38" s="362"/>
      <c r="W38" s="362"/>
      <c r="X38" s="362"/>
      <c r="Y38" s="362"/>
      <c r="Z38" s="363"/>
      <c r="AA38" s="361">
        <v>1</v>
      </c>
      <c r="AB38" s="362"/>
      <c r="AC38" s="362"/>
      <c r="AD38" s="362"/>
      <c r="AE38" s="362"/>
      <c r="AF38" s="362"/>
      <c r="AG38" s="362"/>
      <c r="AH38" s="362"/>
      <c r="AI38" s="362"/>
      <c r="AJ38" s="362"/>
      <c r="AK38" s="363"/>
      <c r="AL38" s="541"/>
      <c r="AM38" s="541"/>
      <c r="AN38" s="541"/>
      <c r="AO38" s="541"/>
    </row>
    <row r="39" spans="1:41" ht="30.2" customHeight="1" thickBot="1">
      <c r="A39" s="350"/>
      <c r="B39" s="260"/>
      <c r="C39" s="128" t="s">
        <v>46</v>
      </c>
      <c r="D39" s="360"/>
      <c r="E39" s="486">
        <f>E37/D37</f>
        <v>1</v>
      </c>
      <c r="F39" s="487"/>
      <c r="G39" s="487"/>
      <c r="H39" s="487"/>
      <c r="I39" s="487"/>
      <c r="J39" s="487"/>
      <c r="K39" s="487"/>
      <c r="L39" s="487"/>
      <c r="M39" s="487"/>
      <c r="N39" s="487"/>
      <c r="O39" s="488"/>
      <c r="P39" s="486">
        <f>P37/D37</f>
        <v>1</v>
      </c>
      <c r="Q39" s="487"/>
      <c r="R39" s="487"/>
      <c r="S39" s="487"/>
      <c r="T39" s="487"/>
      <c r="U39" s="487"/>
      <c r="V39" s="487"/>
      <c r="W39" s="487"/>
      <c r="X39" s="487"/>
      <c r="Y39" s="487"/>
      <c r="Z39" s="488"/>
      <c r="AA39" s="486">
        <f>AA37/D37</f>
        <v>1</v>
      </c>
      <c r="AB39" s="487"/>
      <c r="AC39" s="487"/>
      <c r="AD39" s="487"/>
      <c r="AE39" s="487"/>
      <c r="AF39" s="487"/>
      <c r="AG39" s="487"/>
      <c r="AH39" s="487"/>
      <c r="AI39" s="487"/>
      <c r="AJ39" s="487"/>
      <c r="AK39" s="488"/>
      <c r="AL39" s="541"/>
      <c r="AM39" s="541"/>
      <c r="AN39" s="541"/>
      <c r="AO39" s="541"/>
    </row>
    <row r="40" spans="1:41" ht="30.2" customHeight="1">
      <c r="A40" s="349">
        <v>5</v>
      </c>
      <c r="B40" s="259" t="s">
        <v>63</v>
      </c>
      <c r="C40" s="125" t="s">
        <v>128</v>
      </c>
      <c r="D40" s="158">
        <v>2</v>
      </c>
      <c r="E40" s="534">
        <v>2</v>
      </c>
      <c r="F40" s="535"/>
      <c r="G40" s="535"/>
      <c r="H40" s="535"/>
      <c r="I40" s="535"/>
      <c r="J40" s="535"/>
      <c r="K40" s="535"/>
      <c r="L40" s="535"/>
      <c r="M40" s="535"/>
      <c r="N40" s="535"/>
      <c r="O40" s="456"/>
      <c r="P40" s="534">
        <v>2</v>
      </c>
      <c r="Q40" s="535"/>
      <c r="R40" s="535"/>
      <c r="S40" s="535"/>
      <c r="T40" s="535"/>
      <c r="U40" s="535"/>
      <c r="V40" s="535"/>
      <c r="W40" s="535"/>
      <c r="X40" s="535"/>
      <c r="Y40" s="535"/>
      <c r="Z40" s="456"/>
      <c r="AA40" s="534">
        <v>2</v>
      </c>
      <c r="AB40" s="535"/>
      <c r="AC40" s="535"/>
      <c r="AD40" s="535"/>
      <c r="AE40" s="535"/>
      <c r="AF40" s="535"/>
      <c r="AG40" s="535"/>
      <c r="AH40" s="535"/>
      <c r="AI40" s="535"/>
      <c r="AJ40" s="535"/>
      <c r="AK40" s="456"/>
      <c r="AL40" s="541" t="s">
        <v>167</v>
      </c>
      <c r="AM40" s="541">
        <f>D42*3</f>
        <v>12</v>
      </c>
      <c r="AN40" s="541"/>
      <c r="AO40" s="541"/>
    </row>
    <row r="41" spans="1:41" ht="30.2" customHeight="1">
      <c r="A41" s="349"/>
      <c r="B41" s="259"/>
      <c r="C41" s="125" t="s">
        <v>129</v>
      </c>
      <c r="D41" s="158">
        <v>2</v>
      </c>
      <c r="E41" s="534">
        <v>2</v>
      </c>
      <c r="F41" s="535"/>
      <c r="G41" s="535"/>
      <c r="H41" s="535"/>
      <c r="I41" s="535"/>
      <c r="J41" s="535"/>
      <c r="K41" s="535"/>
      <c r="L41" s="535"/>
      <c r="M41" s="535"/>
      <c r="N41" s="535"/>
      <c r="O41" s="456"/>
      <c r="P41" s="534">
        <v>2</v>
      </c>
      <c r="Q41" s="535"/>
      <c r="R41" s="535"/>
      <c r="S41" s="535"/>
      <c r="T41" s="535"/>
      <c r="U41" s="535"/>
      <c r="V41" s="535"/>
      <c r="W41" s="535"/>
      <c r="X41" s="535"/>
      <c r="Y41" s="535"/>
      <c r="Z41" s="456"/>
      <c r="AA41" s="534">
        <v>2</v>
      </c>
      <c r="AB41" s="535"/>
      <c r="AC41" s="535"/>
      <c r="AD41" s="535"/>
      <c r="AE41" s="535"/>
      <c r="AF41" s="535"/>
      <c r="AG41" s="535"/>
      <c r="AH41" s="535"/>
      <c r="AI41" s="535"/>
      <c r="AJ41" s="535"/>
      <c r="AK41" s="456"/>
      <c r="AL41" s="541" t="s">
        <v>168</v>
      </c>
      <c r="AM41" s="542">
        <f>SUM(E42:AK42)</f>
        <v>12</v>
      </c>
      <c r="AN41" s="541"/>
      <c r="AO41" s="542"/>
    </row>
    <row r="42" spans="1:41" ht="30.2" customHeight="1">
      <c r="A42" s="349"/>
      <c r="B42" s="259"/>
      <c r="C42" s="122" t="s">
        <v>44</v>
      </c>
      <c r="D42" s="166">
        <v>4</v>
      </c>
      <c r="E42" s="551">
        <f>SUM(E40:O41)</f>
        <v>4</v>
      </c>
      <c r="F42" s="552"/>
      <c r="G42" s="552"/>
      <c r="H42" s="552"/>
      <c r="I42" s="552"/>
      <c r="J42" s="552"/>
      <c r="K42" s="552"/>
      <c r="L42" s="552"/>
      <c r="M42" s="552"/>
      <c r="N42" s="552"/>
      <c r="O42" s="553"/>
      <c r="P42" s="551">
        <f t="shared" ref="P42" si="11">SUM(P40:Z41)</f>
        <v>4</v>
      </c>
      <c r="Q42" s="552"/>
      <c r="R42" s="552"/>
      <c r="S42" s="552"/>
      <c r="T42" s="552"/>
      <c r="U42" s="552"/>
      <c r="V42" s="552"/>
      <c r="W42" s="552"/>
      <c r="X42" s="552"/>
      <c r="Y42" s="552"/>
      <c r="Z42" s="553"/>
      <c r="AA42" s="551">
        <f t="shared" ref="AA42" si="12">SUM(AA40:AK41)</f>
        <v>4</v>
      </c>
      <c r="AB42" s="552"/>
      <c r="AC42" s="552"/>
      <c r="AD42" s="552"/>
      <c r="AE42" s="552"/>
      <c r="AF42" s="552"/>
      <c r="AG42" s="552"/>
      <c r="AH42" s="552"/>
      <c r="AI42" s="552"/>
      <c r="AJ42" s="552"/>
      <c r="AK42" s="553"/>
      <c r="AL42" s="541" t="s">
        <v>45</v>
      </c>
      <c r="AM42" s="549">
        <f>AVERAGE(E43:AK43)</f>
        <v>1</v>
      </c>
      <c r="AN42" s="541"/>
      <c r="AO42" s="541"/>
    </row>
    <row r="43" spans="1:41" ht="33" customHeight="1">
      <c r="A43" s="349"/>
      <c r="B43" s="259"/>
      <c r="C43" s="125" t="s">
        <v>130</v>
      </c>
      <c r="D43" s="356" t="s">
        <v>47</v>
      </c>
      <c r="E43" s="361">
        <v>1</v>
      </c>
      <c r="F43" s="362"/>
      <c r="G43" s="362"/>
      <c r="H43" s="362"/>
      <c r="I43" s="362"/>
      <c r="J43" s="362"/>
      <c r="K43" s="362"/>
      <c r="L43" s="362"/>
      <c r="M43" s="362"/>
      <c r="N43" s="362"/>
      <c r="O43" s="363"/>
      <c r="P43" s="361">
        <v>1</v>
      </c>
      <c r="Q43" s="362"/>
      <c r="R43" s="362"/>
      <c r="S43" s="362"/>
      <c r="T43" s="362"/>
      <c r="U43" s="362"/>
      <c r="V43" s="362"/>
      <c r="W43" s="362"/>
      <c r="X43" s="362"/>
      <c r="Y43" s="362"/>
      <c r="Z43" s="363"/>
      <c r="AA43" s="361">
        <v>1</v>
      </c>
      <c r="AB43" s="362"/>
      <c r="AC43" s="362"/>
      <c r="AD43" s="362"/>
      <c r="AE43" s="362"/>
      <c r="AF43" s="362"/>
      <c r="AG43" s="362"/>
      <c r="AH43" s="362"/>
      <c r="AI43" s="362"/>
      <c r="AJ43" s="362"/>
      <c r="AK43" s="363"/>
      <c r="AL43" s="541" t="s">
        <v>46</v>
      </c>
      <c r="AM43" s="549">
        <f>AVERAGE(E44:AK44)</f>
        <v>1</v>
      </c>
      <c r="AN43" s="541"/>
      <c r="AO43" s="541"/>
    </row>
    <row r="44" spans="1:41" ht="30.2" customHeight="1" thickBot="1">
      <c r="A44" s="350"/>
      <c r="B44" s="260"/>
      <c r="C44" s="129" t="s">
        <v>131</v>
      </c>
      <c r="D44" s="273"/>
      <c r="E44" s="554">
        <f>E42/D42</f>
        <v>1</v>
      </c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4">
        <f>P42/D42</f>
        <v>1</v>
      </c>
      <c r="Q44" s="555"/>
      <c r="R44" s="555"/>
      <c r="S44" s="555"/>
      <c r="T44" s="555"/>
      <c r="U44" s="555"/>
      <c r="V44" s="555"/>
      <c r="W44" s="555"/>
      <c r="X44" s="555"/>
      <c r="Y44" s="555"/>
      <c r="Z44" s="556"/>
      <c r="AA44" s="554">
        <f>AA42/D42</f>
        <v>1</v>
      </c>
      <c r="AB44" s="555"/>
      <c r="AC44" s="555"/>
      <c r="AD44" s="555"/>
      <c r="AE44" s="555"/>
      <c r="AF44" s="555"/>
      <c r="AG44" s="555"/>
      <c r="AH44" s="555"/>
      <c r="AI44" s="555"/>
      <c r="AJ44" s="555"/>
      <c r="AK44" s="556"/>
      <c r="AL44" s="541"/>
      <c r="AM44" s="541"/>
      <c r="AN44" s="541"/>
      <c r="AO44" s="541"/>
    </row>
    <row r="45" spans="1:41" ht="30.2" customHeight="1" thickBot="1">
      <c r="A45" s="110"/>
      <c r="B45" s="48"/>
      <c r="C45" s="49"/>
      <c r="D45" s="50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130"/>
      <c r="AM45" s="130"/>
      <c r="AN45" s="130"/>
      <c r="AO45" s="131"/>
    </row>
    <row r="46" spans="1:41" ht="27" customHeight="1">
      <c r="A46" s="353">
        <v>6</v>
      </c>
      <c r="B46" s="258" t="s">
        <v>132</v>
      </c>
      <c r="C46" s="132" t="s">
        <v>69</v>
      </c>
      <c r="D46" s="133">
        <v>3</v>
      </c>
      <c r="E46" s="66"/>
      <c r="F46" s="66"/>
      <c r="G46" s="66"/>
      <c r="H46" s="66"/>
      <c r="I46" s="66"/>
      <c r="J46" s="198" t="s">
        <v>72</v>
      </c>
      <c r="K46" s="199"/>
      <c r="L46" s="199"/>
      <c r="M46" s="199"/>
      <c r="N46" s="199"/>
      <c r="O46" s="199"/>
      <c r="P46" s="199"/>
      <c r="Q46" s="199"/>
      <c r="R46" s="199"/>
      <c r="S46" s="200"/>
      <c r="T46" s="66"/>
      <c r="U46" s="66"/>
      <c r="V46" s="66"/>
      <c r="W46" s="365" t="s">
        <v>133</v>
      </c>
      <c r="X46" s="366"/>
      <c r="Y46" s="366"/>
      <c r="Z46" s="366"/>
      <c r="AA46" s="366"/>
      <c r="AB46" s="366"/>
      <c r="AC46" s="366"/>
      <c r="AD46" s="366"/>
      <c r="AE46" s="366"/>
      <c r="AF46" s="366"/>
      <c r="AG46" s="366"/>
      <c r="AH46" s="366"/>
      <c r="AI46" s="366"/>
      <c r="AJ46" s="366"/>
      <c r="AK46" s="367"/>
      <c r="AL46" s="48"/>
      <c r="AM46" s="48"/>
      <c r="AN46" s="130"/>
      <c r="AO46" s="131"/>
    </row>
    <row r="47" spans="1:41" ht="27" customHeight="1">
      <c r="A47" s="349"/>
      <c r="B47" s="259"/>
      <c r="C47" s="134" t="s">
        <v>134</v>
      </c>
      <c r="D47" s="530">
        <v>3</v>
      </c>
      <c r="E47" s="66"/>
      <c r="F47" s="66"/>
      <c r="G47" s="66"/>
      <c r="H47" s="66"/>
      <c r="I47" s="66"/>
      <c r="J47" s="135">
        <v>0</v>
      </c>
      <c r="K47" s="201" t="s">
        <v>74</v>
      </c>
      <c r="L47" s="368"/>
      <c r="M47" s="368"/>
      <c r="N47" s="368"/>
      <c r="O47" s="368"/>
      <c r="P47" s="368"/>
      <c r="Q47" s="368"/>
      <c r="R47" s="368"/>
      <c r="S47" s="369"/>
      <c r="T47" s="66"/>
      <c r="U47" s="66"/>
      <c r="V47" s="66"/>
      <c r="W47" s="73">
        <v>0</v>
      </c>
      <c r="X47" s="370" t="s">
        <v>75</v>
      </c>
      <c r="Y47" s="371"/>
      <c r="Z47" s="371"/>
      <c r="AA47" s="371"/>
      <c r="AB47" s="371"/>
      <c r="AC47" s="371"/>
      <c r="AD47" s="371"/>
      <c r="AE47" s="371"/>
      <c r="AF47" s="371"/>
      <c r="AG47" s="371"/>
      <c r="AH47" s="371"/>
      <c r="AI47" s="371"/>
      <c r="AJ47" s="371"/>
      <c r="AK47" s="372"/>
      <c r="AL47" s="48"/>
      <c r="AM47" s="48"/>
      <c r="AN47" s="130"/>
      <c r="AO47" s="131"/>
    </row>
    <row r="48" spans="1:41" ht="27" customHeight="1">
      <c r="A48" s="349"/>
      <c r="B48" s="259"/>
      <c r="C48" s="134" t="s">
        <v>45</v>
      </c>
      <c r="D48" s="136">
        <v>1</v>
      </c>
      <c r="E48" s="66"/>
      <c r="F48" s="66"/>
      <c r="G48" s="66"/>
      <c r="H48" s="66"/>
      <c r="I48" s="66"/>
      <c r="J48" s="135">
        <v>1</v>
      </c>
      <c r="K48" s="201" t="s">
        <v>135</v>
      </c>
      <c r="L48" s="368"/>
      <c r="M48" s="368"/>
      <c r="N48" s="368"/>
      <c r="O48" s="368"/>
      <c r="P48" s="368"/>
      <c r="Q48" s="368"/>
      <c r="R48" s="368"/>
      <c r="S48" s="369"/>
      <c r="T48" s="66"/>
      <c r="U48" s="66"/>
      <c r="V48" s="66"/>
      <c r="W48" s="73">
        <v>1</v>
      </c>
      <c r="X48" s="370" t="s">
        <v>77</v>
      </c>
      <c r="Y48" s="371"/>
      <c r="Z48" s="371"/>
      <c r="AA48" s="371"/>
      <c r="AB48" s="371"/>
      <c r="AC48" s="371"/>
      <c r="AD48" s="371"/>
      <c r="AE48" s="371"/>
      <c r="AF48" s="371"/>
      <c r="AG48" s="371"/>
      <c r="AH48" s="371"/>
      <c r="AI48" s="371"/>
      <c r="AJ48" s="371"/>
      <c r="AK48" s="372"/>
      <c r="AL48" s="48"/>
      <c r="AM48" s="48"/>
      <c r="AN48" s="130"/>
      <c r="AO48" s="131"/>
    </row>
    <row r="49" spans="1:41" ht="27" customHeight="1" thickBot="1">
      <c r="A49" s="349"/>
      <c r="B49" s="259"/>
      <c r="C49" s="134" t="s">
        <v>136</v>
      </c>
      <c r="D49" s="557">
        <f>D46/D47</f>
        <v>1</v>
      </c>
      <c r="E49" s="66"/>
      <c r="F49" s="66"/>
      <c r="G49" s="66"/>
      <c r="H49" s="66"/>
      <c r="I49" s="66"/>
      <c r="J49" s="137">
        <v>2</v>
      </c>
      <c r="K49" s="201" t="s">
        <v>137</v>
      </c>
      <c r="L49" s="368"/>
      <c r="M49" s="368"/>
      <c r="N49" s="368"/>
      <c r="O49" s="368"/>
      <c r="P49" s="368"/>
      <c r="Q49" s="368"/>
      <c r="R49" s="368"/>
      <c r="S49" s="369"/>
      <c r="T49" s="66"/>
      <c r="U49" s="66"/>
      <c r="V49" s="66"/>
      <c r="W49" s="78">
        <v>2</v>
      </c>
      <c r="X49" s="373" t="s">
        <v>138</v>
      </c>
      <c r="Y49" s="374"/>
      <c r="Z49" s="374"/>
      <c r="AA49" s="374"/>
      <c r="AB49" s="374"/>
      <c r="AC49" s="374"/>
      <c r="AD49" s="374"/>
      <c r="AE49" s="374"/>
      <c r="AF49" s="374"/>
      <c r="AG49" s="374"/>
      <c r="AH49" s="374"/>
      <c r="AI49" s="374"/>
      <c r="AJ49" s="374"/>
      <c r="AK49" s="375"/>
      <c r="AL49" s="48"/>
      <c r="AM49" s="48"/>
      <c r="AN49" s="130"/>
      <c r="AO49" s="131"/>
    </row>
    <row r="50" spans="1:41" ht="27" customHeight="1" thickBot="1">
      <c r="A50" s="350"/>
      <c r="B50" s="260"/>
      <c r="C50" s="138" t="s">
        <v>139</v>
      </c>
      <c r="D50" s="531">
        <v>0</v>
      </c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139"/>
      <c r="AM50" s="139"/>
      <c r="AN50" s="48"/>
      <c r="AO50" s="131"/>
    </row>
    <row r="51" spans="1:41" s="532" customFormat="1" ht="20.25">
      <c r="A51" s="110"/>
      <c r="B51" s="19"/>
      <c r="C51" s="84"/>
      <c r="D51" s="85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139"/>
      <c r="AM51" s="139"/>
      <c r="AN51" s="48"/>
      <c r="AO51" s="131"/>
    </row>
    <row r="52" spans="1:41" s="532" customFormat="1" ht="21" thickBot="1">
      <c r="A52" s="110"/>
      <c r="B52" s="19"/>
      <c r="C52" s="49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376"/>
      <c r="AM52" s="376"/>
      <c r="AN52" s="48"/>
      <c r="AO52" s="131"/>
    </row>
    <row r="53" spans="1:41" s="94" customFormat="1" ht="63.75" customHeight="1">
      <c r="A53" s="140"/>
      <c r="B53" s="377" t="s">
        <v>14</v>
      </c>
      <c r="C53" s="379" t="s">
        <v>80</v>
      </c>
      <c r="D53" s="379" t="s">
        <v>140</v>
      </c>
      <c r="E53" s="379"/>
      <c r="F53" s="379" t="s">
        <v>141</v>
      </c>
      <c r="G53" s="379"/>
      <c r="H53" s="379"/>
      <c r="I53" s="379" t="s">
        <v>83</v>
      </c>
      <c r="J53" s="379"/>
      <c r="K53" s="379"/>
      <c r="L53" s="379" t="s">
        <v>84</v>
      </c>
      <c r="M53" s="379"/>
      <c r="N53" s="379"/>
      <c r="O53" s="381" t="s">
        <v>85</v>
      </c>
      <c r="P53" s="381"/>
      <c r="Q53" s="381"/>
      <c r="R53" s="382" t="s">
        <v>86</v>
      </c>
      <c r="S53" s="382"/>
      <c r="T53" s="383"/>
      <c r="U53" s="90"/>
      <c r="V53" s="90"/>
      <c r="W53" s="90"/>
      <c r="X53" s="210" t="s">
        <v>142</v>
      </c>
      <c r="Y53" s="211"/>
      <c r="Z53" s="211"/>
      <c r="AA53" s="211"/>
      <c r="AB53" s="211"/>
      <c r="AC53" s="211"/>
      <c r="AD53" s="211"/>
      <c r="AE53" s="211"/>
      <c r="AF53" s="211"/>
      <c r="AG53" s="211"/>
      <c r="AH53" s="211"/>
      <c r="AI53" s="211"/>
      <c r="AJ53" s="211"/>
      <c r="AK53" s="212"/>
      <c r="AL53" s="163"/>
      <c r="AM53" s="141"/>
      <c r="AN53" s="163"/>
      <c r="AO53" s="141"/>
    </row>
    <row r="54" spans="1:41" s="94" customFormat="1" ht="20.25">
      <c r="A54" s="140"/>
      <c r="B54" s="378"/>
      <c r="C54" s="380"/>
      <c r="D54" s="219" t="s">
        <v>88</v>
      </c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1"/>
      <c r="U54" s="91"/>
      <c r="V54" s="91"/>
      <c r="W54" s="91"/>
      <c r="X54" s="213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215"/>
      <c r="AL54" s="163"/>
      <c r="AM54" s="141"/>
      <c r="AN54" s="163"/>
      <c r="AO54" s="141"/>
    </row>
    <row r="55" spans="1:41" s="94" customFormat="1" ht="33.75" customHeight="1">
      <c r="A55" s="140"/>
      <c r="B55" s="33" t="s">
        <v>89</v>
      </c>
      <c r="C55" s="161">
        <v>0.4</v>
      </c>
      <c r="D55" s="380" t="s">
        <v>90</v>
      </c>
      <c r="E55" s="380"/>
      <c r="F55" s="380" t="s">
        <v>91</v>
      </c>
      <c r="G55" s="380"/>
      <c r="H55" s="380"/>
      <c r="I55" s="380" t="s">
        <v>92</v>
      </c>
      <c r="J55" s="380"/>
      <c r="K55" s="380"/>
      <c r="L55" s="380" t="s">
        <v>93</v>
      </c>
      <c r="M55" s="380"/>
      <c r="N55" s="380"/>
      <c r="O55" s="558">
        <v>1</v>
      </c>
      <c r="P55" s="559"/>
      <c r="Q55" s="560"/>
      <c r="R55" s="562">
        <f>O55*C55</f>
        <v>0.4</v>
      </c>
      <c r="S55" s="562"/>
      <c r="T55" s="563"/>
      <c r="U55" s="90"/>
      <c r="V55" s="90"/>
      <c r="W55" s="90"/>
      <c r="X55" s="213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  <c r="AJ55" s="214"/>
      <c r="AK55" s="215"/>
      <c r="AL55" s="163"/>
      <c r="AM55" s="141"/>
      <c r="AN55" s="163"/>
      <c r="AO55" s="141"/>
    </row>
    <row r="56" spans="1:41" s="94" customFormat="1" ht="33.75" customHeight="1" thickBot="1">
      <c r="A56" s="140"/>
      <c r="B56" s="33" t="s">
        <v>94</v>
      </c>
      <c r="C56" s="161">
        <v>0.2</v>
      </c>
      <c r="D56" s="380" t="s">
        <v>90</v>
      </c>
      <c r="E56" s="380"/>
      <c r="F56" s="380" t="s">
        <v>91</v>
      </c>
      <c r="G56" s="380"/>
      <c r="H56" s="380"/>
      <c r="I56" s="380" t="s">
        <v>92</v>
      </c>
      <c r="J56" s="380"/>
      <c r="K56" s="380"/>
      <c r="L56" s="380" t="s">
        <v>93</v>
      </c>
      <c r="M56" s="380"/>
      <c r="N56" s="380"/>
      <c r="O56" s="561">
        <f>AM25</f>
        <v>1</v>
      </c>
      <c r="P56" s="562"/>
      <c r="Q56" s="562"/>
      <c r="R56" s="562">
        <f t="shared" ref="R56:R60" si="13">O56*C56</f>
        <v>0.2</v>
      </c>
      <c r="S56" s="562"/>
      <c r="T56" s="563"/>
      <c r="U56" s="90"/>
      <c r="V56" s="90"/>
      <c r="W56" s="90"/>
      <c r="X56" s="216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8"/>
      <c r="AL56" s="163"/>
      <c r="AM56" s="141"/>
      <c r="AN56" s="163"/>
      <c r="AO56" s="141"/>
    </row>
    <row r="57" spans="1:41" s="94" customFormat="1" ht="33.75" customHeight="1">
      <c r="A57" s="140"/>
      <c r="B57" s="33" t="s">
        <v>143</v>
      </c>
      <c r="C57" s="161">
        <v>0.1</v>
      </c>
      <c r="D57" s="380" t="s">
        <v>96</v>
      </c>
      <c r="E57" s="380"/>
      <c r="F57" s="380" t="s">
        <v>92</v>
      </c>
      <c r="G57" s="380"/>
      <c r="H57" s="380"/>
      <c r="I57" s="380" t="s">
        <v>97</v>
      </c>
      <c r="J57" s="380"/>
      <c r="K57" s="380"/>
      <c r="L57" s="380">
        <v>100</v>
      </c>
      <c r="M57" s="380"/>
      <c r="N57" s="380"/>
      <c r="O57" s="561">
        <f>AM32</f>
        <v>1</v>
      </c>
      <c r="P57" s="562"/>
      <c r="Q57" s="562"/>
      <c r="R57" s="562">
        <f t="shared" si="13"/>
        <v>0.1</v>
      </c>
      <c r="S57" s="562"/>
      <c r="T57" s="563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163"/>
      <c r="AM57" s="163"/>
      <c r="AN57" s="163"/>
      <c r="AO57" s="141"/>
    </row>
    <row r="58" spans="1:41" s="94" customFormat="1" ht="26.45" customHeight="1">
      <c r="A58" s="140"/>
      <c r="B58" s="165" t="s">
        <v>57</v>
      </c>
      <c r="C58" s="161">
        <v>0.1</v>
      </c>
      <c r="D58" s="380" t="s">
        <v>98</v>
      </c>
      <c r="E58" s="380"/>
      <c r="F58" s="380" t="s">
        <v>99</v>
      </c>
      <c r="G58" s="380"/>
      <c r="H58" s="380"/>
      <c r="I58" s="380" t="s">
        <v>91</v>
      </c>
      <c r="J58" s="380"/>
      <c r="K58" s="380"/>
      <c r="L58" s="380" t="s">
        <v>100</v>
      </c>
      <c r="M58" s="380"/>
      <c r="N58" s="380"/>
      <c r="O58" s="561">
        <f>AM36</f>
        <v>1</v>
      </c>
      <c r="P58" s="562"/>
      <c r="Q58" s="562"/>
      <c r="R58" s="562">
        <f t="shared" si="13"/>
        <v>0.1</v>
      </c>
      <c r="S58" s="562"/>
      <c r="T58" s="563"/>
      <c r="U58" s="90"/>
      <c r="V58" s="90"/>
      <c r="W58" s="90"/>
      <c r="X58" s="179"/>
      <c r="Y58" s="179"/>
      <c r="Z58" s="179"/>
      <c r="AA58" s="179"/>
      <c r="AB58" s="179"/>
      <c r="AC58" s="179"/>
      <c r="AD58" s="179"/>
      <c r="AE58" s="179"/>
      <c r="AF58" s="179"/>
      <c r="AG58" s="179"/>
      <c r="AH58" s="179"/>
      <c r="AI58" s="179"/>
      <c r="AJ58" s="179"/>
      <c r="AK58" s="179"/>
      <c r="AL58" s="142"/>
      <c r="AM58" s="143"/>
      <c r="AN58" s="142"/>
      <c r="AO58" s="143"/>
    </row>
    <row r="59" spans="1:41" s="94" customFormat="1" ht="26.45" customHeight="1">
      <c r="A59" s="140"/>
      <c r="B59" s="165" t="s">
        <v>102</v>
      </c>
      <c r="C59" s="144">
        <v>0.1</v>
      </c>
      <c r="D59" s="380" t="s">
        <v>103</v>
      </c>
      <c r="E59" s="380"/>
      <c r="F59" s="380" t="s">
        <v>104</v>
      </c>
      <c r="G59" s="380"/>
      <c r="H59" s="380"/>
      <c r="I59" s="380" t="s">
        <v>105</v>
      </c>
      <c r="J59" s="380"/>
      <c r="K59" s="380"/>
      <c r="L59" s="380">
        <v>100</v>
      </c>
      <c r="M59" s="380"/>
      <c r="N59" s="380"/>
      <c r="O59" s="561">
        <f>AM43</f>
        <v>1</v>
      </c>
      <c r="P59" s="562"/>
      <c r="Q59" s="562"/>
      <c r="R59" s="562">
        <f t="shared" si="13"/>
        <v>0.1</v>
      </c>
      <c r="S59" s="562"/>
      <c r="T59" s="563"/>
      <c r="U59" s="90"/>
      <c r="V59" s="90"/>
      <c r="W59" s="90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42"/>
      <c r="AM59" s="143"/>
      <c r="AN59" s="142"/>
      <c r="AO59" s="143"/>
    </row>
    <row r="60" spans="1:41" s="94" customFormat="1" ht="26.45" customHeight="1">
      <c r="A60" s="140"/>
      <c r="B60" s="165" t="s">
        <v>68</v>
      </c>
      <c r="C60" s="144">
        <v>0.1</v>
      </c>
      <c r="D60" s="380" t="s">
        <v>106</v>
      </c>
      <c r="E60" s="380"/>
      <c r="F60" s="380" t="s">
        <v>107</v>
      </c>
      <c r="G60" s="380"/>
      <c r="H60" s="380"/>
      <c r="I60" s="380" t="s">
        <v>108</v>
      </c>
      <c r="J60" s="380"/>
      <c r="K60" s="380"/>
      <c r="L60" s="380" t="s">
        <v>100</v>
      </c>
      <c r="M60" s="380"/>
      <c r="N60" s="380"/>
      <c r="O60" s="561">
        <f>D49</f>
        <v>1</v>
      </c>
      <c r="P60" s="562"/>
      <c r="Q60" s="562"/>
      <c r="R60" s="562">
        <f t="shared" si="13"/>
        <v>0.1</v>
      </c>
      <c r="S60" s="562"/>
      <c r="T60" s="563"/>
      <c r="U60" s="90"/>
      <c r="V60" s="90"/>
      <c r="W60" s="90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42"/>
      <c r="AM60" s="143"/>
      <c r="AN60" s="142"/>
      <c r="AO60" s="143"/>
    </row>
    <row r="61" spans="1:41" s="94" customFormat="1" ht="35.450000000000003" customHeight="1" thickBot="1">
      <c r="A61" s="140"/>
      <c r="B61" s="102" t="s">
        <v>109</v>
      </c>
      <c r="C61" s="162">
        <v>1</v>
      </c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564">
        <f>SUM(R55:T60)</f>
        <v>1</v>
      </c>
      <c r="S61" s="565"/>
      <c r="T61" s="566"/>
      <c r="U61" s="90"/>
      <c r="V61" s="90"/>
      <c r="W61" s="90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42"/>
      <c r="AM61" s="143"/>
      <c r="AN61" s="142"/>
      <c r="AO61" s="143"/>
    </row>
    <row r="62" spans="1:41" ht="5.25" customHeight="1">
      <c r="A62" s="110"/>
      <c r="B62" s="66"/>
      <c r="C62" s="66"/>
      <c r="D62" s="66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48"/>
      <c r="AM62" s="48"/>
      <c r="AN62" s="48"/>
      <c r="AO62" s="131"/>
    </row>
    <row r="63" spans="1:41" ht="19.5" customHeight="1">
      <c r="A63" s="110"/>
      <c r="B63" s="105" t="s">
        <v>110</v>
      </c>
      <c r="C63" s="49" t="s">
        <v>144</v>
      </c>
      <c r="D63" s="4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39"/>
      <c r="AM63" s="139"/>
      <c r="AN63" s="48"/>
      <c r="AO63" s="131"/>
    </row>
    <row r="64" spans="1:41" ht="20.25">
      <c r="A64" s="110"/>
      <c r="B64" s="66"/>
      <c r="C64" s="66"/>
      <c r="D64" s="66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39"/>
      <c r="AM64" s="139"/>
      <c r="AN64" s="48"/>
      <c r="AO64" s="131"/>
    </row>
    <row r="65" spans="1:41" ht="30">
      <c r="A65" s="20"/>
      <c r="B65" s="105"/>
      <c r="C65" s="49"/>
      <c r="D65" s="4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66"/>
      <c r="AO65" s="71"/>
    </row>
    <row r="66" spans="1:41">
      <c r="A66" s="20"/>
      <c r="B66" s="66"/>
      <c r="C66" s="66"/>
      <c r="D66" s="66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66"/>
      <c r="AO66" s="71"/>
    </row>
    <row r="67" spans="1:41" s="149" customFormat="1" ht="14.25" customHeight="1">
      <c r="A67" s="390" t="s">
        <v>150</v>
      </c>
      <c r="B67" s="391"/>
      <c r="C67" s="533" t="s">
        <v>151</v>
      </c>
      <c r="D67" s="53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8"/>
    </row>
    <row r="68" spans="1:41" s="149" customFormat="1" ht="14.25" customHeight="1">
      <c r="A68" s="172"/>
      <c r="B68" s="173"/>
      <c r="C68" s="533"/>
      <c r="D68" s="53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8"/>
    </row>
    <row r="69" spans="1:41" ht="33" customHeight="1">
      <c r="A69" s="384" t="s">
        <v>152</v>
      </c>
      <c r="B69" s="385"/>
      <c r="C69" s="386"/>
      <c r="D69" s="387" t="s">
        <v>145</v>
      </c>
      <c r="E69" s="368"/>
      <c r="F69" s="368"/>
      <c r="G69" s="368"/>
      <c r="H69" s="368"/>
      <c r="I69" s="368"/>
      <c r="J69" s="368"/>
      <c r="K69" s="368"/>
      <c r="L69" s="368"/>
      <c r="M69" s="368"/>
      <c r="N69" s="368"/>
      <c r="O69" s="368"/>
      <c r="P69" s="368"/>
      <c r="Q69" s="368"/>
      <c r="R69" s="388"/>
      <c r="S69" s="387" t="s">
        <v>146</v>
      </c>
      <c r="T69" s="368"/>
      <c r="U69" s="368"/>
      <c r="V69" s="368"/>
      <c r="W69" s="368"/>
      <c r="X69" s="368"/>
      <c r="Y69" s="368"/>
      <c r="Z69" s="368"/>
      <c r="AA69" s="368"/>
      <c r="AB69" s="368"/>
      <c r="AC69" s="368"/>
      <c r="AD69" s="368"/>
      <c r="AE69" s="368"/>
      <c r="AF69" s="368"/>
      <c r="AG69" s="388"/>
      <c r="AH69" s="387" t="s">
        <v>147</v>
      </c>
      <c r="AI69" s="368"/>
      <c r="AJ69" s="368"/>
      <c r="AK69" s="368"/>
      <c r="AL69" s="368"/>
      <c r="AM69" s="388"/>
      <c r="AN69" s="145"/>
      <c r="AO69" s="146"/>
    </row>
  </sheetData>
  <mergeCells count="176">
    <mergeCell ref="AR23:AU26"/>
    <mergeCell ref="E5:G5"/>
    <mergeCell ref="A67:B67"/>
    <mergeCell ref="A69:C69"/>
    <mergeCell ref="D69:R69"/>
    <mergeCell ref="S69:AG69"/>
    <mergeCell ref="AH69:AM69"/>
    <mergeCell ref="L60:N60"/>
    <mergeCell ref="O60:Q60"/>
    <mergeCell ref="R60:T60"/>
    <mergeCell ref="D61:E61"/>
    <mergeCell ref="F61:H61"/>
    <mergeCell ref="I61:K61"/>
    <mergeCell ref="L61:N61"/>
    <mergeCell ref="O61:Q61"/>
    <mergeCell ref="R61:T61"/>
    <mergeCell ref="X58:AK62"/>
    <mergeCell ref="D59:E59"/>
    <mergeCell ref="F59:H59"/>
    <mergeCell ref="I59:K59"/>
    <mergeCell ref="L59:N59"/>
    <mergeCell ref="O59:Q59"/>
    <mergeCell ref="R59:T59"/>
    <mergeCell ref="D60:E60"/>
    <mergeCell ref="F60:H60"/>
    <mergeCell ref="I60:K60"/>
    <mergeCell ref="D58:E58"/>
    <mergeCell ref="F58:H58"/>
    <mergeCell ref="I58:K58"/>
    <mergeCell ref="L58:N58"/>
    <mergeCell ref="O58:Q58"/>
    <mergeCell ref="R58:T58"/>
    <mergeCell ref="I56:K56"/>
    <mergeCell ref="L56:N56"/>
    <mergeCell ref="O56:Q56"/>
    <mergeCell ref="R56:T56"/>
    <mergeCell ref="D57:E57"/>
    <mergeCell ref="F57:H57"/>
    <mergeCell ref="I57:K57"/>
    <mergeCell ref="L57:N57"/>
    <mergeCell ref="O57:Q57"/>
    <mergeCell ref="R57:T57"/>
    <mergeCell ref="AL52:AM52"/>
    <mergeCell ref="B53:B54"/>
    <mergeCell ref="C53:C54"/>
    <mergeCell ref="D53:E53"/>
    <mergeCell ref="F53:H53"/>
    <mergeCell ref="I53:K53"/>
    <mergeCell ref="L53:N53"/>
    <mergeCell ref="O53:Q53"/>
    <mergeCell ref="R53:T53"/>
    <mergeCell ref="D54:T54"/>
    <mergeCell ref="X53:AK56"/>
    <mergeCell ref="D55:E55"/>
    <mergeCell ref="F55:H55"/>
    <mergeCell ref="I55:K55"/>
    <mergeCell ref="L55:N55"/>
    <mergeCell ref="O55:Q55"/>
    <mergeCell ref="R55:T55"/>
    <mergeCell ref="D56:E56"/>
    <mergeCell ref="F56:H56"/>
    <mergeCell ref="A33:A39"/>
    <mergeCell ref="B33:B39"/>
    <mergeCell ref="E33:O33"/>
    <mergeCell ref="P33:Z33"/>
    <mergeCell ref="A46:A50"/>
    <mergeCell ref="B46:B50"/>
    <mergeCell ref="W46:AK46"/>
    <mergeCell ref="X47:AK47"/>
    <mergeCell ref="X48:AK48"/>
    <mergeCell ref="X49:AK49"/>
    <mergeCell ref="A40:A44"/>
    <mergeCell ref="B40:B44"/>
    <mergeCell ref="E40:O40"/>
    <mergeCell ref="P40:Z40"/>
    <mergeCell ref="AA40:AK40"/>
    <mergeCell ref="AA33:AK33"/>
    <mergeCell ref="J46:S46"/>
    <mergeCell ref="K47:S47"/>
    <mergeCell ref="K48:S48"/>
    <mergeCell ref="K49:S49"/>
    <mergeCell ref="E41:O41"/>
    <mergeCell ref="P41:Z41"/>
    <mergeCell ref="AA41:AK41"/>
    <mergeCell ref="E42:O42"/>
    <mergeCell ref="P42:Z42"/>
    <mergeCell ref="AA42:AK42"/>
    <mergeCell ref="D43:D44"/>
    <mergeCell ref="E43:O43"/>
    <mergeCell ref="P43:Z43"/>
    <mergeCell ref="AA43:AK43"/>
    <mergeCell ref="E44:O44"/>
    <mergeCell ref="P44:Z44"/>
    <mergeCell ref="AA44:AK44"/>
    <mergeCell ref="E34:O34"/>
    <mergeCell ref="P34:Z34"/>
    <mergeCell ref="AA34:AK34"/>
    <mergeCell ref="E35:O35"/>
    <mergeCell ref="D38:D39"/>
    <mergeCell ref="E38:O38"/>
    <mergeCell ref="P38:Z38"/>
    <mergeCell ref="AA38:AK38"/>
    <mergeCell ref="E39:O39"/>
    <mergeCell ref="P39:Z39"/>
    <mergeCell ref="AA39:AK39"/>
    <mergeCell ref="P35:Z35"/>
    <mergeCell ref="AA35:AK35"/>
    <mergeCell ref="E36:O36"/>
    <mergeCell ref="P36:Z36"/>
    <mergeCell ref="AA36:AK36"/>
    <mergeCell ref="E37:O37"/>
    <mergeCell ref="P37:Z37"/>
    <mergeCell ref="AA37:AK37"/>
    <mergeCell ref="E30:O30"/>
    <mergeCell ref="P30:Z30"/>
    <mergeCell ref="AA30:AK30"/>
    <mergeCell ref="E31:O31"/>
    <mergeCell ref="P31:Z31"/>
    <mergeCell ref="AA31:AK31"/>
    <mergeCell ref="E32:O32"/>
    <mergeCell ref="P32:Z32"/>
    <mergeCell ref="AA32:AK32"/>
    <mergeCell ref="A29:A32"/>
    <mergeCell ref="B29:B32"/>
    <mergeCell ref="D29:D32"/>
    <mergeCell ref="E29:O29"/>
    <mergeCell ref="P29:Z29"/>
    <mergeCell ref="AA29:AK29"/>
    <mergeCell ref="D27:D28"/>
    <mergeCell ref="E27:O27"/>
    <mergeCell ref="P27:Z27"/>
    <mergeCell ref="AA27:AK27"/>
    <mergeCell ref="E28:O28"/>
    <mergeCell ref="P28:Z28"/>
    <mergeCell ref="AA28:AK28"/>
    <mergeCell ref="P26:Z26"/>
    <mergeCell ref="AA26:AK26"/>
    <mergeCell ref="A22:A28"/>
    <mergeCell ref="B22:B28"/>
    <mergeCell ref="E22:O22"/>
    <mergeCell ref="P22:Z22"/>
    <mergeCell ref="AA22:AK22"/>
    <mergeCell ref="E23:O23"/>
    <mergeCell ref="P23:Z23"/>
    <mergeCell ref="AA23:AK23"/>
    <mergeCell ref="E24:O24"/>
    <mergeCell ref="A1:AO3"/>
    <mergeCell ref="C10:E10"/>
    <mergeCell ref="A12:A14"/>
    <mergeCell ref="B12:B14"/>
    <mergeCell ref="C12:C14"/>
    <mergeCell ref="D12:D14"/>
    <mergeCell ref="E12:AO12"/>
    <mergeCell ref="E13:O13"/>
    <mergeCell ref="P13:Z13"/>
    <mergeCell ref="AA13:AK13"/>
    <mergeCell ref="AL13:AO14"/>
    <mergeCell ref="A15:A21"/>
    <mergeCell ref="B15:B21"/>
    <mergeCell ref="C16:C17"/>
    <mergeCell ref="E19:O19"/>
    <mergeCell ref="P19:Z19"/>
    <mergeCell ref="AA19:AK19"/>
    <mergeCell ref="D20:D21"/>
    <mergeCell ref="E20:O20"/>
    <mergeCell ref="P20:Z20"/>
    <mergeCell ref="AA20:AK20"/>
    <mergeCell ref="E21:O21"/>
    <mergeCell ref="P21:Z21"/>
    <mergeCell ref="AA21:AK21"/>
    <mergeCell ref="P24:Z24"/>
    <mergeCell ref="AA24:AK24"/>
    <mergeCell ref="E25:O25"/>
    <mergeCell ref="P25:Z25"/>
    <mergeCell ref="AA25:AK25"/>
    <mergeCell ref="E26:O26"/>
  </mergeCells>
  <printOptions horizontalCentered="1" verticalCentered="1"/>
  <pageMargins left="0.25" right="0.25" top="0" bottom="0" header="0.5" footer="0.5"/>
  <pageSetup paperSize="8" scale="3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16 -Days Monitoring Sheet </vt:lpstr>
      <vt:lpstr>03-Days Monitoring Sheet </vt:lpstr>
      <vt:lpstr>'03-Days Monitoring Sheet '!Print_Area</vt:lpstr>
      <vt:lpstr>'16 -Days Monitoring Sheet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2026-02-09T10:28:09Z</dcterms:modified>
</cp:coreProperties>
</file>